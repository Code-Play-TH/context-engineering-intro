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TP\2025\document 2025-07-02\ATP Internal Web\Engineer\"/>
    </mc:Choice>
  </mc:AlternateContent>
  <xr:revisionPtr revIDLastSave="0" documentId="13_ncr:1_{4E8102A2-014B-4E8B-A1D7-6D970138E613}" xr6:coauthVersionLast="47" xr6:coauthVersionMax="47" xr10:uidLastSave="{00000000-0000-0000-0000-000000000000}"/>
  <bookViews>
    <workbookView xWindow="-108" yWindow="-108" windowWidth="23256" windowHeight="12456" xr2:uid="{D3B3A32E-2D9C-4A89-8541-35C6741E63DD}"/>
  </bookViews>
  <sheets>
    <sheet name="Product Info Database" sheetId="1" r:id="rId1"/>
    <sheet name="บันทึกนำเข้าDrawing" sheetId="2" r:id="rId2"/>
    <sheet name="Material Code" sheetId="6" r:id="rId3"/>
    <sheet name="Color Code" sheetId="7" r:id="rId4"/>
    <sheet name="Sheet3" sheetId="5" r:id="rId5"/>
    <sheet name="ECR" sheetId="8" r:id="rId6"/>
  </sheets>
  <definedNames>
    <definedName name="NativeTimeline_Date">#N/A</definedName>
    <definedName name="_xlnm.Print_Area" localSheetId="3">'Color Code'!$A$1:$B$22</definedName>
    <definedName name="_xlnm.Print_Area" localSheetId="5">ECR!$A$1:$D$12</definedName>
    <definedName name="_xlnm.Print_Area" localSheetId="2">MaterialCode[#All]</definedName>
    <definedName name="_xlnm.Print_Area" localSheetId="0">ProductInfo[[#All],[Part No]:[รายละเอียดวัตถุดิบ]]</definedName>
  </definedNames>
  <calcPr calcId="191029"/>
  <pivotCaches>
    <pivotCache cacheId="1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71" i="1" l="1"/>
  <c r="J2671" i="1"/>
  <c r="I2671" i="1"/>
  <c r="F2671" i="1"/>
  <c r="C2671" i="1"/>
  <c r="C2670" i="1" l="1"/>
  <c r="F2670" i="1"/>
  <c r="I2670" i="1"/>
  <c r="J2670" i="1"/>
  <c r="K2670" i="1"/>
  <c r="E1519" i="2"/>
  <c r="I1519" i="2"/>
  <c r="E1518" i="2"/>
  <c r="I1518" i="2"/>
  <c r="C2669" i="1"/>
  <c r="F2669" i="1"/>
  <c r="I2669" i="1"/>
  <c r="J2669" i="1"/>
  <c r="K2669" i="1"/>
  <c r="E1517" i="2"/>
  <c r="I1517" i="2"/>
  <c r="C2668" i="1"/>
  <c r="F2668" i="1"/>
  <c r="I2668" i="1"/>
  <c r="J2668" i="1"/>
  <c r="K2668" i="1"/>
  <c r="C2667" i="1"/>
  <c r="F2667" i="1"/>
  <c r="I2667" i="1"/>
  <c r="J2667" i="1"/>
  <c r="K2667" i="1"/>
  <c r="E1516" i="2"/>
  <c r="I1516" i="2"/>
  <c r="C2666" i="1"/>
  <c r="F2666" i="1"/>
  <c r="I2666" i="1"/>
  <c r="J2666" i="1"/>
  <c r="K2666" i="1"/>
  <c r="E1515" i="2"/>
  <c r="I1515" i="2"/>
  <c r="C2665" i="1"/>
  <c r="F2665" i="1"/>
  <c r="I2665" i="1"/>
  <c r="J2665" i="1"/>
  <c r="K2665" i="1"/>
  <c r="E1514" i="2"/>
  <c r="I1514" i="2"/>
  <c r="C2664" i="1"/>
  <c r="F2664" i="1"/>
  <c r="I2664" i="1"/>
  <c r="J2664" i="1"/>
  <c r="K2664" i="1"/>
  <c r="E1513" i="2"/>
  <c r="I1513" i="2"/>
  <c r="E1512" i="2" l="1"/>
  <c r="I1512" i="2"/>
  <c r="F2404" i="1"/>
  <c r="F2405" i="1"/>
  <c r="C2663" i="1"/>
  <c r="F2663" i="1"/>
  <c r="I2663" i="1"/>
  <c r="J2663" i="1"/>
  <c r="K2663" i="1"/>
  <c r="E1511" i="2"/>
  <c r="I1511" i="2"/>
  <c r="C2662" i="1"/>
  <c r="F2662" i="1"/>
  <c r="I2662" i="1"/>
  <c r="J2662" i="1"/>
  <c r="K2662" i="1"/>
  <c r="E1510" i="2"/>
  <c r="I1510" i="2"/>
  <c r="E1509" i="2"/>
  <c r="I1509" i="2"/>
  <c r="C2661" i="1"/>
  <c r="F2661" i="1"/>
  <c r="I2661" i="1"/>
  <c r="J2661" i="1"/>
  <c r="K2661" i="1"/>
  <c r="E1508" i="2"/>
  <c r="I1508" i="2"/>
  <c r="C2660" i="1"/>
  <c r="F2660" i="1"/>
  <c r="I2660" i="1"/>
  <c r="J2660" i="1"/>
  <c r="K2660" i="1"/>
  <c r="E1507" i="2"/>
  <c r="I1507" i="2"/>
  <c r="E1506" i="2"/>
  <c r="I1506" i="2"/>
  <c r="C2659" i="1" l="1"/>
  <c r="F2659" i="1"/>
  <c r="I2659" i="1"/>
  <c r="J2659" i="1"/>
  <c r="K2659" i="1"/>
  <c r="E1505" i="2"/>
  <c r="I1505" i="2"/>
  <c r="C2658" i="1"/>
  <c r="F2658" i="1"/>
  <c r="I2658" i="1"/>
  <c r="J2658" i="1"/>
  <c r="K2658" i="1"/>
  <c r="C2657" i="1"/>
  <c r="F2657" i="1"/>
  <c r="I2657" i="1"/>
  <c r="J2657" i="1"/>
  <c r="K2657" i="1"/>
  <c r="E1504" i="2"/>
  <c r="I1504" i="2"/>
  <c r="C2656" i="1"/>
  <c r="F2656" i="1"/>
  <c r="I2656" i="1"/>
  <c r="J2656" i="1"/>
  <c r="K2656" i="1"/>
  <c r="E1503" i="2"/>
  <c r="I1503" i="2"/>
  <c r="C2655" i="1"/>
  <c r="F2655" i="1"/>
  <c r="I2655" i="1"/>
  <c r="J2655" i="1"/>
  <c r="K2655" i="1"/>
  <c r="E1502" i="2"/>
  <c r="I1502" i="2"/>
  <c r="C2654" i="1"/>
  <c r="F2654" i="1"/>
  <c r="I2654" i="1"/>
  <c r="J2654" i="1"/>
  <c r="K2654" i="1"/>
  <c r="E1501" i="2"/>
  <c r="I1501" i="2"/>
  <c r="C2653" i="1"/>
  <c r="F2653" i="1"/>
  <c r="I2653" i="1"/>
  <c r="J2653" i="1"/>
  <c r="K2653" i="1"/>
  <c r="E1500" i="2"/>
  <c r="I1500" i="2"/>
  <c r="C2652" i="1"/>
  <c r="F2652" i="1"/>
  <c r="I2652" i="1"/>
  <c r="J2652" i="1"/>
  <c r="K2652" i="1"/>
  <c r="E1499" i="2"/>
  <c r="I1499" i="2"/>
  <c r="C2651" i="1"/>
  <c r="F2651" i="1"/>
  <c r="I2651" i="1"/>
  <c r="J2651" i="1"/>
  <c r="K2651" i="1"/>
  <c r="E1498" i="2"/>
  <c r="I1498" i="2"/>
  <c r="C2650" i="1"/>
  <c r="F2650" i="1"/>
  <c r="I2650" i="1"/>
  <c r="J2650" i="1"/>
  <c r="K2650" i="1"/>
  <c r="E1497" i="2"/>
  <c r="I1497" i="2"/>
  <c r="C2649" i="1"/>
  <c r="F2649" i="1"/>
  <c r="I2649" i="1"/>
  <c r="J2649" i="1"/>
  <c r="K2649" i="1"/>
  <c r="E1496" i="2"/>
  <c r="I1496" i="2"/>
  <c r="C2648" i="1"/>
  <c r="F2648" i="1"/>
  <c r="I2648" i="1"/>
  <c r="J2648" i="1"/>
  <c r="K2648" i="1"/>
  <c r="E1495" i="2"/>
  <c r="I1495" i="2"/>
  <c r="C2647" i="1"/>
  <c r="F2647" i="1"/>
  <c r="I2647" i="1"/>
  <c r="J2647" i="1"/>
  <c r="K2647" i="1"/>
  <c r="E1494" i="2"/>
  <c r="I1494" i="2"/>
  <c r="C2646" i="1" l="1"/>
  <c r="F2646" i="1"/>
  <c r="I2646" i="1"/>
  <c r="J2646" i="1"/>
  <c r="K2646" i="1"/>
  <c r="E1493" i="2"/>
  <c r="I1493" i="2"/>
  <c r="C2645" i="1"/>
  <c r="F2645" i="1"/>
  <c r="I2645" i="1"/>
  <c r="J2645" i="1"/>
  <c r="K2645" i="1"/>
  <c r="E1492" i="2"/>
  <c r="I1492" i="2"/>
  <c r="C2644" i="1" l="1"/>
  <c r="F2644" i="1"/>
  <c r="I2644" i="1"/>
  <c r="J2644" i="1"/>
  <c r="K2644" i="1"/>
  <c r="E1443" i="2"/>
  <c r="I1443" i="2"/>
  <c r="C2643" i="1"/>
  <c r="F2643" i="1"/>
  <c r="I2643" i="1"/>
  <c r="J2643" i="1"/>
  <c r="K2643" i="1"/>
  <c r="E1427" i="2"/>
  <c r="I1427" i="2"/>
  <c r="C2642" i="1"/>
  <c r="F2642" i="1"/>
  <c r="I2642" i="1"/>
  <c r="J2642" i="1"/>
  <c r="K2642" i="1"/>
  <c r="E1473" i="2"/>
  <c r="I1473" i="2"/>
  <c r="E1433" i="2"/>
  <c r="I1433" i="2"/>
  <c r="C2641" i="1"/>
  <c r="F2641" i="1"/>
  <c r="I2641" i="1"/>
  <c r="J2641" i="1"/>
  <c r="K2641" i="1"/>
  <c r="E1483" i="2"/>
  <c r="I1483" i="2"/>
  <c r="C2640" i="1"/>
  <c r="F2640" i="1"/>
  <c r="I2640" i="1"/>
  <c r="J2640" i="1"/>
  <c r="K2640" i="1"/>
  <c r="E1491" i="2"/>
  <c r="I1491" i="2"/>
  <c r="C2639" i="1"/>
  <c r="F2639" i="1"/>
  <c r="I2639" i="1"/>
  <c r="J2639" i="1"/>
  <c r="K2639" i="1"/>
  <c r="E1487" i="2"/>
  <c r="I1487" i="2"/>
  <c r="C2638" i="1"/>
  <c r="F2638" i="1"/>
  <c r="I2638" i="1"/>
  <c r="J2638" i="1"/>
  <c r="K2638" i="1"/>
  <c r="E1404" i="2"/>
  <c r="I1404" i="2"/>
  <c r="C2637" i="1"/>
  <c r="F2637" i="1"/>
  <c r="I2637" i="1"/>
  <c r="J2637" i="1"/>
  <c r="K2637" i="1"/>
  <c r="E1380" i="2"/>
  <c r="I1380" i="2"/>
  <c r="E1176" i="2" l="1"/>
  <c r="I1176" i="2"/>
  <c r="C2636" i="1"/>
  <c r="F2636" i="1"/>
  <c r="I2636" i="1"/>
  <c r="J2636" i="1"/>
  <c r="K2636" i="1"/>
  <c r="C2635" i="1"/>
  <c r="F2635" i="1"/>
  <c r="I2635" i="1"/>
  <c r="J2635" i="1"/>
  <c r="K2635" i="1"/>
  <c r="C2634" i="1"/>
  <c r="F2634" i="1"/>
  <c r="I2634" i="1"/>
  <c r="J2634" i="1"/>
  <c r="K2634" i="1"/>
  <c r="E1481" i="2"/>
  <c r="I1481" i="2"/>
  <c r="E1480" i="2"/>
  <c r="I1480" i="2"/>
  <c r="C2633" i="1"/>
  <c r="F2633" i="1"/>
  <c r="I2633" i="1"/>
  <c r="J2633" i="1"/>
  <c r="K2633" i="1"/>
  <c r="E1479" i="2"/>
  <c r="I1479" i="2"/>
  <c r="C2632" i="1"/>
  <c r="F2632" i="1"/>
  <c r="I2632" i="1"/>
  <c r="J2632" i="1"/>
  <c r="K2632" i="1"/>
  <c r="E1478" i="2"/>
  <c r="I1478" i="2"/>
  <c r="C2631" i="1" l="1"/>
  <c r="F2631" i="1"/>
  <c r="I2631" i="1"/>
  <c r="J2631" i="1"/>
  <c r="K2631" i="1"/>
  <c r="E1477" i="2"/>
  <c r="I1477" i="2"/>
  <c r="C2630" i="1" l="1"/>
  <c r="F2630" i="1"/>
  <c r="I2630" i="1"/>
  <c r="J2630" i="1"/>
  <c r="K2630" i="1"/>
  <c r="E1296" i="2"/>
  <c r="I1296" i="2"/>
  <c r="C2629" i="1"/>
  <c r="F2629" i="1"/>
  <c r="I2629" i="1"/>
  <c r="J2629" i="1"/>
  <c r="K2629" i="1"/>
  <c r="E1295" i="2"/>
  <c r="I1295" i="2"/>
  <c r="C2628" i="1"/>
  <c r="F2628" i="1"/>
  <c r="I2628" i="1"/>
  <c r="J2628" i="1"/>
  <c r="K2628" i="1"/>
  <c r="E1294" i="2"/>
  <c r="I1294" i="2"/>
  <c r="C2627" i="1"/>
  <c r="F2627" i="1"/>
  <c r="I2627" i="1"/>
  <c r="J2627" i="1"/>
  <c r="K2627" i="1"/>
  <c r="E1287" i="2"/>
  <c r="I1287" i="2"/>
  <c r="C2626" i="1"/>
  <c r="F2626" i="1"/>
  <c r="I2626" i="1"/>
  <c r="J2626" i="1"/>
  <c r="K2626" i="1"/>
  <c r="E1470" i="2"/>
  <c r="I1470" i="2"/>
  <c r="K2625" i="1"/>
  <c r="J2625" i="1"/>
  <c r="I2625" i="1"/>
  <c r="F2625" i="1"/>
  <c r="C2625" i="1"/>
  <c r="E1469" i="2"/>
  <c r="I1469" i="2"/>
  <c r="K2624" i="1"/>
  <c r="J2624" i="1"/>
  <c r="I2624" i="1"/>
  <c r="F2624" i="1"/>
  <c r="C2624" i="1"/>
  <c r="E1468" i="2"/>
  <c r="I1468" i="2"/>
  <c r="K2623" i="1"/>
  <c r="J2623" i="1"/>
  <c r="I2623" i="1"/>
  <c r="F2623" i="1"/>
  <c r="C2623" i="1"/>
  <c r="E1467" i="2"/>
  <c r="I1467" i="2"/>
  <c r="K2622" i="1"/>
  <c r="J2622" i="1"/>
  <c r="I2622" i="1"/>
  <c r="F2622" i="1"/>
  <c r="C2622" i="1"/>
  <c r="K2621" i="1"/>
  <c r="J2621" i="1"/>
  <c r="I2621" i="1"/>
  <c r="F2621" i="1"/>
  <c r="C2621" i="1"/>
  <c r="E1452" i="2"/>
  <c r="I1452" i="2"/>
  <c r="E1451" i="2"/>
  <c r="I1451" i="2"/>
  <c r="C2620" i="1" l="1"/>
  <c r="F2620" i="1"/>
  <c r="I2620" i="1"/>
  <c r="J2620" i="1"/>
  <c r="K2620" i="1"/>
  <c r="E1466" i="2"/>
  <c r="I1466" i="2"/>
  <c r="E1465" i="2"/>
  <c r="I1465" i="2"/>
  <c r="C2619" i="1"/>
  <c r="F2619" i="1"/>
  <c r="I2619" i="1"/>
  <c r="J2619" i="1"/>
  <c r="K2619" i="1"/>
  <c r="E1464" i="2"/>
  <c r="I1464" i="2"/>
  <c r="C2618" i="1"/>
  <c r="F2618" i="1"/>
  <c r="I2618" i="1"/>
  <c r="J2618" i="1"/>
  <c r="K2618" i="1"/>
  <c r="E1463" i="2"/>
  <c r="I1463" i="2"/>
  <c r="C2617" i="1"/>
  <c r="F2617" i="1"/>
  <c r="I2617" i="1"/>
  <c r="J2617" i="1"/>
  <c r="K2617" i="1"/>
  <c r="E1462" i="2"/>
  <c r="I1462" i="2"/>
  <c r="C2616" i="1"/>
  <c r="F2616" i="1"/>
  <c r="I2616" i="1"/>
  <c r="J2616" i="1"/>
  <c r="K2616" i="1"/>
  <c r="E1461" i="2"/>
  <c r="I1461" i="2"/>
  <c r="C2615" i="1"/>
  <c r="F2615" i="1"/>
  <c r="I2615" i="1"/>
  <c r="J2615" i="1"/>
  <c r="K2615" i="1"/>
  <c r="C2614" i="1"/>
  <c r="F2614" i="1"/>
  <c r="I2614" i="1"/>
  <c r="J2614" i="1"/>
  <c r="K2614" i="1"/>
  <c r="C2613" i="1"/>
  <c r="F2613" i="1"/>
  <c r="I2613" i="1"/>
  <c r="J2613" i="1"/>
  <c r="K2613" i="1"/>
  <c r="E1460" i="2"/>
  <c r="I1460" i="2"/>
  <c r="E1459" i="2"/>
  <c r="I1459" i="2"/>
  <c r="E1458" i="2"/>
  <c r="I1458" i="2"/>
  <c r="C2612" i="1"/>
  <c r="F2612" i="1"/>
  <c r="I2612" i="1"/>
  <c r="J2612" i="1"/>
  <c r="K2612" i="1"/>
  <c r="E1457" i="2"/>
  <c r="I1457" i="2"/>
  <c r="C2611" i="1"/>
  <c r="F2611" i="1"/>
  <c r="I2611" i="1"/>
  <c r="J2611" i="1"/>
  <c r="K2611" i="1"/>
  <c r="E1456" i="2"/>
  <c r="I1456" i="2"/>
  <c r="K2610" i="1"/>
  <c r="J2610" i="1"/>
  <c r="I2610" i="1"/>
  <c r="F2610" i="1"/>
  <c r="C2610" i="1"/>
  <c r="I1455" i="2"/>
  <c r="E1455" i="2"/>
  <c r="C2609" i="1"/>
  <c r="F2609" i="1"/>
  <c r="I2609" i="1"/>
  <c r="J2609" i="1"/>
  <c r="K2609" i="1"/>
  <c r="E1325" i="2"/>
  <c r="I1325" i="2"/>
  <c r="C2608" i="1"/>
  <c r="F2608" i="1"/>
  <c r="I2608" i="1"/>
  <c r="J2608" i="1"/>
  <c r="K2608" i="1"/>
  <c r="E1326" i="2"/>
  <c r="I1326" i="2"/>
  <c r="C2607" i="1"/>
  <c r="F2607" i="1"/>
  <c r="I2607" i="1"/>
  <c r="J2607" i="1"/>
  <c r="K2607" i="1"/>
  <c r="E1432" i="2"/>
  <c r="I1432" i="2"/>
  <c r="C2606" i="1"/>
  <c r="F2606" i="1"/>
  <c r="I2606" i="1"/>
  <c r="J2606" i="1"/>
  <c r="K2606" i="1"/>
  <c r="E1323" i="2"/>
  <c r="I1323" i="2"/>
  <c r="C2605" i="1"/>
  <c r="F2605" i="1"/>
  <c r="I2605" i="1"/>
  <c r="J2605" i="1"/>
  <c r="K2605" i="1"/>
  <c r="E1195" i="2"/>
  <c r="I1195" i="2"/>
  <c r="C2604" i="1"/>
  <c r="F2604" i="1"/>
  <c r="I2604" i="1"/>
  <c r="J2604" i="1"/>
  <c r="K2604" i="1"/>
  <c r="E1164" i="2"/>
  <c r="I1164" i="2"/>
  <c r="C2603" i="1"/>
  <c r="F2603" i="1"/>
  <c r="I2603" i="1"/>
  <c r="J2603" i="1"/>
  <c r="K2603" i="1"/>
  <c r="C2602" i="1"/>
  <c r="F2602" i="1"/>
  <c r="I2602" i="1"/>
  <c r="J2602" i="1"/>
  <c r="K2602" i="1"/>
  <c r="C2601" i="1"/>
  <c r="F2601" i="1"/>
  <c r="I2601" i="1"/>
  <c r="J2601" i="1"/>
  <c r="K2601" i="1"/>
  <c r="E1157" i="2"/>
  <c r="I1157" i="2"/>
  <c r="E1085" i="2"/>
  <c r="I1085" i="2"/>
  <c r="E1084" i="2"/>
  <c r="I1084" i="2"/>
  <c r="E1445" i="2"/>
  <c r="I1445" i="2"/>
  <c r="C2600" i="1" l="1"/>
  <c r="F2600" i="1"/>
  <c r="I2600" i="1"/>
  <c r="J2600" i="1"/>
  <c r="K2600" i="1"/>
  <c r="E1489" i="2"/>
  <c r="I1489" i="2"/>
  <c r="C2599" i="1" l="1"/>
  <c r="F2599" i="1"/>
  <c r="I2599" i="1"/>
  <c r="J2599" i="1"/>
  <c r="K2599" i="1"/>
  <c r="E1075" i="2"/>
  <c r="I1075" i="2"/>
  <c r="E1442" i="2"/>
  <c r="I1442" i="2"/>
  <c r="C2598" i="1"/>
  <c r="F2598" i="1"/>
  <c r="I2598" i="1"/>
  <c r="J2598" i="1"/>
  <c r="K2598" i="1"/>
  <c r="C2597" i="1"/>
  <c r="F2597" i="1"/>
  <c r="I2597" i="1"/>
  <c r="J2597" i="1"/>
  <c r="K2597" i="1"/>
  <c r="E1441" i="2"/>
  <c r="I1441" i="2"/>
  <c r="C2596" i="1"/>
  <c r="F2596" i="1"/>
  <c r="I2596" i="1"/>
  <c r="J2596" i="1"/>
  <c r="K2596" i="1"/>
  <c r="E1440" i="2"/>
  <c r="I1440" i="2"/>
  <c r="F2595" i="1"/>
  <c r="C2595" i="1"/>
  <c r="I2595" i="1"/>
  <c r="J2595" i="1"/>
  <c r="K2595" i="1"/>
  <c r="E1439" i="2"/>
  <c r="I1439" i="2"/>
  <c r="C2594" i="1"/>
  <c r="F2594" i="1"/>
  <c r="I2594" i="1"/>
  <c r="J2594" i="1"/>
  <c r="K2594" i="1"/>
  <c r="E1232" i="2"/>
  <c r="I1232" i="2"/>
  <c r="C2593" i="1"/>
  <c r="F2593" i="1"/>
  <c r="I2593" i="1"/>
  <c r="J2593" i="1"/>
  <c r="K2593" i="1"/>
  <c r="E1289" i="2"/>
  <c r="I1289" i="2"/>
  <c r="C2592" i="1"/>
  <c r="F2592" i="1"/>
  <c r="I2592" i="1"/>
  <c r="J2592" i="1"/>
  <c r="K2592" i="1"/>
  <c r="E1081" i="2"/>
  <c r="I1081" i="2"/>
  <c r="C2591" i="1"/>
  <c r="F2591" i="1"/>
  <c r="I2591" i="1"/>
  <c r="J2591" i="1"/>
  <c r="K2591" i="1"/>
  <c r="E1435" i="2"/>
  <c r="I1435" i="2"/>
  <c r="C2590" i="1"/>
  <c r="F2590" i="1"/>
  <c r="I2590" i="1"/>
  <c r="J2590" i="1"/>
  <c r="K2590" i="1"/>
  <c r="E1434" i="2"/>
  <c r="I1434" i="2"/>
  <c r="C2589" i="1"/>
  <c r="F2589" i="1"/>
  <c r="I2589" i="1"/>
  <c r="J2589" i="1"/>
  <c r="K2589" i="1"/>
  <c r="E1373" i="2"/>
  <c r="I1373" i="2"/>
  <c r="C2588" i="1"/>
  <c r="F2588" i="1"/>
  <c r="I2588" i="1"/>
  <c r="J2588" i="1"/>
  <c r="K2588" i="1"/>
  <c r="E1476" i="2"/>
  <c r="I1476" i="2"/>
  <c r="C2587" i="1"/>
  <c r="F2587" i="1"/>
  <c r="I2587" i="1"/>
  <c r="J2587" i="1"/>
  <c r="K2587" i="1"/>
  <c r="E1192" i="2"/>
  <c r="I1192" i="2"/>
  <c r="C2586" i="1"/>
  <c r="F2586" i="1"/>
  <c r="I2586" i="1"/>
  <c r="J2586" i="1"/>
  <c r="K2586" i="1"/>
  <c r="C2585" i="1"/>
  <c r="F2585" i="1"/>
  <c r="I2585" i="1"/>
  <c r="J2585" i="1"/>
  <c r="K2585" i="1"/>
  <c r="C2584" i="1"/>
  <c r="F2584" i="1"/>
  <c r="I2584" i="1"/>
  <c r="J2584" i="1"/>
  <c r="K2584" i="1"/>
  <c r="E1430" i="2"/>
  <c r="I1430" i="2"/>
  <c r="E1429" i="2"/>
  <c r="I1429" i="2"/>
  <c r="E1428" i="2"/>
  <c r="I1428" i="2"/>
  <c r="F2583" i="1"/>
  <c r="C2583" i="1"/>
  <c r="I2583" i="1"/>
  <c r="J2583" i="1"/>
  <c r="K2583" i="1"/>
  <c r="E1471" i="2"/>
  <c r="I1471" i="2"/>
  <c r="F2582" i="1"/>
  <c r="C2582" i="1"/>
  <c r="I2582" i="1"/>
  <c r="J2582" i="1"/>
  <c r="K2582" i="1"/>
  <c r="E1426" i="2"/>
  <c r="I1426" i="2"/>
  <c r="C2581" i="1"/>
  <c r="F2581" i="1"/>
  <c r="I2581" i="1"/>
  <c r="J2581" i="1"/>
  <c r="K2581" i="1"/>
  <c r="E1425" i="2"/>
  <c r="I1425" i="2"/>
  <c r="E1424" i="2"/>
  <c r="I1424" i="2"/>
  <c r="C2580" i="1"/>
  <c r="F2580" i="1"/>
  <c r="I2580" i="1"/>
  <c r="J2580" i="1"/>
  <c r="K2580" i="1"/>
  <c r="E1423" i="2"/>
  <c r="I1423" i="2"/>
  <c r="C2579" i="1" l="1"/>
  <c r="F2579" i="1"/>
  <c r="I2579" i="1"/>
  <c r="J2579" i="1"/>
  <c r="K2579" i="1"/>
  <c r="E1422" i="2"/>
  <c r="I1422" i="2"/>
  <c r="E1421" i="2" l="1"/>
  <c r="I1421" i="2"/>
  <c r="C2578" i="1"/>
  <c r="F2578" i="1"/>
  <c r="I2578" i="1"/>
  <c r="J2578" i="1"/>
  <c r="K2578" i="1"/>
  <c r="E1420" i="2"/>
  <c r="I1420" i="2"/>
  <c r="I1419" i="2"/>
  <c r="E1419" i="2"/>
  <c r="I1418" i="2"/>
  <c r="E1418" i="2"/>
  <c r="I1417" i="2"/>
  <c r="E1417" i="2"/>
  <c r="I1416" i="2"/>
  <c r="E1416" i="2"/>
  <c r="I1415" i="2"/>
  <c r="E1415" i="2"/>
  <c r="I1414" i="2"/>
  <c r="E1414" i="2"/>
  <c r="I1413" i="2"/>
  <c r="E1413" i="2"/>
  <c r="I1412" i="2"/>
  <c r="E1412" i="2"/>
  <c r="I1411" i="2"/>
  <c r="E1411" i="2"/>
  <c r="C2577" i="1"/>
  <c r="F2577" i="1"/>
  <c r="I2577" i="1"/>
  <c r="J2577" i="1"/>
  <c r="K2577" i="1"/>
  <c r="C2576" i="1"/>
  <c r="F2576" i="1"/>
  <c r="I2576" i="1"/>
  <c r="J2576" i="1"/>
  <c r="K2576" i="1"/>
  <c r="C2575" i="1"/>
  <c r="F2575" i="1"/>
  <c r="I2575" i="1"/>
  <c r="J2575" i="1"/>
  <c r="K2575" i="1"/>
  <c r="C2574" i="1"/>
  <c r="F2574" i="1"/>
  <c r="I2574" i="1"/>
  <c r="J2574" i="1"/>
  <c r="K2574" i="1"/>
  <c r="E1410" i="2"/>
  <c r="I1410" i="2"/>
  <c r="E1409" i="2"/>
  <c r="I1409" i="2"/>
  <c r="E1408" i="2"/>
  <c r="I1408" i="2"/>
  <c r="E1407" i="2"/>
  <c r="I1407" i="2"/>
  <c r="K2573" i="1" l="1"/>
  <c r="J2573" i="1"/>
  <c r="I2573" i="1"/>
  <c r="F2573" i="1"/>
  <c r="C2573" i="1"/>
  <c r="I1406" i="2"/>
  <c r="E1406" i="2"/>
  <c r="C2572" i="1"/>
  <c r="F2572" i="1"/>
  <c r="I2572" i="1"/>
  <c r="J2572" i="1"/>
  <c r="K2572" i="1"/>
  <c r="E1405" i="2"/>
  <c r="I1405" i="2"/>
  <c r="C2571" i="1"/>
  <c r="F2571" i="1"/>
  <c r="I2571" i="1"/>
  <c r="J2571" i="1"/>
  <c r="K2571" i="1"/>
  <c r="E1288" i="2"/>
  <c r="I1288" i="2"/>
  <c r="K2570" i="1" l="1"/>
  <c r="J2570" i="1"/>
  <c r="I2570" i="1"/>
  <c r="F2570" i="1"/>
  <c r="C2570" i="1"/>
  <c r="E1403" i="2"/>
  <c r="I1403" i="2"/>
  <c r="K2569" i="1"/>
  <c r="J2569" i="1"/>
  <c r="I2569" i="1"/>
  <c r="F2569" i="1"/>
  <c r="C2569" i="1"/>
  <c r="E1402" i="2"/>
  <c r="I1402" i="2"/>
  <c r="C2568" i="1"/>
  <c r="F2568" i="1"/>
  <c r="I2568" i="1"/>
  <c r="J2568" i="1"/>
  <c r="K2568" i="1"/>
  <c r="E1401" i="2"/>
  <c r="I1401" i="2"/>
  <c r="C2567" i="1"/>
  <c r="F2567" i="1"/>
  <c r="I2567" i="1"/>
  <c r="J2567" i="1"/>
  <c r="K2567" i="1"/>
  <c r="C2566" i="1"/>
  <c r="F2566" i="1"/>
  <c r="I2566" i="1"/>
  <c r="J2566" i="1"/>
  <c r="K2566" i="1"/>
  <c r="E1400" i="2"/>
  <c r="I1400" i="2"/>
  <c r="E1399" i="2"/>
  <c r="I1399" i="2"/>
  <c r="E1398" i="2" l="1"/>
  <c r="I1398" i="2"/>
  <c r="E1397" i="2"/>
  <c r="I1397" i="2"/>
  <c r="E1396" i="2"/>
  <c r="I1396" i="2"/>
  <c r="C2565" i="1" l="1"/>
  <c r="F2565" i="1"/>
  <c r="I2565" i="1"/>
  <c r="J2565" i="1"/>
  <c r="K2565" i="1"/>
  <c r="E1395" i="2"/>
  <c r="I1395" i="2"/>
  <c r="C2564" i="1" l="1"/>
  <c r="F2564" i="1"/>
  <c r="I2564" i="1"/>
  <c r="J2564" i="1"/>
  <c r="K2564" i="1"/>
  <c r="E1394" i="2"/>
  <c r="I1394" i="2"/>
  <c r="C2563" i="1"/>
  <c r="F2563" i="1"/>
  <c r="I2563" i="1"/>
  <c r="J2563" i="1"/>
  <c r="K2563" i="1"/>
  <c r="E1082" i="2"/>
  <c r="I1082" i="2"/>
  <c r="E1392" i="2" l="1"/>
  <c r="I1392" i="2"/>
  <c r="K2562" i="1"/>
  <c r="J2562" i="1"/>
  <c r="I2562" i="1"/>
  <c r="F2562" i="1"/>
  <c r="C2562" i="1"/>
  <c r="K2561" i="1"/>
  <c r="J2561" i="1"/>
  <c r="I2561" i="1"/>
  <c r="F2561" i="1"/>
  <c r="C2561" i="1"/>
  <c r="E1391" i="2"/>
  <c r="I1391" i="2"/>
  <c r="C2560" i="1" l="1"/>
  <c r="F2560" i="1"/>
  <c r="I2560" i="1"/>
  <c r="J2560" i="1"/>
  <c r="K2560" i="1"/>
  <c r="E1390" i="2"/>
  <c r="I1390" i="2"/>
  <c r="C2559" i="1"/>
  <c r="F2559" i="1"/>
  <c r="I2559" i="1"/>
  <c r="J2559" i="1"/>
  <c r="K2559" i="1"/>
  <c r="E1389" i="2"/>
  <c r="I1389" i="2"/>
  <c r="K2558" i="1"/>
  <c r="J2558" i="1"/>
  <c r="I2558" i="1"/>
  <c r="F2558" i="1"/>
  <c r="C2558" i="1"/>
  <c r="K2557" i="1"/>
  <c r="J2557" i="1"/>
  <c r="I2557" i="1"/>
  <c r="F2557" i="1"/>
  <c r="C2557" i="1"/>
  <c r="K2556" i="1"/>
  <c r="J2556" i="1"/>
  <c r="I2556" i="1"/>
  <c r="F2556" i="1"/>
  <c r="C2556" i="1"/>
  <c r="C2555" i="1"/>
  <c r="F2555" i="1"/>
  <c r="I2555" i="1"/>
  <c r="J2555" i="1"/>
  <c r="K2555" i="1"/>
  <c r="E1388" i="2"/>
  <c r="I1388" i="2"/>
  <c r="E1387" i="2"/>
  <c r="I1387" i="2"/>
  <c r="E1386" i="2"/>
  <c r="I1386" i="2"/>
  <c r="C2554" i="1"/>
  <c r="F2554" i="1"/>
  <c r="I2554" i="1"/>
  <c r="J2554" i="1"/>
  <c r="K2554" i="1"/>
  <c r="E1298" i="2"/>
  <c r="I1298" i="2"/>
  <c r="C2553" i="1"/>
  <c r="F2553" i="1"/>
  <c r="I2553" i="1"/>
  <c r="J2553" i="1"/>
  <c r="K2553" i="1"/>
  <c r="E1438" i="2"/>
  <c r="I1438" i="2"/>
  <c r="E1383" i="2" l="1"/>
  <c r="I1383" i="2"/>
  <c r="E1382" i="2"/>
  <c r="I1382" i="2"/>
  <c r="C2552" i="1"/>
  <c r="F2552" i="1"/>
  <c r="I2552" i="1"/>
  <c r="J2552" i="1"/>
  <c r="K2552" i="1"/>
  <c r="E1381" i="2"/>
  <c r="I1381" i="2"/>
  <c r="C2551" i="1"/>
  <c r="F2551" i="1"/>
  <c r="I2551" i="1"/>
  <c r="J2551" i="1"/>
  <c r="K2551" i="1"/>
  <c r="E1376" i="2"/>
  <c r="I1376" i="2"/>
  <c r="E1379" i="2"/>
  <c r="I1379" i="2"/>
  <c r="E1378" i="2"/>
  <c r="I1378" i="2"/>
  <c r="E1377" i="2" l="1"/>
  <c r="I1377" i="2"/>
  <c r="C2550" i="1"/>
  <c r="F2550" i="1"/>
  <c r="I2550" i="1"/>
  <c r="J2550" i="1"/>
  <c r="K2550" i="1"/>
  <c r="I1349" i="2"/>
  <c r="E1349" i="2"/>
  <c r="C2549" i="1"/>
  <c r="F2549" i="1"/>
  <c r="I2549" i="1"/>
  <c r="J2549" i="1"/>
  <c r="K2549" i="1"/>
  <c r="E1375" i="2"/>
  <c r="I1375" i="2"/>
  <c r="E1374" i="2"/>
  <c r="I1374" i="2"/>
  <c r="E1318" i="2"/>
  <c r="I1318" i="2"/>
  <c r="C2548" i="1"/>
  <c r="F2548" i="1"/>
  <c r="I2548" i="1"/>
  <c r="J2548" i="1"/>
  <c r="K2548" i="1"/>
  <c r="E1372" i="2"/>
  <c r="I1372" i="2"/>
  <c r="F2328" i="1" l="1"/>
  <c r="E1371" i="2"/>
  <c r="I1371" i="2"/>
  <c r="E1370" i="2"/>
  <c r="I1370" i="2"/>
  <c r="K2547" i="1"/>
  <c r="J2547" i="1"/>
  <c r="I2547" i="1"/>
  <c r="F2547" i="1"/>
  <c r="C2547" i="1"/>
  <c r="K2546" i="1" l="1"/>
  <c r="J2546" i="1"/>
  <c r="I2546" i="1"/>
  <c r="F2546" i="1"/>
  <c r="C2546" i="1"/>
  <c r="E1369" i="2"/>
  <c r="I1369" i="2"/>
  <c r="E1368" i="2" l="1"/>
  <c r="I1368" i="2"/>
  <c r="F1911" i="1" l="1"/>
  <c r="K2545" i="1"/>
  <c r="J2545" i="1"/>
  <c r="I2545" i="1"/>
  <c r="F2545" i="1"/>
  <c r="C2545" i="1"/>
  <c r="E1367" i="2"/>
  <c r="I1367" i="2"/>
  <c r="F2526" i="1" l="1"/>
  <c r="I1366" i="2" l="1"/>
  <c r="E1366" i="2"/>
  <c r="C2544" i="1" l="1"/>
  <c r="F2544" i="1"/>
  <c r="I2544" i="1"/>
  <c r="J2544" i="1"/>
  <c r="K2544" i="1"/>
  <c r="E1077" i="2"/>
  <c r="I1077" i="2"/>
  <c r="E1364" i="2"/>
  <c r="I1364" i="2"/>
  <c r="K2543" i="1" l="1"/>
  <c r="J2543" i="1"/>
  <c r="I2543" i="1"/>
  <c r="F2543" i="1"/>
  <c r="C2543" i="1"/>
  <c r="E1363" i="2"/>
  <c r="I1363" i="2"/>
  <c r="C2542" i="1"/>
  <c r="F2542" i="1"/>
  <c r="I2542" i="1"/>
  <c r="J2542" i="1"/>
  <c r="K2542" i="1"/>
  <c r="E1362" i="2"/>
  <c r="I1362" i="2"/>
  <c r="K2541" i="1"/>
  <c r="J2541" i="1"/>
  <c r="I2541" i="1"/>
  <c r="F2541" i="1"/>
  <c r="C2541" i="1"/>
  <c r="E1361" i="2"/>
  <c r="I1361" i="2"/>
  <c r="C2540" i="1"/>
  <c r="F2540" i="1"/>
  <c r="I2540" i="1"/>
  <c r="J2540" i="1"/>
  <c r="K2540" i="1"/>
  <c r="E1360" i="2"/>
  <c r="I1360" i="2"/>
  <c r="E1359" i="2"/>
  <c r="I1359" i="2"/>
  <c r="C2527" i="1"/>
  <c r="E1358" i="2" l="1"/>
  <c r="I1358" i="2"/>
  <c r="C2539" i="1" l="1"/>
  <c r="F2539" i="1"/>
  <c r="I2539" i="1"/>
  <c r="J2539" i="1"/>
  <c r="K2539" i="1"/>
  <c r="E1357" i="2"/>
  <c r="I1357" i="2"/>
  <c r="C2538" i="1"/>
  <c r="F2538" i="1"/>
  <c r="I2538" i="1"/>
  <c r="J2538" i="1"/>
  <c r="K2538" i="1"/>
  <c r="E1356" i="2"/>
  <c r="I1356" i="2"/>
  <c r="C2537" i="1"/>
  <c r="F2537" i="1"/>
  <c r="I2537" i="1"/>
  <c r="J2537" i="1"/>
  <c r="K2537" i="1"/>
  <c r="E1355" i="2"/>
  <c r="I1355" i="2"/>
  <c r="C2536" i="1"/>
  <c r="F2536" i="1"/>
  <c r="I2536" i="1"/>
  <c r="J2536" i="1"/>
  <c r="K2536" i="1"/>
  <c r="E1354" i="2"/>
  <c r="I1354" i="2"/>
  <c r="C2535" i="1"/>
  <c r="F2535" i="1"/>
  <c r="I2535" i="1"/>
  <c r="J2535" i="1"/>
  <c r="K2535" i="1"/>
  <c r="E1353" i="2"/>
  <c r="I1353" i="2"/>
  <c r="C2534" i="1"/>
  <c r="F2534" i="1"/>
  <c r="I2534" i="1"/>
  <c r="J2534" i="1"/>
  <c r="K2534" i="1"/>
  <c r="E1488" i="2"/>
  <c r="I1488" i="2"/>
  <c r="C2533" i="1"/>
  <c r="F2533" i="1"/>
  <c r="I2533" i="1"/>
  <c r="J2533" i="1"/>
  <c r="K2533" i="1"/>
  <c r="C2532" i="1"/>
  <c r="F2532" i="1"/>
  <c r="I2532" i="1"/>
  <c r="J2532" i="1"/>
  <c r="K2532" i="1"/>
  <c r="E1351" i="2"/>
  <c r="I1351" i="2"/>
  <c r="E1350" i="2"/>
  <c r="I1350" i="2"/>
  <c r="C2531" i="1"/>
  <c r="F2531" i="1"/>
  <c r="I2531" i="1"/>
  <c r="J2531" i="1"/>
  <c r="K2531" i="1"/>
  <c r="I1472" i="2"/>
  <c r="E1472" i="2"/>
  <c r="C2530" i="1"/>
  <c r="F2530" i="1"/>
  <c r="I2530" i="1"/>
  <c r="J2530" i="1"/>
  <c r="K2530" i="1"/>
  <c r="I1348" i="2"/>
  <c r="E1348" i="2"/>
  <c r="C2529" i="1"/>
  <c r="F2529" i="1"/>
  <c r="I2529" i="1"/>
  <c r="J2529" i="1"/>
  <c r="K2529" i="1"/>
  <c r="E1347" i="2"/>
  <c r="I1347" i="2"/>
  <c r="C2528" i="1"/>
  <c r="F2528" i="1"/>
  <c r="I2528" i="1"/>
  <c r="J2528" i="1"/>
  <c r="K2528" i="1"/>
  <c r="E1346" i="2"/>
  <c r="I1346" i="2"/>
  <c r="E1345" i="2"/>
  <c r="I1345" i="2"/>
  <c r="C2526" i="1"/>
  <c r="I2526" i="1"/>
  <c r="J2526" i="1"/>
  <c r="K2526" i="1"/>
  <c r="I1344" i="2"/>
  <c r="E1344" i="2"/>
  <c r="E1343" i="2"/>
  <c r="E1342" i="2"/>
  <c r="E1341" i="2"/>
  <c r="E1340" i="2"/>
  <c r="E1339" i="2"/>
  <c r="I1339" i="2"/>
  <c r="I1340" i="2"/>
  <c r="I1341" i="2"/>
  <c r="I1342" i="2"/>
  <c r="I1343" i="2"/>
  <c r="C2523" i="1"/>
  <c r="C2524" i="1"/>
  <c r="C2525" i="1"/>
  <c r="F2523" i="1"/>
  <c r="F2524" i="1"/>
  <c r="F2525" i="1"/>
  <c r="I2523" i="1"/>
  <c r="I2524" i="1"/>
  <c r="I2525" i="1"/>
  <c r="J2523" i="1"/>
  <c r="J2524" i="1"/>
  <c r="J2525" i="1"/>
  <c r="K2523" i="1"/>
  <c r="K2524" i="1"/>
  <c r="K2525" i="1"/>
  <c r="E1338" i="2"/>
  <c r="E1337" i="2"/>
  <c r="I1337" i="2"/>
  <c r="I1338" i="2"/>
  <c r="E1336" i="2"/>
  <c r="I1336" i="2"/>
  <c r="E1335" i="2"/>
  <c r="I1335" i="2"/>
  <c r="C2522" i="1"/>
  <c r="F2522" i="1"/>
  <c r="I2522" i="1"/>
  <c r="J2522" i="1"/>
  <c r="K2522" i="1"/>
  <c r="E1334" i="2"/>
  <c r="I1334" i="2"/>
  <c r="C2521" i="1"/>
  <c r="F2521" i="1"/>
  <c r="I2521" i="1"/>
  <c r="J2521" i="1"/>
  <c r="K2521" i="1"/>
  <c r="E1333" i="2"/>
  <c r="I1333" i="2"/>
  <c r="K2520" i="1"/>
  <c r="J2520" i="1"/>
  <c r="I2520" i="1"/>
  <c r="F2520" i="1"/>
  <c r="C2520" i="1"/>
  <c r="E1332" i="2"/>
  <c r="I1332" i="2"/>
  <c r="I1331" i="2"/>
  <c r="E1331" i="2"/>
  <c r="I1330" i="2"/>
  <c r="E1330" i="2"/>
  <c r="E1329" i="2"/>
  <c r="I1329" i="2"/>
  <c r="C2519" i="1"/>
  <c r="F2519" i="1"/>
  <c r="I2519" i="1"/>
  <c r="J2519" i="1"/>
  <c r="K2519" i="1"/>
  <c r="I1328" i="2" l="1"/>
  <c r="E1328" i="2"/>
  <c r="K2518" i="1"/>
  <c r="J2518" i="1"/>
  <c r="I2518" i="1"/>
  <c r="F2518" i="1"/>
  <c r="C2518" i="1"/>
  <c r="E1327" i="2" l="1"/>
  <c r="I1327" i="2"/>
  <c r="C2517" i="1" l="1"/>
  <c r="F2517" i="1"/>
  <c r="I2517" i="1"/>
  <c r="J2517" i="1"/>
  <c r="K2517" i="1"/>
  <c r="C2516" i="1"/>
  <c r="F2516" i="1"/>
  <c r="I2516" i="1"/>
  <c r="J2516" i="1"/>
  <c r="K2516" i="1"/>
  <c r="C2515" i="1"/>
  <c r="F2515" i="1"/>
  <c r="I2515" i="1"/>
  <c r="J2515" i="1"/>
  <c r="K2515" i="1"/>
  <c r="E1080" i="2"/>
  <c r="I1080" i="2"/>
  <c r="E1078" i="2"/>
  <c r="I1078" i="2"/>
  <c r="E1324" i="2"/>
  <c r="I1324" i="2"/>
  <c r="C2514" i="1"/>
  <c r="F2514" i="1"/>
  <c r="I2514" i="1"/>
  <c r="J2514" i="1"/>
  <c r="K2514" i="1"/>
  <c r="E1305" i="2"/>
  <c r="I1305" i="2"/>
  <c r="C2513" i="1"/>
  <c r="F2513" i="1"/>
  <c r="I2513" i="1"/>
  <c r="J2513" i="1"/>
  <c r="K2513" i="1"/>
  <c r="E1431" i="2"/>
  <c r="I1431" i="2"/>
  <c r="E1321" i="2"/>
  <c r="I1321" i="2"/>
  <c r="E1320" i="2" l="1"/>
  <c r="I1320" i="2"/>
  <c r="E1319" i="2" l="1"/>
  <c r="I1319" i="2"/>
  <c r="K2512" i="1"/>
  <c r="J2512" i="1"/>
  <c r="I2512" i="1"/>
  <c r="F2512" i="1"/>
  <c r="C2512" i="1"/>
  <c r="E1322" i="2"/>
  <c r="I1322" i="2"/>
  <c r="F2418" i="1"/>
  <c r="C2511" i="1"/>
  <c r="F2511" i="1"/>
  <c r="I2511" i="1"/>
  <c r="J2511" i="1"/>
  <c r="K2511" i="1"/>
  <c r="E1317" i="2"/>
  <c r="I1317" i="2"/>
  <c r="E1316" i="2"/>
  <c r="I1316" i="2"/>
  <c r="E1315" i="2"/>
  <c r="I1315" i="2"/>
  <c r="C2510" i="1"/>
  <c r="F2510" i="1"/>
  <c r="I2510" i="1"/>
  <c r="J2510" i="1"/>
  <c r="K2510" i="1"/>
  <c r="C2509" i="1"/>
  <c r="F2509" i="1"/>
  <c r="I2509" i="1"/>
  <c r="J2509" i="1"/>
  <c r="K2509" i="1"/>
  <c r="E1314" i="2"/>
  <c r="I1314" i="2"/>
  <c r="E1313" i="2"/>
  <c r="I1313" i="2"/>
  <c r="E1312" i="2"/>
  <c r="I1312" i="2"/>
  <c r="E1311" i="2"/>
  <c r="I1311" i="2"/>
  <c r="E1310" i="2"/>
  <c r="I1310" i="2"/>
  <c r="E1309" i="2"/>
  <c r="I1309" i="2"/>
  <c r="K2508" i="1"/>
  <c r="J2508" i="1"/>
  <c r="I2508" i="1"/>
  <c r="F2508" i="1"/>
  <c r="C2508" i="1"/>
  <c r="K2507" i="1"/>
  <c r="J2507" i="1"/>
  <c r="I2507" i="1"/>
  <c r="F2507" i="1"/>
  <c r="C2507" i="1"/>
  <c r="E1308" i="2"/>
  <c r="I1308" i="2"/>
  <c r="E1307" i="2" l="1"/>
  <c r="I1307" i="2"/>
  <c r="C2506" i="1" l="1"/>
  <c r="F2506" i="1"/>
  <c r="I2506" i="1"/>
  <c r="J2506" i="1"/>
  <c r="K2506" i="1"/>
  <c r="E1306" i="2"/>
  <c r="I1306" i="2"/>
  <c r="C2505" i="1"/>
  <c r="F2505" i="1"/>
  <c r="I2505" i="1"/>
  <c r="J2505" i="1"/>
  <c r="K2505" i="1"/>
  <c r="E1490" i="2"/>
  <c r="I1490" i="2"/>
  <c r="C2504" i="1"/>
  <c r="F2504" i="1"/>
  <c r="I2504" i="1"/>
  <c r="J2504" i="1"/>
  <c r="K2504" i="1"/>
  <c r="E1486" i="2"/>
  <c r="I1486" i="2"/>
  <c r="E1234" i="2"/>
  <c r="I1234" i="2"/>
  <c r="E1303" i="2" l="1"/>
  <c r="I1303" i="2"/>
  <c r="F2503" i="1" l="1"/>
  <c r="C2503" i="1"/>
  <c r="I2503" i="1"/>
  <c r="J2503" i="1"/>
  <c r="K2503" i="1"/>
  <c r="E1302" i="2"/>
  <c r="I1302" i="2"/>
  <c r="C2502" i="1"/>
  <c r="F2502" i="1"/>
  <c r="I2502" i="1"/>
  <c r="J2502" i="1"/>
  <c r="K2502" i="1"/>
  <c r="C2501" i="1"/>
  <c r="F2501" i="1"/>
  <c r="I2501" i="1"/>
  <c r="J2501" i="1"/>
  <c r="K2501" i="1"/>
  <c r="E1301" i="2"/>
  <c r="I1301" i="2"/>
  <c r="F2497" i="1" l="1"/>
  <c r="C2500" i="1" l="1"/>
  <c r="F2500" i="1"/>
  <c r="I2500" i="1"/>
  <c r="J2500" i="1"/>
  <c r="K2500" i="1"/>
  <c r="C2499" i="1"/>
  <c r="F2499" i="1"/>
  <c r="I2499" i="1"/>
  <c r="J2499" i="1"/>
  <c r="K2499" i="1"/>
  <c r="C2498" i="1"/>
  <c r="F2498" i="1"/>
  <c r="I2498" i="1"/>
  <c r="J2498" i="1"/>
  <c r="K2498" i="1"/>
  <c r="C2497" i="1"/>
  <c r="I2497" i="1"/>
  <c r="J2497" i="1"/>
  <c r="K2497" i="1"/>
  <c r="C2496" i="1"/>
  <c r="F2496" i="1"/>
  <c r="I2496" i="1"/>
  <c r="J2496" i="1"/>
  <c r="K2496" i="1"/>
  <c r="E1260" i="2"/>
  <c r="E1191" i="2"/>
  <c r="E1446" i="2"/>
  <c r="E1444" i="2"/>
  <c r="I1260" i="2"/>
  <c r="I1191" i="2"/>
  <c r="I1446" i="2"/>
  <c r="I1444" i="2"/>
  <c r="E1284" i="2"/>
  <c r="I1284" i="2"/>
  <c r="C2495" i="1"/>
  <c r="F2495" i="1"/>
  <c r="I2495" i="1"/>
  <c r="J2495" i="1"/>
  <c r="K2495" i="1"/>
  <c r="E1437" i="2"/>
  <c r="I1437" i="2"/>
  <c r="C2494" i="1" l="1"/>
  <c r="F2494" i="1"/>
  <c r="I2494" i="1"/>
  <c r="J2494" i="1"/>
  <c r="K2494" i="1"/>
  <c r="E1436" i="2"/>
  <c r="I1436" i="2"/>
  <c r="C2493" i="1"/>
  <c r="F2493" i="1"/>
  <c r="I2493" i="1"/>
  <c r="J2493" i="1"/>
  <c r="K2493" i="1"/>
  <c r="E1293" i="2"/>
  <c r="I1293" i="2"/>
  <c r="C2492" i="1"/>
  <c r="F2492" i="1"/>
  <c r="I2492" i="1"/>
  <c r="J2492" i="1"/>
  <c r="K2492" i="1"/>
  <c r="E1292" i="2"/>
  <c r="I1292" i="2"/>
  <c r="K2491" i="1"/>
  <c r="J2491" i="1"/>
  <c r="I2491" i="1"/>
  <c r="F2491" i="1"/>
  <c r="C2491" i="1"/>
  <c r="E1291" i="2"/>
  <c r="I1291" i="2"/>
  <c r="C2490" i="1"/>
  <c r="F2490" i="1"/>
  <c r="I2490" i="1"/>
  <c r="J2490" i="1"/>
  <c r="K2490" i="1"/>
  <c r="E1290" i="2"/>
  <c r="I1290" i="2"/>
  <c r="C2489" i="1"/>
  <c r="F2489" i="1"/>
  <c r="I2489" i="1"/>
  <c r="J2489" i="1"/>
  <c r="K2489" i="1"/>
  <c r="E1393" i="2"/>
  <c r="I1393" i="2"/>
  <c r="C2488" i="1"/>
  <c r="F2488" i="1"/>
  <c r="I2488" i="1"/>
  <c r="J2488" i="1"/>
  <c r="K2488" i="1"/>
  <c r="I1384" i="2"/>
  <c r="E1384" i="2"/>
  <c r="C2487" i="1"/>
  <c r="F2487" i="1"/>
  <c r="I2487" i="1"/>
  <c r="J2487" i="1"/>
  <c r="K2487" i="1"/>
  <c r="E1385" i="2"/>
  <c r="I1385" i="2"/>
  <c r="C2486" i="1"/>
  <c r="F2486" i="1"/>
  <c r="I2486" i="1"/>
  <c r="J2486" i="1"/>
  <c r="K2486" i="1"/>
  <c r="E1286" i="2"/>
  <c r="I1286" i="2"/>
  <c r="F2474" i="1" l="1"/>
  <c r="C2485" i="1"/>
  <c r="F2485" i="1"/>
  <c r="I2485" i="1"/>
  <c r="J2485" i="1"/>
  <c r="K2485" i="1"/>
  <c r="E1285" i="2"/>
  <c r="I1285" i="2"/>
  <c r="K2484" i="1"/>
  <c r="J2484" i="1"/>
  <c r="I2484" i="1"/>
  <c r="F2484" i="1"/>
  <c r="C2484" i="1"/>
  <c r="E1269" i="2"/>
  <c r="I1269" i="2"/>
  <c r="K2483" i="1"/>
  <c r="J2483" i="1"/>
  <c r="I2483" i="1"/>
  <c r="F2483" i="1"/>
  <c r="C2483" i="1"/>
  <c r="E1283" i="2"/>
  <c r="I1283" i="2"/>
  <c r="C2482" i="1"/>
  <c r="F2482" i="1"/>
  <c r="I2482" i="1"/>
  <c r="J2482" i="1"/>
  <c r="K2482" i="1"/>
  <c r="E1282" i="2"/>
  <c r="I1282" i="2"/>
  <c r="I1281" i="2"/>
  <c r="E1281" i="2"/>
  <c r="K2481" i="1"/>
  <c r="J2481" i="1"/>
  <c r="I2481" i="1"/>
  <c r="F2481" i="1"/>
  <c r="C2481" i="1"/>
  <c r="I1280" i="2"/>
  <c r="E1280" i="2"/>
  <c r="K2480" i="1" l="1"/>
  <c r="J2480" i="1"/>
  <c r="I2480" i="1"/>
  <c r="F2480" i="1"/>
  <c r="C2480" i="1"/>
  <c r="I1279" i="2"/>
  <c r="E1279" i="2"/>
  <c r="K2479" i="1" l="1"/>
  <c r="J2479" i="1"/>
  <c r="I2479" i="1"/>
  <c r="F2479" i="1"/>
  <c r="C2479" i="1"/>
  <c r="E1278" i="2"/>
  <c r="I1278" i="2"/>
  <c r="E1277" i="2"/>
  <c r="I1277" i="2"/>
  <c r="E1276" i="2"/>
  <c r="I1276" i="2"/>
  <c r="C2478" i="1"/>
  <c r="F2478" i="1"/>
  <c r="I2478" i="1"/>
  <c r="J2478" i="1"/>
  <c r="K2478" i="1"/>
  <c r="E1275" i="2"/>
  <c r="I1275" i="2"/>
  <c r="E1274" i="2"/>
  <c r="I1274" i="2"/>
  <c r="K2477" i="1"/>
  <c r="J2477" i="1"/>
  <c r="I2477" i="1"/>
  <c r="F2477" i="1"/>
  <c r="C2477" i="1"/>
  <c r="I1273" i="2"/>
  <c r="E1273" i="2"/>
  <c r="F2437" i="1" l="1"/>
  <c r="E1272" i="2"/>
  <c r="I1272" i="2"/>
  <c r="K2476" i="1"/>
  <c r="J2476" i="1"/>
  <c r="I2476" i="1"/>
  <c r="C2476" i="1"/>
  <c r="F2476" i="1"/>
  <c r="E1271" i="2"/>
  <c r="I1271" i="2"/>
  <c r="E1270" i="2"/>
  <c r="I1270" i="2"/>
  <c r="C2475" i="1" l="1"/>
  <c r="F2475" i="1"/>
  <c r="I2475" i="1"/>
  <c r="J2475" i="1"/>
  <c r="K2475" i="1"/>
  <c r="E1194" i="2"/>
  <c r="I1194" i="2"/>
  <c r="C2474" i="1"/>
  <c r="I2474" i="1"/>
  <c r="J2474" i="1"/>
  <c r="K2474" i="1"/>
  <c r="E1268" i="2"/>
  <c r="I1268" i="2"/>
  <c r="E1267" i="2"/>
  <c r="I1267" i="2"/>
  <c r="C2473" i="1"/>
  <c r="F2473" i="1"/>
  <c r="I2473" i="1"/>
  <c r="J2473" i="1"/>
  <c r="K2473" i="1"/>
  <c r="E1266" i="2"/>
  <c r="I1266" i="2"/>
  <c r="C2472" i="1"/>
  <c r="F2472" i="1"/>
  <c r="I2472" i="1"/>
  <c r="J2472" i="1"/>
  <c r="K2472" i="1"/>
  <c r="E1265" i="2"/>
  <c r="I1265" i="2"/>
  <c r="C2471" i="1"/>
  <c r="F2471" i="1"/>
  <c r="I2471" i="1"/>
  <c r="J2471" i="1"/>
  <c r="K2471" i="1"/>
  <c r="E1264" i="2"/>
  <c r="I1264" i="2"/>
  <c r="K2470" i="1"/>
  <c r="J2470" i="1"/>
  <c r="I2470" i="1"/>
  <c r="F2470" i="1"/>
  <c r="C2470" i="1"/>
  <c r="I1263" i="2"/>
  <c r="E1263" i="2"/>
  <c r="E1262" i="2" l="1"/>
  <c r="I1262" i="2"/>
  <c r="C2469" i="1"/>
  <c r="F2469" i="1"/>
  <c r="I2469" i="1"/>
  <c r="J2469" i="1"/>
  <c r="K2469" i="1"/>
  <c r="E1261" i="2"/>
  <c r="I1261" i="2"/>
  <c r="K2468" i="1"/>
  <c r="J2468" i="1"/>
  <c r="I2468" i="1"/>
  <c r="F2468" i="1"/>
  <c r="C2468" i="1"/>
  <c r="K2467" i="1" l="1"/>
  <c r="J2467" i="1"/>
  <c r="I2467" i="1"/>
  <c r="F2467" i="1"/>
  <c r="C2467" i="1"/>
  <c r="C2466" i="1"/>
  <c r="F2466" i="1"/>
  <c r="I2466" i="1"/>
  <c r="J2466" i="1"/>
  <c r="K2466" i="1"/>
  <c r="E1482" i="2"/>
  <c r="I1482" i="2"/>
  <c r="C2465" i="1"/>
  <c r="F2465" i="1"/>
  <c r="I2465" i="1"/>
  <c r="J2465" i="1"/>
  <c r="K2465" i="1"/>
  <c r="C2464" i="1" l="1"/>
  <c r="F2464" i="1"/>
  <c r="I2464" i="1"/>
  <c r="J2464" i="1"/>
  <c r="K2464" i="1"/>
  <c r="E1259" i="2"/>
  <c r="I1259" i="2"/>
  <c r="C2463" i="1"/>
  <c r="F2463" i="1"/>
  <c r="I2463" i="1"/>
  <c r="J2463" i="1"/>
  <c r="K2463" i="1"/>
  <c r="E1258" i="2"/>
  <c r="I1258" i="2"/>
  <c r="C2462" i="1"/>
  <c r="F2462" i="1"/>
  <c r="I2462" i="1"/>
  <c r="J2462" i="1"/>
  <c r="K2462" i="1"/>
  <c r="E1257" i="2"/>
  <c r="I1257" i="2"/>
  <c r="C2461" i="1"/>
  <c r="F2461" i="1"/>
  <c r="I2461" i="1"/>
  <c r="J2461" i="1"/>
  <c r="K2461" i="1"/>
  <c r="E1256" i="2"/>
  <c r="I1256" i="2"/>
  <c r="C2460" i="1"/>
  <c r="F2460" i="1"/>
  <c r="I2460" i="1"/>
  <c r="J2460" i="1"/>
  <c r="K2460" i="1"/>
  <c r="E1255" i="2"/>
  <c r="I1255" i="2"/>
  <c r="E1248" i="2"/>
  <c r="E1249" i="2"/>
  <c r="E1250" i="2"/>
  <c r="E1251" i="2"/>
  <c r="E1252" i="2"/>
  <c r="E1253" i="2"/>
  <c r="E1254" i="2"/>
  <c r="E1247" i="2"/>
  <c r="E1246" i="2"/>
  <c r="E1245" i="2"/>
  <c r="E1244" i="2"/>
  <c r="E1243" i="2"/>
  <c r="E1242" i="2"/>
  <c r="E1241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E1240" i="2"/>
  <c r="I1240" i="2"/>
  <c r="E1239" i="2"/>
  <c r="I1239" i="2"/>
  <c r="E1238" i="2"/>
  <c r="I1238" i="2"/>
  <c r="C2459" i="1" l="1"/>
  <c r="F2459" i="1"/>
  <c r="I2459" i="1"/>
  <c r="J2459" i="1"/>
  <c r="K2459" i="1"/>
  <c r="E1237" i="2"/>
  <c r="I1237" i="2"/>
  <c r="C2458" i="1"/>
  <c r="F2458" i="1"/>
  <c r="I2458" i="1"/>
  <c r="J2458" i="1"/>
  <c r="K2458" i="1"/>
  <c r="E1236" i="2"/>
  <c r="I1236" i="2"/>
  <c r="E1235" i="2"/>
  <c r="I1235" i="2"/>
  <c r="E1233" i="2"/>
  <c r="I1233" i="2"/>
  <c r="C2457" i="1"/>
  <c r="F2457" i="1"/>
  <c r="I2457" i="1"/>
  <c r="J2457" i="1"/>
  <c r="K2457" i="1"/>
  <c r="E1485" i="2"/>
  <c r="I1485" i="2"/>
  <c r="C2456" i="1"/>
  <c r="F2456" i="1"/>
  <c r="I2456" i="1"/>
  <c r="J2456" i="1"/>
  <c r="K2456" i="1"/>
  <c r="E1231" i="2"/>
  <c r="I1231" i="2"/>
  <c r="C2452" i="1"/>
  <c r="C2453" i="1"/>
  <c r="C2454" i="1"/>
  <c r="C2455" i="1"/>
  <c r="F2452" i="1"/>
  <c r="F2453" i="1"/>
  <c r="F2454" i="1"/>
  <c r="F2455" i="1"/>
  <c r="I2452" i="1"/>
  <c r="I2453" i="1"/>
  <c r="I2454" i="1"/>
  <c r="I2455" i="1"/>
  <c r="J2452" i="1"/>
  <c r="J2453" i="1"/>
  <c r="J2454" i="1"/>
  <c r="J2455" i="1"/>
  <c r="K2452" i="1"/>
  <c r="K2453" i="1"/>
  <c r="K2454" i="1"/>
  <c r="K2455" i="1"/>
  <c r="E1230" i="2"/>
  <c r="I1230" i="2"/>
  <c r="E1227" i="2"/>
  <c r="E1228" i="2"/>
  <c r="E1229" i="2"/>
  <c r="I1227" i="2"/>
  <c r="I1228" i="2"/>
  <c r="I1229" i="2"/>
  <c r="K2451" i="1"/>
  <c r="J2451" i="1"/>
  <c r="I2451" i="1"/>
  <c r="F2451" i="1"/>
  <c r="C2451" i="1"/>
  <c r="E1226" i="2"/>
  <c r="I1226" i="2"/>
  <c r="C2446" i="1"/>
  <c r="C2447" i="1"/>
  <c r="C2448" i="1"/>
  <c r="C2449" i="1"/>
  <c r="C2450" i="1"/>
  <c r="F2446" i="1"/>
  <c r="F2447" i="1"/>
  <c r="F2448" i="1"/>
  <c r="F2449" i="1"/>
  <c r="F2450" i="1"/>
  <c r="I2446" i="1"/>
  <c r="I2447" i="1"/>
  <c r="I2448" i="1"/>
  <c r="I2449" i="1"/>
  <c r="I2450" i="1"/>
  <c r="J2446" i="1"/>
  <c r="J2447" i="1"/>
  <c r="J2448" i="1"/>
  <c r="J2449" i="1"/>
  <c r="J2450" i="1"/>
  <c r="K2446" i="1"/>
  <c r="K2447" i="1"/>
  <c r="K2448" i="1"/>
  <c r="K2449" i="1"/>
  <c r="K2450" i="1"/>
  <c r="E1222" i="2"/>
  <c r="E1223" i="2"/>
  <c r="E1224" i="2"/>
  <c r="E1225" i="2"/>
  <c r="I1222" i="2"/>
  <c r="I1223" i="2"/>
  <c r="I1224" i="2"/>
  <c r="I1225" i="2"/>
  <c r="E1221" i="2"/>
  <c r="I1221" i="2"/>
  <c r="C2444" i="1"/>
  <c r="C2445" i="1"/>
  <c r="F2444" i="1"/>
  <c r="F2445" i="1"/>
  <c r="I2444" i="1"/>
  <c r="I2445" i="1"/>
  <c r="J2444" i="1"/>
  <c r="J2445" i="1"/>
  <c r="K2444" i="1"/>
  <c r="K2445" i="1"/>
  <c r="I1220" i="2"/>
  <c r="E1220" i="2"/>
  <c r="I1219" i="2"/>
  <c r="E1219" i="2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F2432" i="1"/>
  <c r="F2433" i="1"/>
  <c r="F2434" i="1"/>
  <c r="F2435" i="1"/>
  <c r="F2436" i="1"/>
  <c r="F2438" i="1"/>
  <c r="F2439" i="1"/>
  <c r="F2440" i="1"/>
  <c r="F2441" i="1"/>
  <c r="F2442" i="1"/>
  <c r="F2443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E1208" i="2"/>
  <c r="E1209" i="2"/>
  <c r="E1210" i="2"/>
  <c r="E1211" i="2"/>
  <c r="E1212" i="2"/>
  <c r="E1213" i="2"/>
  <c r="E1214" i="2"/>
  <c r="E1215" i="2"/>
  <c r="E1216" i="2"/>
  <c r="E1217" i="2"/>
  <c r="E1218" i="2"/>
  <c r="I1208" i="2"/>
  <c r="I1209" i="2"/>
  <c r="I1210" i="2"/>
  <c r="I1211" i="2"/>
  <c r="I1212" i="2"/>
  <c r="I1213" i="2"/>
  <c r="I1214" i="2"/>
  <c r="I1215" i="2"/>
  <c r="I1216" i="2"/>
  <c r="I1217" i="2"/>
  <c r="I1218" i="2"/>
  <c r="E1207" i="2"/>
  <c r="I1207" i="2"/>
  <c r="E1206" i="2" l="1"/>
  <c r="I1206" i="2"/>
  <c r="E1203" i="2"/>
  <c r="E1204" i="2"/>
  <c r="E1205" i="2"/>
  <c r="I1203" i="2"/>
  <c r="I1204" i="2"/>
  <c r="I1205" i="2"/>
  <c r="E1200" i="2"/>
  <c r="E1201" i="2"/>
  <c r="E1202" i="2"/>
  <c r="I1200" i="2"/>
  <c r="I1201" i="2"/>
  <c r="I1202" i="2"/>
  <c r="E1199" i="2"/>
  <c r="I1199" i="2"/>
  <c r="E1198" i="2"/>
  <c r="I1198" i="2"/>
  <c r="E1197" i="2"/>
  <c r="I1197" i="2"/>
  <c r="C2197" i="1" l="1"/>
  <c r="F2197" i="1"/>
  <c r="I2197" i="1"/>
  <c r="J2197" i="1"/>
  <c r="K2197" i="1"/>
  <c r="C2431" i="1" l="1"/>
  <c r="F2431" i="1"/>
  <c r="I2431" i="1"/>
  <c r="J2431" i="1"/>
  <c r="K2431" i="1"/>
  <c r="E1196" i="2"/>
  <c r="I1196" i="2"/>
  <c r="C2430" i="1"/>
  <c r="F2430" i="1"/>
  <c r="I2430" i="1"/>
  <c r="J2430" i="1"/>
  <c r="K2430" i="1"/>
  <c r="E1083" i="2"/>
  <c r="I1083" i="2"/>
  <c r="C2429" i="1"/>
  <c r="F2429" i="1"/>
  <c r="I2429" i="1"/>
  <c r="J2429" i="1"/>
  <c r="K2429" i="1"/>
  <c r="E1068" i="2"/>
  <c r="I1068" i="2"/>
  <c r="F2428" i="1"/>
  <c r="C2428" i="1"/>
  <c r="E1193" i="2"/>
  <c r="I1193" i="2"/>
  <c r="C2427" i="1"/>
  <c r="F2427" i="1"/>
  <c r="I2427" i="1"/>
  <c r="J2427" i="1"/>
  <c r="K2427" i="1"/>
  <c r="E1365" i="2"/>
  <c r="I1365" i="2"/>
  <c r="C2426" i="1"/>
  <c r="F2426" i="1"/>
  <c r="I2426" i="1"/>
  <c r="J2426" i="1"/>
  <c r="K2426" i="1"/>
  <c r="E1299" i="2"/>
  <c r="I1299" i="2"/>
  <c r="K2425" i="1"/>
  <c r="J2425" i="1"/>
  <c r="I2425" i="1"/>
  <c r="F2425" i="1"/>
  <c r="C2425" i="1"/>
  <c r="E1190" i="2"/>
  <c r="I1190" i="2"/>
  <c r="K2424" i="1"/>
  <c r="J2424" i="1"/>
  <c r="I2424" i="1"/>
  <c r="F2424" i="1"/>
  <c r="C2424" i="1"/>
  <c r="I1189" i="2"/>
  <c r="E1189" i="2"/>
  <c r="I1188" i="2" l="1"/>
  <c r="E1188" i="2"/>
  <c r="I1187" i="2"/>
  <c r="E1187" i="2"/>
  <c r="I1186" i="2"/>
  <c r="E1186" i="2"/>
  <c r="I1185" i="2"/>
  <c r="E1185" i="2"/>
  <c r="I1184" i="2"/>
  <c r="E1184" i="2"/>
  <c r="I1183" i="2"/>
  <c r="E1183" i="2"/>
  <c r="I1182" i="2"/>
  <c r="E1182" i="2"/>
  <c r="K2423" i="1"/>
  <c r="J2423" i="1"/>
  <c r="I2423" i="1"/>
  <c r="F2423" i="1"/>
  <c r="C2423" i="1"/>
  <c r="K2422" i="1"/>
  <c r="J2422" i="1"/>
  <c r="I2422" i="1"/>
  <c r="F2422" i="1"/>
  <c r="C2422" i="1"/>
  <c r="K2421" i="1"/>
  <c r="J2421" i="1"/>
  <c r="I2421" i="1"/>
  <c r="F2421" i="1"/>
  <c r="C2421" i="1"/>
  <c r="I1181" i="2"/>
  <c r="E1181" i="2"/>
  <c r="I1180" i="2"/>
  <c r="E1180" i="2"/>
  <c r="I1179" i="2"/>
  <c r="E1179" i="2"/>
  <c r="K2420" i="1"/>
  <c r="J2420" i="1"/>
  <c r="I2420" i="1"/>
  <c r="F2420" i="1"/>
  <c r="C2420" i="1"/>
  <c r="I1178" i="2"/>
  <c r="E1178" i="2"/>
  <c r="I1177" i="2"/>
  <c r="E1177" i="2"/>
  <c r="E1297" i="2"/>
  <c r="I1297" i="2"/>
  <c r="I1175" i="2"/>
  <c r="E1175" i="2"/>
  <c r="K2419" i="1"/>
  <c r="J2419" i="1"/>
  <c r="I2419" i="1"/>
  <c r="F2419" i="1"/>
  <c r="C2419" i="1"/>
  <c r="K2418" i="1"/>
  <c r="J2418" i="1"/>
  <c r="I2418" i="1"/>
  <c r="C2418" i="1"/>
  <c r="I1174" i="2"/>
  <c r="E1174" i="2"/>
  <c r="I1173" i="2"/>
  <c r="E1173" i="2"/>
  <c r="K2417" i="1"/>
  <c r="J2417" i="1"/>
  <c r="I2417" i="1"/>
  <c r="F2417" i="1"/>
  <c r="C2417" i="1"/>
  <c r="K2416" i="1"/>
  <c r="J2416" i="1"/>
  <c r="I2416" i="1"/>
  <c r="F2416" i="1"/>
  <c r="C2416" i="1"/>
  <c r="I1172" i="2"/>
  <c r="E1172" i="2"/>
  <c r="I1171" i="2"/>
  <c r="E1171" i="2"/>
  <c r="K2415" i="1"/>
  <c r="J2415" i="1"/>
  <c r="I2415" i="1"/>
  <c r="F2415" i="1"/>
  <c r="C2415" i="1"/>
  <c r="I1170" i="2"/>
  <c r="E1170" i="2"/>
  <c r="I1169" i="2"/>
  <c r="E1169" i="2"/>
  <c r="C2414" i="1"/>
  <c r="F2414" i="1"/>
  <c r="I2414" i="1"/>
  <c r="J2414" i="1"/>
  <c r="K2414" i="1"/>
  <c r="E1168" i="2"/>
  <c r="I1168" i="2"/>
  <c r="C2413" i="1"/>
  <c r="F2413" i="1"/>
  <c r="I2413" i="1"/>
  <c r="J2413" i="1"/>
  <c r="K2413" i="1"/>
  <c r="C2412" i="1"/>
  <c r="F2412" i="1"/>
  <c r="I2412" i="1"/>
  <c r="J2412" i="1"/>
  <c r="K2412" i="1"/>
  <c r="E1167" i="2"/>
  <c r="I1167" i="2"/>
  <c r="E1166" i="2"/>
  <c r="I1166" i="2"/>
  <c r="K2411" i="1"/>
  <c r="J2411" i="1"/>
  <c r="I2411" i="1"/>
  <c r="F2411" i="1"/>
  <c r="C2411" i="1"/>
  <c r="E1165" i="2"/>
  <c r="I1165" i="2"/>
  <c r="C2410" i="1"/>
  <c r="F2410" i="1"/>
  <c r="I2410" i="1"/>
  <c r="J2410" i="1"/>
  <c r="K2410" i="1"/>
  <c r="C2409" i="1"/>
  <c r="F2409" i="1"/>
  <c r="I2409" i="1"/>
  <c r="J2409" i="1"/>
  <c r="K2409" i="1"/>
  <c r="E1484" i="2"/>
  <c r="I1484" i="2"/>
  <c r="K2408" i="1"/>
  <c r="J2408" i="1"/>
  <c r="I2408" i="1"/>
  <c r="F2408" i="1"/>
  <c r="C2408" i="1"/>
  <c r="C2407" i="1"/>
  <c r="F2407" i="1"/>
  <c r="I2407" i="1"/>
  <c r="J2407" i="1"/>
  <c r="K2407" i="1"/>
  <c r="E1163" i="2"/>
  <c r="I1163" i="2"/>
  <c r="E1162" i="2" l="1"/>
  <c r="I1162" i="2"/>
  <c r="E1161" i="2" l="1"/>
  <c r="I1161" i="2"/>
  <c r="E1160" i="2"/>
  <c r="I1160" i="2"/>
  <c r="E1159" i="2"/>
  <c r="I1159" i="2"/>
  <c r="E1158" i="2"/>
  <c r="I1158" i="2"/>
  <c r="C2406" i="1"/>
  <c r="F2406" i="1"/>
  <c r="I2406" i="1"/>
  <c r="J2406" i="1"/>
  <c r="K2406" i="1"/>
  <c r="E1074" i="2"/>
  <c r="I1074" i="2"/>
  <c r="K2405" i="1"/>
  <c r="J2405" i="1"/>
  <c r="I2405" i="1"/>
  <c r="C2405" i="1"/>
  <c r="E1156" i="2"/>
  <c r="I1156" i="2"/>
  <c r="K2404" i="1"/>
  <c r="J2404" i="1"/>
  <c r="I2404" i="1"/>
  <c r="C2404" i="1"/>
  <c r="I1155" i="2"/>
  <c r="E1155" i="2"/>
  <c r="K2403" i="1"/>
  <c r="J2403" i="1"/>
  <c r="I2403" i="1"/>
  <c r="F2403" i="1"/>
  <c r="C2403" i="1"/>
  <c r="I1154" i="2"/>
  <c r="E1154" i="2"/>
  <c r="K2402" i="1"/>
  <c r="J2402" i="1"/>
  <c r="I2402" i="1"/>
  <c r="F2402" i="1"/>
  <c r="C2402" i="1"/>
  <c r="I1153" i="2"/>
  <c r="E1153" i="2"/>
  <c r="K2401" i="1"/>
  <c r="J2401" i="1"/>
  <c r="I2401" i="1"/>
  <c r="F2401" i="1"/>
  <c r="C2401" i="1"/>
  <c r="E1152" i="2"/>
  <c r="I1152" i="2"/>
  <c r="C2400" i="1"/>
  <c r="F2400" i="1"/>
  <c r="I2400" i="1"/>
  <c r="J2400" i="1"/>
  <c r="K2400" i="1"/>
  <c r="I1151" i="2"/>
  <c r="E1151" i="2"/>
  <c r="C2399" i="1"/>
  <c r="F2399" i="1"/>
  <c r="I2399" i="1"/>
  <c r="J2399" i="1"/>
  <c r="K2399" i="1"/>
  <c r="E1150" i="2"/>
  <c r="I1150" i="2"/>
  <c r="C2398" i="1"/>
  <c r="F2398" i="1"/>
  <c r="I2398" i="1"/>
  <c r="J2398" i="1"/>
  <c r="K2398" i="1"/>
  <c r="E1149" i="2"/>
  <c r="I1149" i="2"/>
  <c r="K2389" i="1"/>
  <c r="J2389" i="1"/>
  <c r="I2389" i="1"/>
  <c r="F2389" i="1"/>
  <c r="K2396" i="1"/>
  <c r="J2396" i="1"/>
  <c r="I2396" i="1"/>
  <c r="F2396" i="1"/>
  <c r="K2397" i="1"/>
  <c r="J2397" i="1"/>
  <c r="I2397" i="1"/>
  <c r="F2397" i="1"/>
  <c r="C2397" i="1"/>
  <c r="I1148" i="2"/>
  <c r="E1148" i="2"/>
  <c r="E1147" i="2"/>
  <c r="I1147" i="2"/>
  <c r="C2396" i="1"/>
  <c r="C2395" i="1"/>
  <c r="F2395" i="1"/>
  <c r="I2395" i="1"/>
  <c r="J2395" i="1"/>
  <c r="K2395" i="1"/>
  <c r="E1146" i="2"/>
  <c r="I1146" i="2"/>
  <c r="C2394" i="1"/>
  <c r="F2394" i="1"/>
  <c r="I2394" i="1"/>
  <c r="J2394" i="1"/>
  <c r="K2394" i="1"/>
  <c r="I1145" i="2"/>
  <c r="E1145" i="2"/>
  <c r="C2393" i="1"/>
  <c r="F2393" i="1"/>
  <c r="I2393" i="1"/>
  <c r="J2393" i="1"/>
  <c r="K2393" i="1"/>
  <c r="E1144" i="2"/>
  <c r="I1144" i="2"/>
  <c r="C2392" i="1"/>
  <c r="F2392" i="1"/>
  <c r="I2392" i="1"/>
  <c r="J2392" i="1"/>
  <c r="K2392" i="1"/>
  <c r="E1143" i="2"/>
  <c r="I1143" i="2"/>
  <c r="C2391" i="1"/>
  <c r="F2391" i="1"/>
  <c r="I2391" i="1"/>
  <c r="J2391" i="1"/>
  <c r="K2391" i="1"/>
  <c r="E1142" i="2"/>
  <c r="I1142" i="2"/>
  <c r="C2390" i="1"/>
  <c r="E1141" i="2"/>
  <c r="I1141" i="2"/>
  <c r="C2389" i="1"/>
  <c r="F2390" i="1"/>
  <c r="I2390" i="1"/>
  <c r="J2390" i="1"/>
  <c r="K2390" i="1"/>
  <c r="C2382" i="1"/>
  <c r="C2383" i="1"/>
  <c r="C2384" i="1"/>
  <c r="C2385" i="1"/>
  <c r="C2386" i="1"/>
  <c r="C2387" i="1"/>
  <c r="C2388" i="1"/>
  <c r="F2382" i="1"/>
  <c r="F2383" i="1"/>
  <c r="F2384" i="1"/>
  <c r="F2385" i="1"/>
  <c r="F2386" i="1"/>
  <c r="F2387" i="1"/>
  <c r="F2388" i="1"/>
  <c r="I2382" i="1"/>
  <c r="I2383" i="1"/>
  <c r="I2384" i="1"/>
  <c r="I2385" i="1"/>
  <c r="I2386" i="1"/>
  <c r="I2387" i="1"/>
  <c r="I2388" i="1"/>
  <c r="J2382" i="1"/>
  <c r="J2383" i="1"/>
  <c r="J2384" i="1"/>
  <c r="J2385" i="1"/>
  <c r="J2386" i="1"/>
  <c r="J2387" i="1"/>
  <c r="J2388" i="1"/>
  <c r="K2382" i="1"/>
  <c r="K2383" i="1"/>
  <c r="K2384" i="1"/>
  <c r="K2385" i="1"/>
  <c r="K2386" i="1"/>
  <c r="K2387" i="1"/>
  <c r="K2388" i="1"/>
  <c r="I1139" i="2"/>
  <c r="E1139" i="2"/>
  <c r="I1138" i="2"/>
  <c r="E1138" i="2"/>
  <c r="I1137" i="2"/>
  <c r="E1137" i="2"/>
  <c r="I1136" i="2"/>
  <c r="E1136" i="2"/>
  <c r="I1135" i="2"/>
  <c r="E1135" i="2"/>
  <c r="I1134" i="2"/>
  <c r="E1134" i="2"/>
  <c r="E1140" i="2"/>
  <c r="I1140" i="2"/>
  <c r="E1133" i="2"/>
  <c r="I1133" i="2"/>
  <c r="K2381" i="1" l="1"/>
  <c r="J2381" i="1"/>
  <c r="I2381" i="1"/>
  <c r="F2381" i="1"/>
  <c r="C2381" i="1"/>
  <c r="E1132" i="2"/>
  <c r="I1132" i="2"/>
  <c r="C659" i="1" l="1"/>
  <c r="K2380" i="1"/>
  <c r="J2380" i="1"/>
  <c r="I2380" i="1"/>
  <c r="F2380" i="1"/>
  <c r="C2380" i="1"/>
  <c r="I1131" i="2"/>
  <c r="E1131" i="2"/>
  <c r="I1130" i="2" l="1"/>
  <c r="E1130" i="2"/>
  <c r="I1129" i="2"/>
  <c r="E1129" i="2"/>
  <c r="K2379" i="1"/>
  <c r="J2379" i="1"/>
  <c r="I2379" i="1"/>
  <c r="F2379" i="1"/>
  <c r="C2379" i="1"/>
  <c r="I1128" i="2"/>
  <c r="E1128" i="2"/>
  <c r="I1127" i="2"/>
  <c r="E1127" i="2"/>
  <c r="I1126" i="2"/>
  <c r="E1126" i="2"/>
  <c r="I1125" i="2"/>
  <c r="E1125" i="2"/>
  <c r="I1124" i="2"/>
  <c r="E1124" i="2"/>
  <c r="I1123" i="2"/>
  <c r="E1123" i="2"/>
  <c r="I1122" i="2"/>
  <c r="E1122" i="2"/>
  <c r="I1121" i="2"/>
  <c r="E1121" i="2"/>
  <c r="I1120" i="2"/>
  <c r="E1120" i="2"/>
  <c r="K2378" i="1"/>
  <c r="J2378" i="1"/>
  <c r="I2378" i="1"/>
  <c r="F2378" i="1"/>
  <c r="C2378" i="1"/>
  <c r="K2377" i="1"/>
  <c r="J2377" i="1"/>
  <c r="I2377" i="1"/>
  <c r="F2377" i="1"/>
  <c r="C2377" i="1"/>
  <c r="E1119" i="2"/>
  <c r="I1117" i="2"/>
  <c r="E1117" i="2"/>
  <c r="I1116" i="2"/>
  <c r="E1116" i="2"/>
  <c r="I1115" i="2"/>
  <c r="E1115" i="2"/>
  <c r="I1114" i="2"/>
  <c r="E1114" i="2"/>
  <c r="I1113" i="2"/>
  <c r="E1113" i="2"/>
  <c r="I1112" i="2"/>
  <c r="E1112" i="2"/>
  <c r="I1111" i="2"/>
  <c r="E1111" i="2"/>
  <c r="I1110" i="2"/>
  <c r="E1110" i="2"/>
  <c r="I1109" i="2"/>
  <c r="E1109" i="2"/>
  <c r="I1108" i="2"/>
  <c r="E1108" i="2"/>
  <c r="E1118" i="2"/>
  <c r="I1118" i="2"/>
  <c r="I1119" i="2"/>
  <c r="K2376" i="1"/>
  <c r="J2376" i="1"/>
  <c r="I2376" i="1"/>
  <c r="F2376" i="1"/>
  <c r="C2376" i="1"/>
  <c r="K2375" i="1" l="1"/>
  <c r="J2375" i="1"/>
  <c r="I2375" i="1"/>
  <c r="F2375" i="1"/>
  <c r="C2375" i="1"/>
  <c r="K1677" i="1"/>
  <c r="J1677" i="1"/>
  <c r="I1677" i="1"/>
  <c r="F1677" i="1"/>
  <c r="C1677" i="1"/>
  <c r="I1107" i="2"/>
  <c r="E1107" i="2"/>
  <c r="K1679" i="1"/>
  <c r="J1679" i="1"/>
  <c r="I1679" i="1"/>
  <c r="F1679" i="1"/>
  <c r="C1679" i="1"/>
  <c r="I1106" i="2"/>
  <c r="E1106" i="2"/>
  <c r="I1105" i="2"/>
  <c r="E1105" i="2"/>
  <c r="I1104" i="2"/>
  <c r="E1104" i="2"/>
  <c r="I1103" i="2"/>
  <c r="E1103" i="2"/>
  <c r="I1102" i="2"/>
  <c r="E1102" i="2"/>
  <c r="K2372" i="1"/>
  <c r="J2372" i="1"/>
  <c r="I2372" i="1"/>
  <c r="F2372" i="1"/>
  <c r="C2372" i="1"/>
  <c r="I1101" i="2"/>
  <c r="E1101" i="2"/>
  <c r="K2371" i="1"/>
  <c r="J2371" i="1"/>
  <c r="I2371" i="1"/>
  <c r="F2371" i="1"/>
  <c r="C2371" i="1"/>
  <c r="I1100" i="2"/>
  <c r="E1100" i="2"/>
  <c r="C2370" i="1"/>
  <c r="F2370" i="1"/>
  <c r="I2370" i="1"/>
  <c r="J2370" i="1"/>
  <c r="K2370" i="1"/>
  <c r="E1099" i="2"/>
  <c r="I1099" i="2"/>
  <c r="I1098" i="2"/>
  <c r="E1098" i="2"/>
  <c r="K2369" i="1"/>
  <c r="J2369" i="1"/>
  <c r="I2369" i="1"/>
  <c r="F2369" i="1"/>
  <c r="C2369" i="1"/>
  <c r="I1097" i="2"/>
  <c r="E1097" i="2"/>
  <c r="E1096" i="2"/>
  <c r="I1096" i="2"/>
  <c r="K2368" i="1"/>
  <c r="J2368" i="1"/>
  <c r="I2368" i="1"/>
  <c r="F2368" i="1"/>
  <c r="C2368" i="1"/>
  <c r="I1095" i="2"/>
  <c r="E1095" i="2"/>
  <c r="I1094" i="2" l="1"/>
  <c r="E1094" i="2"/>
  <c r="E1093" i="2" l="1"/>
  <c r="I1093" i="2"/>
  <c r="K2367" i="1" l="1"/>
  <c r="J2367" i="1"/>
  <c r="I2367" i="1"/>
  <c r="F2367" i="1"/>
  <c r="C2367" i="1"/>
  <c r="K2366" i="1"/>
  <c r="J2366" i="1"/>
  <c r="I2366" i="1"/>
  <c r="F2366" i="1"/>
  <c r="C2366" i="1"/>
  <c r="K2365" i="1"/>
  <c r="J2365" i="1"/>
  <c r="I2365" i="1"/>
  <c r="F2365" i="1"/>
  <c r="C2365" i="1"/>
  <c r="K2364" i="1"/>
  <c r="J2364" i="1"/>
  <c r="I2364" i="1"/>
  <c r="F2364" i="1"/>
  <c r="C2364" i="1"/>
  <c r="K2363" i="1"/>
  <c r="J2363" i="1"/>
  <c r="I2363" i="1"/>
  <c r="F2363" i="1"/>
  <c r="C2363" i="1"/>
  <c r="K2362" i="1"/>
  <c r="J2362" i="1"/>
  <c r="I2362" i="1"/>
  <c r="F2362" i="1"/>
  <c r="C2362" i="1"/>
  <c r="K2361" i="1"/>
  <c r="J2361" i="1"/>
  <c r="I2361" i="1"/>
  <c r="F2361" i="1"/>
  <c r="C2361" i="1"/>
  <c r="K2360" i="1"/>
  <c r="J2360" i="1"/>
  <c r="I2360" i="1"/>
  <c r="F2360" i="1"/>
  <c r="C2360" i="1"/>
  <c r="K2359" i="1"/>
  <c r="J2359" i="1"/>
  <c r="I2359" i="1"/>
  <c r="F2359" i="1"/>
  <c r="C2359" i="1"/>
  <c r="K2358" i="1" l="1"/>
  <c r="J2358" i="1"/>
  <c r="I2358" i="1"/>
  <c r="F2358" i="1"/>
  <c r="C2358" i="1"/>
  <c r="K2357" i="1" l="1"/>
  <c r="J2357" i="1"/>
  <c r="I2357" i="1"/>
  <c r="F2357" i="1"/>
  <c r="C2357" i="1"/>
  <c r="I1092" i="2"/>
  <c r="E1092" i="2"/>
  <c r="K2356" i="1"/>
  <c r="J2356" i="1"/>
  <c r="I2356" i="1"/>
  <c r="F2356" i="1"/>
  <c r="C2356" i="1"/>
  <c r="I1091" i="2"/>
  <c r="E1091" i="2"/>
  <c r="I1090" i="2"/>
  <c r="E1090" i="2"/>
  <c r="K2355" i="1"/>
  <c r="J2355" i="1"/>
  <c r="I2355" i="1"/>
  <c r="F2355" i="1"/>
  <c r="C2355" i="1"/>
  <c r="K2354" i="1"/>
  <c r="J2354" i="1"/>
  <c r="I2354" i="1"/>
  <c r="F2354" i="1"/>
  <c r="C2354" i="1"/>
  <c r="I1089" i="2"/>
  <c r="E1089" i="2"/>
  <c r="K2353" i="1"/>
  <c r="J2353" i="1"/>
  <c r="I2353" i="1"/>
  <c r="F2353" i="1"/>
  <c r="C2353" i="1"/>
  <c r="I1088" i="2"/>
  <c r="E1088" i="2"/>
  <c r="K2352" i="1"/>
  <c r="J2352" i="1"/>
  <c r="I2352" i="1"/>
  <c r="F2352" i="1"/>
  <c r="C2352" i="1"/>
  <c r="I1087" i="2"/>
  <c r="E1087" i="2"/>
  <c r="K2351" i="1"/>
  <c r="J2351" i="1"/>
  <c r="I2351" i="1"/>
  <c r="F2351" i="1"/>
  <c r="C2351" i="1"/>
  <c r="I1086" i="2"/>
  <c r="E1086" i="2"/>
  <c r="C2350" i="1"/>
  <c r="F2350" i="1"/>
  <c r="I2350" i="1"/>
  <c r="J2350" i="1"/>
  <c r="K2350" i="1"/>
  <c r="I1454" i="2"/>
  <c r="E1454" i="2"/>
  <c r="I1453" i="2"/>
  <c r="E1453" i="2"/>
  <c r="I1450" i="2"/>
  <c r="E1450" i="2"/>
  <c r="I1447" i="2"/>
  <c r="E1447" i="2"/>
  <c r="I1448" i="2"/>
  <c r="E1448" i="2"/>
  <c r="I1449" i="2"/>
  <c r="E1449" i="2"/>
  <c r="E1079" i="2"/>
  <c r="I1079" i="2"/>
  <c r="K2349" i="1"/>
  <c r="J2349" i="1"/>
  <c r="I2349" i="1"/>
  <c r="F2349" i="1"/>
  <c r="C2349" i="1"/>
  <c r="K2348" i="1"/>
  <c r="J2348" i="1"/>
  <c r="I2348" i="1"/>
  <c r="F2348" i="1"/>
  <c r="C2348" i="1"/>
  <c r="K2347" i="1"/>
  <c r="J2347" i="1"/>
  <c r="I2347" i="1"/>
  <c r="F2347" i="1"/>
  <c r="C2347" i="1"/>
  <c r="K2346" i="1"/>
  <c r="J2346" i="1"/>
  <c r="I2346" i="1"/>
  <c r="F2346" i="1"/>
  <c r="C2346" i="1"/>
  <c r="K2345" i="1"/>
  <c r="J2345" i="1"/>
  <c r="I2345" i="1"/>
  <c r="F2345" i="1"/>
  <c r="C2345" i="1"/>
  <c r="K2344" i="1"/>
  <c r="J2344" i="1"/>
  <c r="I2344" i="1"/>
  <c r="F2344" i="1"/>
  <c r="C2344" i="1"/>
  <c r="C2343" i="1"/>
  <c r="F2343" i="1"/>
  <c r="I2343" i="1"/>
  <c r="J2343" i="1"/>
  <c r="K2343" i="1"/>
  <c r="C2342" i="1"/>
  <c r="F2342" i="1"/>
  <c r="I2342" i="1"/>
  <c r="J2342" i="1"/>
  <c r="K2342" i="1"/>
  <c r="E1300" i="2"/>
  <c r="I1300" i="2"/>
  <c r="C2341" i="1"/>
  <c r="F2341" i="1"/>
  <c r="I2341" i="1"/>
  <c r="J2341" i="1"/>
  <c r="K2341" i="1"/>
  <c r="E1304" i="2"/>
  <c r="I1304" i="2"/>
  <c r="I1076" i="2"/>
  <c r="E1076" i="2"/>
  <c r="K2340" i="1"/>
  <c r="J2340" i="1"/>
  <c r="I2340" i="1"/>
  <c r="F2340" i="1"/>
  <c r="C2340" i="1"/>
  <c r="K2339" i="1"/>
  <c r="J2339" i="1"/>
  <c r="I2339" i="1"/>
  <c r="F2339" i="1"/>
  <c r="C2339" i="1"/>
  <c r="C2338" i="1"/>
  <c r="F2338" i="1"/>
  <c r="I2338" i="1"/>
  <c r="J2338" i="1"/>
  <c r="K2338" i="1"/>
  <c r="C2337" i="1"/>
  <c r="F2337" i="1"/>
  <c r="I2337" i="1"/>
  <c r="J2337" i="1"/>
  <c r="K2337" i="1"/>
  <c r="E1474" i="2"/>
  <c r="I1474" i="2"/>
  <c r="E1475" i="2"/>
  <c r="I1475" i="2"/>
  <c r="K2336" i="1" l="1"/>
  <c r="J2336" i="1"/>
  <c r="I2336" i="1"/>
  <c r="F2336" i="1"/>
  <c r="C2336" i="1"/>
  <c r="I1073" i="2" l="1"/>
  <c r="E1073" i="2"/>
  <c r="K2335" i="1"/>
  <c r="J2335" i="1"/>
  <c r="I2335" i="1"/>
  <c r="F2335" i="1"/>
  <c r="C2335" i="1"/>
  <c r="E1072" i="2"/>
  <c r="I1072" i="2"/>
  <c r="E1071" i="2" l="1"/>
  <c r="I1071" i="2"/>
  <c r="K2334" i="1"/>
  <c r="J2334" i="1"/>
  <c r="I2334" i="1"/>
  <c r="F2334" i="1"/>
  <c r="C2334" i="1"/>
  <c r="E1070" i="2"/>
  <c r="I1070" i="2"/>
  <c r="I1069" i="2"/>
  <c r="E1069" i="2"/>
  <c r="E178" i="2"/>
  <c r="I178" i="2"/>
  <c r="E64" i="2"/>
  <c r="I64" i="2"/>
  <c r="C2333" i="1"/>
  <c r="F2333" i="1"/>
  <c r="I2333" i="1"/>
  <c r="J2333" i="1"/>
  <c r="K2333" i="1"/>
  <c r="E1066" i="2"/>
  <c r="I1066" i="2"/>
  <c r="K2332" i="1"/>
  <c r="J2332" i="1"/>
  <c r="I2332" i="1"/>
  <c r="F2332" i="1"/>
  <c r="C2332" i="1"/>
  <c r="E1065" i="2"/>
  <c r="I1065" i="2"/>
  <c r="K2331" i="1"/>
  <c r="J2331" i="1"/>
  <c r="I2331" i="1"/>
  <c r="F2331" i="1"/>
  <c r="C2331" i="1"/>
  <c r="I1064" i="2"/>
  <c r="E1064" i="2"/>
  <c r="K2330" i="1"/>
  <c r="J2330" i="1"/>
  <c r="I2330" i="1"/>
  <c r="F2330" i="1"/>
  <c r="C2330" i="1"/>
  <c r="I1063" i="2"/>
  <c r="E1063" i="2"/>
  <c r="K2329" i="1"/>
  <c r="J2329" i="1"/>
  <c r="I2329" i="1"/>
  <c r="F2329" i="1"/>
  <c r="C2329" i="1"/>
  <c r="K2328" i="1"/>
  <c r="J2328" i="1"/>
  <c r="I2328" i="1"/>
  <c r="C2328" i="1"/>
  <c r="I1062" i="2"/>
  <c r="E1062" i="2"/>
  <c r="K2327" i="1"/>
  <c r="J2327" i="1"/>
  <c r="I2327" i="1"/>
  <c r="F2327" i="1"/>
  <c r="C2327" i="1"/>
  <c r="E1061" i="2"/>
  <c r="I1061" i="2"/>
  <c r="K2326" i="1"/>
  <c r="J2326" i="1"/>
  <c r="I2326" i="1"/>
  <c r="F2326" i="1"/>
  <c r="C2326" i="1"/>
  <c r="I1058" i="2"/>
  <c r="E1058" i="2"/>
  <c r="I1060" i="2"/>
  <c r="E1060" i="2"/>
  <c r="I1059" i="2"/>
  <c r="E1059" i="2"/>
  <c r="I1057" i="2"/>
  <c r="E1057" i="2"/>
  <c r="I1056" i="2"/>
  <c r="E1056" i="2"/>
  <c r="I1055" i="2"/>
  <c r="E1055" i="2"/>
  <c r="I1054" i="2"/>
  <c r="E1054" i="2"/>
  <c r="I1053" i="2"/>
  <c r="E1053" i="2"/>
  <c r="I1052" i="2"/>
  <c r="E1052" i="2"/>
  <c r="I1051" i="2"/>
  <c r="E1051" i="2"/>
  <c r="I1050" i="2"/>
  <c r="E1050" i="2"/>
  <c r="I1049" i="2"/>
  <c r="E1049" i="2"/>
  <c r="I1048" i="2"/>
  <c r="E1048" i="2"/>
  <c r="I1047" i="2"/>
  <c r="E1047" i="2"/>
  <c r="I1046" i="2"/>
  <c r="E1046" i="2"/>
  <c r="I1045" i="2"/>
  <c r="E1045" i="2"/>
  <c r="I1044" i="2"/>
  <c r="E1044" i="2"/>
  <c r="I1043" i="2"/>
  <c r="E1043" i="2"/>
  <c r="I1042" i="2"/>
  <c r="E1042" i="2"/>
  <c r="I1041" i="2"/>
  <c r="E1041" i="2"/>
  <c r="I1040" i="2"/>
  <c r="E1040" i="2"/>
  <c r="I1039" i="2"/>
  <c r="E1039" i="2"/>
  <c r="I1038" i="2"/>
  <c r="E1038" i="2"/>
  <c r="I1037" i="2"/>
  <c r="E1037" i="2"/>
  <c r="I1036" i="2"/>
  <c r="E1036" i="2"/>
  <c r="I1035" i="2"/>
  <c r="E1035" i="2"/>
  <c r="I1034" i="2"/>
  <c r="E1034" i="2"/>
  <c r="I1033" i="2"/>
  <c r="E1033" i="2"/>
  <c r="I1032" i="2"/>
  <c r="E1032" i="2"/>
  <c r="I1031" i="2"/>
  <c r="E1031" i="2"/>
  <c r="I1030" i="2"/>
  <c r="E1030" i="2"/>
  <c r="I1029" i="2"/>
  <c r="E1029" i="2"/>
  <c r="K2325" i="1"/>
  <c r="J2325" i="1"/>
  <c r="I2325" i="1"/>
  <c r="F2325" i="1"/>
  <c r="C2325" i="1"/>
  <c r="E1028" i="2"/>
  <c r="I1028" i="2"/>
  <c r="I1027" i="2"/>
  <c r="E1027" i="2"/>
  <c r="I1026" i="2"/>
  <c r="E1026" i="2"/>
  <c r="K2324" i="1"/>
  <c r="J2324" i="1"/>
  <c r="I2324" i="1"/>
  <c r="F2324" i="1"/>
  <c r="C2324" i="1"/>
  <c r="E1067" i="2"/>
  <c r="I1067" i="2"/>
  <c r="K2323" i="1"/>
  <c r="J2323" i="1"/>
  <c r="I2323" i="1"/>
  <c r="F2323" i="1"/>
  <c r="C2323" i="1"/>
  <c r="I1024" i="2"/>
  <c r="E1024" i="2"/>
  <c r="I1023" i="2"/>
  <c r="E1023" i="2"/>
  <c r="I1022" i="2"/>
  <c r="E1022" i="2"/>
  <c r="I1021" i="2"/>
  <c r="E1021" i="2"/>
  <c r="E1020" i="2"/>
  <c r="I1020" i="2"/>
  <c r="K2322" i="1"/>
  <c r="J2322" i="1"/>
  <c r="I2322" i="1"/>
  <c r="F2322" i="1"/>
  <c r="C2322" i="1"/>
  <c r="E1019" i="2"/>
  <c r="I1019" i="2"/>
  <c r="C2321" i="1"/>
  <c r="F2321" i="1"/>
  <c r="I2321" i="1"/>
  <c r="J2321" i="1"/>
  <c r="K2321" i="1"/>
  <c r="E1018" i="2"/>
  <c r="I1018" i="2"/>
  <c r="I1017" i="2"/>
  <c r="E1017" i="2"/>
  <c r="I1016" i="2"/>
  <c r="E1016" i="2"/>
  <c r="E1015" i="2"/>
  <c r="I1015" i="2"/>
  <c r="C2320" i="1"/>
  <c r="F2320" i="1"/>
  <c r="I2320" i="1"/>
  <c r="J2320" i="1"/>
  <c r="K2320" i="1"/>
  <c r="E1014" i="2"/>
  <c r="I1014" i="2"/>
  <c r="C2319" i="1"/>
  <c r="F2319" i="1"/>
  <c r="I2319" i="1"/>
  <c r="J2319" i="1"/>
  <c r="K2319" i="1"/>
  <c r="E1013" i="2"/>
  <c r="I1013" i="2"/>
  <c r="K2318" i="1"/>
  <c r="J2318" i="1"/>
  <c r="I2318" i="1"/>
  <c r="F2318" i="1"/>
  <c r="C2318" i="1"/>
  <c r="E1012" i="2"/>
  <c r="I1012" i="2"/>
  <c r="C2317" i="1"/>
  <c r="F2317" i="1"/>
  <c r="I2317" i="1"/>
  <c r="J2317" i="1"/>
  <c r="K2317" i="1"/>
  <c r="E1011" i="2"/>
  <c r="I1011" i="2"/>
  <c r="E1010" i="2"/>
  <c r="I1010" i="2"/>
  <c r="C2316" i="1"/>
  <c r="F2316" i="1"/>
  <c r="I2316" i="1"/>
  <c r="J2316" i="1"/>
  <c r="K2316" i="1"/>
  <c r="E1009" i="2"/>
  <c r="I1009" i="2"/>
  <c r="K2315" i="1"/>
  <c r="J2315" i="1"/>
  <c r="I2315" i="1"/>
  <c r="F2315" i="1"/>
  <c r="C2315" i="1"/>
  <c r="F2314" i="1"/>
  <c r="C2314" i="1"/>
  <c r="I2314" i="1"/>
  <c r="J2314" i="1"/>
  <c r="K2314" i="1"/>
  <c r="C2313" i="1"/>
  <c r="F2313" i="1"/>
  <c r="I2313" i="1"/>
  <c r="J2313" i="1"/>
  <c r="K2313" i="1"/>
  <c r="I1008" i="2"/>
  <c r="E1008" i="2"/>
  <c r="E1007" i="2"/>
  <c r="I1007" i="2"/>
  <c r="F2308" i="1"/>
  <c r="F2309" i="1"/>
  <c r="F2310" i="1"/>
  <c r="F2311" i="1"/>
  <c r="F2312" i="1"/>
  <c r="C2305" i="1"/>
  <c r="E1000" i="2"/>
  <c r="C2304" i="1"/>
  <c r="C2306" i="1"/>
  <c r="C2307" i="1"/>
  <c r="C2308" i="1"/>
  <c r="C2309" i="1"/>
  <c r="C2310" i="1"/>
  <c r="C2311" i="1"/>
  <c r="C2312" i="1"/>
  <c r="F2304" i="1"/>
  <c r="F2305" i="1"/>
  <c r="F2306" i="1"/>
  <c r="F2307" i="1"/>
  <c r="I2304" i="1"/>
  <c r="I2305" i="1"/>
  <c r="I2306" i="1"/>
  <c r="I2307" i="1"/>
  <c r="I2308" i="1"/>
  <c r="I2309" i="1"/>
  <c r="I2310" i="1"/>
  <c r="I2311" i="1"/>
  <c r="I2312" i="1"/>
  <c r="J2304" i="1"/>
  <c r="J2305" i="1"/>
  <c r="J2306" i="1"/>
  <c r="J2307" i="1"/>
  <c r="J2308" i="1"/>
  <c r="J2309" i="1"/>
  <c r="J2310" i="1"/>
  <c r="J2311" i="1"/>
  <c r="J2312" i="1"/>
  <c r="K2304" i="1"/>
  <c r="K2305" i="1"/>
  <c r="K2306" i="1"/>
  <c r="K2307" i="1"/>
  <c r="K2308" i="1"/>
  <c r="K2309" i="1"/>
  <c r="K2310" i="1"/>
  <c r="K2311" i="1"/>
  <c r="K2312" i="1"/>
  <c r="C2303" i="1"/>
  <c r="F2303" i="1"/>
  <c r="I2303" i="1"/>
  <c r="J2303" i="1"/>
  <c r="K2303" i="1"/>
  <c r="E999" i="2"/>
  <c r="E998" i="2"/>
  <c r="E1001" i="2"/>
  <c r="E1002" i="2"/>
  <c r="E1003" i="2"/>
  <c r="E1004" i="2"/>
  <c r="E1005" i="2"/>
  <c r="E1006" i="2"/>
  <c r="I998" i="2"/>
  <c r="I999" i="2"/>
  <c r="I1000" i="2"/>
  <c r="I1001" i="2"/>
  <c r="I1002" i="2"/>
  <c r="I1003" i="2"/>
  <c r="I1004" i="2"/>
  <c r="I1005" i="2"/>
  <c r="I1006" i="2"/>
  <c r="E997" i="2"/>
  <c r="I997" i="2"/>
  <c r="C2302" i="1"/>
  <c r="F2302" i="1"/>
  <c r="I2302" i="1"/>
  <c r="J2302" i="1"/>
  <c r="K2302" i="1"/>
  <c r="I2293" i="1"/>
  <c r="J2293" i="1"/>
  <c r="E996" i="2"/>
  <c r="I996" i="2"/>
  <c r="E995" i="2"/>
  <c r="I995" i="2"/>
  <c r="E994" i="2"/>
  <c r="I994" i="2"/>
  <c r="E988" i="2"/>
  <c r="E989" i="2"/>
  <c r="E990" i="2"/>
  <c r="E991" i="2"/>
  <c r="E992" i="2"/>
  <c r="E993" i="2"/>
  <c r="I988" i="2"/>
  <c r="I989" i="2"/>
  <c r="I990" i="2"/>
  <c r="I991" i="2"/>
  <c r="I992" i="2"/>
  <c r="I993" i="2"/>
  <c r="C2293" i="1"/>
  <c r="C2294" i="1"/>
  <c r="C2295" i="1"/>
  <c r="C2296" i="1"/>
  <c r="C2297" i="1"/>
  <c r="C2298" i="1"/>
  <c r="C2299" i="1"/>
  <c r="C2300" i="1"/>
  <c r="C2301" i="1"/>
  <c r="F2293" i="1"/>
  <c r="F2294" i="1"/>
  <c r="F2295" i="1"/>
  <c r="F2296" i="1"/>
  <c r="F2297" i="1"/>
  <c r="F2298" i="1"/>
  <c r="F2299" i="1"/>
  <c r="F2300" i="1"/>
  <c r="F2301" i="1"/>
  <c r="I2294" i="1"/>
  <c r="I2295" i="1"/>
  <c r="I2296" i="1"/>
  <c r="I2297" i="1"/>
  <c r="I2298" i="1"/>
  <c r="I2299" i="1"/>
  <c r="I2300" i="1"/>
  <c r="I2301" i="1"/>
  <c r="J2294" i="1"/>
  <c r="J2295" i="1"/>
  <c r="J2296" i="1"/>
  <c r="J2297" i="1"/>
  <c r="J2298" i="1"/>
  <c r="J2299" i="1"/>
  <c r="J2300" i="1"/>
  <c r="J2301" i="1"/>
  <c r="K2293" i="1"/>
  <c r="K2294" i="1"/>
  <c r="K2295" i="1"/>
  <c r="K2296" i="1"/>
  <c r="K2297" i="1"/>
  <c r="K2298" i="1"/>
  <c r="K2299" i="1"/>
  <c r="K2300" i="1"/>
  <c r="K2301" i="1"/>
  <c r="E987" i="2"/>
  <c r="I987" i="2"/>
  <c r="K2292" i="1"/>
  <c r="J2292" i="1"/>
  <c r="I2292" i="1"/>
  <c r="F2292" i="1"/>
  <c r="C2292" i="1"/>
  <c r="K2291" i="1"/>
  <c r="J2291" i="1"/>
  <c r="I2291" i="1"/>
  <c r="F2291" i="1"/>
  <c r="C2291" i="1"/>
  <c r="K2290" i="1"/>
  <c r="J2290" i="1"/>
  <c r="I2290" i="1"/>
  <c r="F2290" i="1"/>
  <c r="C2290" i="1"/>
  <c r="K2289" i="1"/>
  <c r="J2289" i="1"/>
  <c r="I2289" i="1"/>
  <c r="F2289" i="1"/>
  <c r="C2289" i="1"/>
  <c r="E986" i="2"/>
  <c r="I986" i="2"/>
  <c r="E985" i="2"/>
  <c r="I985" i="2"/>
  <c r="E984" i="2"/>
  <c r="I984" i="2"/>
  <c r="E983" i="2"/>
  <c r="I983" i="2"/>
  <c r="C2288" i="1"/>
  <c r="F2288" i="1"/>
  <c r="I2288" i="1"/>
  <c r="J2288" i="1"/>
  <c r="K2288" i="1"/>
  <c r="E982" i="2"/>
  <c r="I982" i="2"/>
  <c r="C2287" i="1"/>
  <c r="F2287" i="1"/>
  <c r="I2287" i="1"/>
  <c r="J2287" i="1"/>
  <c r="K2287" i="1"/>
  <c r="E981" i="2"/>
  <c r="I981" i="2"/>
  <c r="I980" i="2"/>
  <c r="E980" i="2"/>
  <c r="I979" i="2"/>
  <c r="E979" i="2"/>
  <c r="I978" i="2"/>
  <c r="E978" i="2"/>
  <c r="I977" i="2"/>
  <c r="E977" i="2"/>
  <c r="I976" i="2"/>
  <c r="E976" i="2"/>
  <c r="K2286" i="1"/>
  <c r="J2286" i="1"/>
  <c r="I2286" i="1"/>
  <c r="F2286" i="1"/>
  <c r="C2286" i="1"/>
  <c r="K2285" i="1"/>
  <c r="J2285" i="1"/>
  <c r="I2285" i="1"/>
  <c r="F2285" i="1"/>
  <c r="C2285" i="1"/>
  <c r="K2284" i="1"/>
  <c r="J2284" i="1"/>
  <c r="I2284" i="1"/>
  <c r="F2284" i="1"/>
  <c r="C2284" i="1"/>
  <c r="C2283" i="1"/>
  <c r="F2283" i="1"/>
  <c r="I2283" i="1"/>
  <c r="J2283" i="1"/>
  <c r="K2283" i="1"/>
  <c r="C2282" i="1"/>
  <c r="F2282" i="1"/>
  <c r="I2282" i="1"/>
  <c r="J2282" i="1"/>
  <c r="K2282" i="1"/>
  <c r="K2281" i="1"/>
  <c r="J2281" i="1"/>
  <c r="I2281" i="1"/>
  <c r="F2281" i="1"/>
  <c r="C2281" i="1"/>
  <c r="E975" i="2"/>
  <c r="I975" i="2"/>
  <c r="C2280" i="1"/>
  <c r="F2280" i="1"/>
  <c r="I2280" i="1"/>
  <c r="J2280" i="1"/>
  <c r="K2280" i="1"/>
  <c r="E974" i="2"/>
  <c r="I974" i="2"/>
  <c r="C2273" i="1"/>
  <c r="C2274" i="1"/>
  <c r="C2275" i="1"/>
  <c r="C2276" i="1"/>
  <c r="C2277" i="1"/>
  <c r="C2278" i="1"/>
  <c r="C2279" i="1"/>
  <c r="I973" i="2"/>
  <c r="E973" i="2"/>
  <c r="I972" i="2"/>
  <c r="E972" i="2"/>
  <c r="I971" i="2"/>
  <c r="E971" i="2"/>
  <c r="I970" i="2"/>
  <c r="E970" i="2"/>
  <c r="I969" i="2"/>
  <c r="E969" i="2"/>
  <c r="I968" i="2"/>
  <c r="E968" i="2"/>
  <c r="E967" i="2"/>
  <c r="I967" i="2"/>
  <c r="F2271" i="1"/>
  <c r="K2272" i="1"/>
  <c r="J2272" i="1"/>
  <c r="F2272" i="1"/>
  <c r="C2272" i="1"/>
  <c r="E966" i="2"/>
  <c r="I966" i="2"/>
  <c r="E965" i="2"/>
  <c r="I965" i="2"/>
  <c r="K2079" i="1"/>
  <c r="J2079" i="1"/>
  <c r="I2079" i="1"/>
  <c r="F2079" i="1"/>
  <c r="C2079" i="1"/>
  <c r="E964" i="2"/>
  <c r="I964" i="2"/>
  <c r="E963" i="2"/>
  <c r="I963" i="2"/>
  <c r="E962" i="2"/>
  <c r="I962" i="2"/>
  <c r="E961" i="2"/>
  <c r="I961" i="2"/>
  <c r="I960" i="2"/>
  <c r="E960" i="2"/>
  <c r="C2047" i="1"/>
  <c r="F2047" i="1"/>
  <c r="I2047" i="1"/>
  <c r="J2047" i="1"/>
  <c r="K2047" i="1"/>
  <c r="E959" i="2"/>
  <c r="I959" i="2"/>
  <c r="E958" i="2"/>
  <c r="I958" i="2"/>
  <c r="K2054" i="1"/>
  <c r="J2054" i="1"/>
  <c r="I2054" i="1"/>
  <c r="F2054" i="1"/>
  <c r="C2054" i="1"/>
  <c r="C2044" i="1"/>
  <c r="F2044" i="1"/>
  <c r="I2044" i="1"/>
  <c r="J2044" i="1"/>
  <c r="K2044" i="1"/>
  <c r="E957" i="2"/>
  <c r="I957" i="2"/>
  <c r="C2085" i="1"/>
  <c r="F2085" i="1"/>
  <c r="I2085" i="1"/>
  <c r="J2085" i="1"/>
  <c r="K2085" i="1"/>
  <c r="C2086" i="1"/>
  <c r="F2086" i="1"/>
  <c r="I2086" i="1"/>
  <c r="J2086" i="1"/>
  <c r="K2086" i="1"/>
  <c r="E956" i="2"/>
  <c r="I956" i="2"/>
  <c r="C2087" i="1"/>
  <c r="F2087" i="1"/>
  <c r="I2087" i="1"/>
  <c r="J2087" i="1"/>
  <c r="K2087" i="1"/>
  <c r="E955" i="2"/>
  <c r="I955" i="2"/>
  <c r="C1924" i="1"/>
  <c r="F1924" i="1"/>
  <c r="I1924" i="1"/>
  <c r="J1924" i="1"/>
  <c r="K1924" i="1"/>
  <c r="E954" i="2"/>
  <c r="I954" i="2"/>
  <c r="E953" i="2"/>
  <c r="I953" i="2"/>
  <c r="E952" i="2"/>
  <c r="I952" i="2"/>
  <c r="E951" i="2"/>
  <c r="I951" i="2"/>
  <c r="E950" i="2"/>
  <c r="I950" i="2"/>
  <c r="K361" i="1"/>
  <c r="J361" i="1"/>
  <c r="I361" i="1"/>
  <c r="F361" i="1"/>
  <c r="C361" i="1"/>
  <c r="I947" i="2"/>
  <c r="E947" i="2"/>
  <c r="I949" i="2"/>
  <c r="E949" i="2"/>
  <c r="I948" i="2"/>
  <c r="E948" i="2"/>
  <c r="I946" i="2"/>
  <c r="E946" i="2"/>
  <c r="I945" i="2"/>
  <c r="E945" i="2"/>
  <c r="I944" i="2"/>
  <c r="E944" i="2"/>
  <c r="I943" i="2"/>
  <c r="E943" i="2"/>
  <c r="I942" i="2"/>
  <c r="E942" i="2"/>
  <c r="I941" i="2"/>
  <c r="E941" i="2"/>
  <c r="I940" i="2"/>
  <c r="E940" i="2"/>
  <c r="I939" i="2"/>
  <c r="E939" i="2"/>
  <c r="I938" i="2"/>
  <c r="E938" i="2"/>
  <c r="I937" i="2"/>
  <c r="E937" i="2"/>
  <c r="I936" i="2"/>
  <c r="E936" i="2"/>
  <c r="I935" i="2"/>
  <c r="E935" i="2"/>
  <c r="I934" i="2"/>
  <c r="E934" i="2"/>
  <c r="I933" i="2"/>
  <c r="E933" i="2"/>
  <c r="I932" i="2"/>
  <c r="E932" i="2"/>
  <c r="I931" i="2"/>
  <c r="E931" i="2"/>
  <c r="I930" i="2"/>
  <c r="E930" i="2"/>
  <c r="I929" i="2"/>
  <c r="E929" i="2"/>
  <c r="I928" i="2"/>
  <c r="E928" i="2"/>
  <c r="I927" i="2"/>
  <c r="E927" i="2"/>
  <c r="I926" i="2"/>
  <c r="E926" i="2"/>
  <c r="I925" i="2"/>
  <c r="E925" i="2"/>
  <c r="I924" i="2"/>
  <c r="E924" i="2"/>
  <c r="I923" i="2"/>
  <c r="E923" i="2"/>
  <c r="I922" i="2"/>
  <c r="E922" i="2"/>
  <c r="I921" i="2"/>
  <c r="E921" i="2"/>
  <c r="I920" i="2"/>
  <c r="E920" i="2"/>
  <c r="I919" i="2"/>
  <c r="E919" i="2"/>
  <c r="C2082" i="1"/>
  <c r="F2082" i="1"/>
  <c r="I2082" i="1"/>
  <c r="J2082" i="1"/>
  <c r="K2082" i="1"/>
  <c r="E901" i="2"/>
  <c r="I901" i="2"/>
  <c r="K2084" i="1"/>
  <c r="J2084" i="1"/>
  <c r="I2084" i="1"/>
  <c r="F2084" i="1"/>
  <c r="C2084" i="1"/>
  <c r="K2083" i="1"/>
  <c r="J2083" i="1"/>
  <c r="I2083" i="1"/>
  <c r="F2083" i="1"/>
  <c r="C2083" i="1"/>
  <c r="E918" i="2"/>
  <c r="I918" i="2"/>
  <c r="I917" i="2"/>
  <c r="E917" i="2"/>
  <c r="I916" i="2"/>
  <c r="E916" i="2"/>
  <c r="I915" i="2"/>
  <c r="E915" i="2"/>
  <c r="I914" i="2"/>
  <c r="E914" i="2"/>
  <c r="E913" i="2"/>
  <c r="I913" i="2"/>
  <c r="E912" i="2"/>
  <c r="I912" i="2"/>
  <c r="C1928" i="1"/>
  <c r="F1928" i="1"/>
  <c r="I1928" i="1"/>
  <c r="J1928" i="1"/>
  <c r="K1928" i="1"/>
  <c r="E911" i="2"/>
  <c r="I911" i="2"/>
  <c r="K2063" i="1"/>
  <c r="J2063" i="1"/>
  <c r="I2063" i="1"/>
  <c r="F2063" i="1"/>
  <c r="C2063" i="1"/>
  <c r="C2062" i="1"/>
  <c r="F2062" i="1"/>
  <c r="I2062" i="1"/>
  <c r="J2062" i="1"/>
  <c r="K2062" i="1"/>
  <c r="E900" i="2"/>
  <c r="I900" i="2"/>
  <c r="E899" i="2"/>
  <c r="I899" i="2"/>
  <c r="K2078" i="1"/>
  <c r="J2078" i="1"/>
  <c r="I2078" i="1"/>
  <c r="F2078" i="1"/>
  <c r="C2078" i="1"/>
  <c r="I910" i="2"/>
  <c r="E910" i="2"/>
  <c r="I909" i="2"/>
  <c r="E909" i="2"/>
  <c r="I908" i="2"/>
  <c r="E908" i="2"/>
  <c r="I907" i="2"/>
  <c r="E907" i="2"/>
  <c r="K2081" i="1"/>
  <c r="J2081" i="1"/>
  <c r="I2081" i="1"/>
  <c r="F2081" i="1"/>
  <c r="C2081" i="1"/>
  <c r="K2080" i="1"/>
  <c r="J2080" i="1"/>
  <c r="I2080" i="1"/>
  <c r="F2080" i="1"/>
  <c r="C2080" i="1"/>
  <c r="I906" i="2"/>
  <c r="E906" i="2"/>
  <c r="I905" i="2"/>
  <c r="E905" i="2"/>
  <c r="I904" i="2"/>
  <c r="E904" i="2"/>
  <c r="I903" i="2"/>
  <c r="E903" i="2"/>
  <c r="E902" i="2"/>
  <c r="I902" i="2"/>
  <c r="C2072" i="1"/>
  <c r="F2072" i="1"/>
  <c r="I2072" i="1"/>
  <c r="J2072" i="1"/>
  <c r="K2072" i="1"/>
  <c r="E1025" i="2"/>
  <c r="I1025" i="2"/>
  <c r="K2074" i="1"/>
  <c r="J2074" i="1"/>
  <c r="I2074" i="1"/>
  <c r="F2074" i="1"/>
  <c r="C2074" i="1"/>
  <c r="E896" i="2"/>
  <c r="I896" i="2"/>
  <c r="C2073" i="1"/>
  <c r="F2073" i="1"/>
  <c r="I2073" i="1"/>
  <c r="J2073" i="1"/>
  <c r="K2073" i="1"/>
  <c r="E895" i="2"/>
  <c r="I895" i="2"/>
  <c r="K2046" i="1"/>
  <c r="J2046" i="1"/>
  <c r="I2046" i="1"/>
  <c r="F2046" i="1"/>
  <c r="C2046" i="1"/>
  <c r="E898" i="2"/>
  <c r="I898" i="2"/>
  <c r="K1988" i="1"/>
  <c r="J1988" i="1"/>
  <c r="I1988" i="1"/>
  <c r="F1988" i="1"/>
  <c r="K2071" i="1"/>
  <c r="J2071" i="1"/>
  <c r="I2071" i="1"/>
  <c r="F2071" i="1"/>
  <c r="C2071" i="1"/>
  <c r="K2070" i="1"/>
  <c r="J2070" i="1"/>
  <c r="I2070" i="1"/>
  <c r="F2070" i="1"/>
  <c r="C2070" i="1"/>
  <c r="C2069" i="1"/>
  <c r="F2069" i="1"/>
  <c r="I2069" i="1"/>
  <c r="J2069" i="1"/>
  <c r="K2069" i="1"/>
  <c r="E894" i="2"/>
  <c r="I894" i="2"/>
  <c r="E893" i="2"/>
  <c r="I893" i="2"/>
  <c r="E892" i="2"/>
  <c r="I892" i="2"/>
  <c r="C2077" i="1"/>
  <c r="F2077" i="1"/>
  <c r="I2077" i="1"/>
  <c r="J2077" i="1"/>
  <c r="K2077" i="1"/>
  <c r="E891" i="2"/>
  <c r="I891" i="2"/>
  <c r="E50" i="2"/>
  <c r="I50" i="2"/>
  <c r="C2076" i="1"/>
  <c r="F2076" i="1"/>
  <c r="I2076" i="1"/>
  <c r="J2076" i="1"/>
  <c r="K2076" i="1"/>
  <c r="E890" i="2"/>
  <c r="I890" i="2"/>
  <c r="E357" i="2"/>
  <c r="I357" i="2"/>
  <c r="C2068" i="1"/>
  <c r="F2068" i="1"/>
  <c r="I2068" i="1"/>
  <c r="J2068" i="1"/>
  <c r="K2068" i="1"/>
  <c r="E889" i="2"/>
  <c r="I889" i="2"/>
  <c r="C2066" i="1"/>
  <c r="F2066" i="1"/>
  <c r="I2066" i="1"/>
  <c r="J2066" i="1"/>
  <c r="K2066" i="1"/>
  <c r="E888" i="2"/>
  <c r="I888" i="2"/>
  <c r="C2067" i="1"/>
  <c r="F2067" i="1"/>
  <c r="I2067" i="1"/>
  <c r="J2067" i="1"/>
  <c r="K2067" i="1"/>
  <c r="E887" i="2"/>
  <c r="I887" i="2"/>
  <c r="C2267" i="1"/>
  <c r="F2267" i="1"/>
  <c r="I2267" i="1"/>
  <c r="J2267" i="1"/>
  <c r="K2267" i="1"/>
  <c r="C2075" i="1"/>
  <c r="F2075" i="1"/>
  <c r="I2075" i="1"/>
  <c r="J2075" i="1"/>
  <c r="K2075" i="1"/>
  <c r="E886" i="2"/>
  <c r="I886" i="2"/>
  <c r="E553" i="2"/>
  <c r="I553" i="2"/>
  <c r="C222" i="1"/>
  <c r="K222" i="1"/>
  <c r="J222" i="1"/>
  <c r="I222" i="1"/>
  <c r="F222" i="1"/>
  <c r="K224" i="1"/>
  <c r="J224" i="1"/>
  <c r="I224" i="1"/>
  <c r="F224" i="1"/>
  <c r="C224" i="1"/>
  <c r="E885" i="2"/>
  <c r="I885" i="2"/>
  <c r="E884" i="2"/>
  <c r="I884" i="2"/>
  <c r="E34" i="2"/>
  <c r="I34" i="2"/>
  <c r="K1946" i="1"/>
  <c r="J1946" i="1"/>
  <c r="I1946" i="1"/>
  <c r="F1946" i="1"/>
  <c r="C1946" i="1"/>
  <c r="K1944" i="1"/>
  <c r="J1944" i="1"/>
  <c r="I1944" i="1"/>
  <c r="F1944" i="1"/>
  <c r="C1944" i="1"/>
  <c r="K1942" i="1"/>
  <c r="J1942" i="1"/>
  <c r="I1942" i="1"/>
  <c r="F1942" i="1"/>
  <c r="C1942" i="1"/>
  <c r="K1939" i="1"/>
  <c r="J1939" i="1"/>
  <c r="I1939" i="1"/>
  <c r="F1939" i="1"/>
  <c r="C1939" i="1"/>
  <c r="K1938" i="1"/>
  <c r="J1938" i="1"/>
  <c r="I1938" i="1"/>
  <c r="F1938" i="1"/>
  <c r="C1938" i="1"/>
  <c r="E883" i="2"/>
  <c r="I883" i="2"/>
  <c r="E882" i="2"/>
  <c r="I882" i="2"/>
  <c r="E881" i="2"/>
  <c r="I881" i="2"/>
  <c r="E880" i="2"/>
  <c r="I880" i="2"/>
  <c r="E879" i="2"/>
  <c r="I879" i="2"/>
  <c r="E55" i="2"/>
  <c r="I55" i="2"/>
  <c r="C1940" i="1"/>
  <c r="F1940" i="1"/>
  <c r="I1940" i="1"/>
  <c r="J1940" i="1"/>
  <c r="K1940" i="1"/>
  <c r="E100" i="2"/>
  <c r="I100" i="2"/>
  <c r="C1957" i="1"/>
  <c r="F1957" i="1"/>
  <c r="I1957" i="1"/>
  <c r="J1957" i="1"/>
  <c r="K1957" i="1"/>
  <c r="E877" i="2"/>
  <c r="I877" i="2"/>
  <c r="E876" i="2"/>
  <c r="I876" i="2"/>
  <c r="E875" i="2"/>
  <c r="I875" i="2"/>
  <c r="E874" i="2"/>
  <c r="I874" i="2"/>
  <c r="E873" i="2"/>
  <c r="I873" i="2"/>
  <c r="C441" i="1"/>
  <c r="F441" i="1"/>
  <c r="I441" i="1"/>
  <c r="J441" i="1"/>
  <c r="K441" i="1"/>
  <c r="C426" i="1"/>
  <c r="F426" i="1"/>
  <c r="I426" i="1"/>
  <c r="J426" i="1"/>
  <c r="K426" i="1"/>
  <c r="E872" i="2"/>
  <c r="I872" i="2"/>
  <c r="E871" i="2"/>
  <c r="I871" i="2"/>
  <c r="C221" i="1"/>
  <c r="F221" i="1"/>
  <c r="I221" i="1"/>
  <c r="J221" i="1"/>
  <c r="K221" i="1"/>
  <c r="E870" i="2"/>
  <c r="I870" i="2"/>
  <c r="C1381" i="1"/>
  <c r="F1381" i="1"/>
  <c r="I1381" i="1"/>
  <c r="J1381" i="1"/>
  <c r="K1381" i="1"/>
  <c r="E869" i="2"/>
  <c r="I869" i="2"/>
  <c r="C1293" i="1"/>
  <c r="F1293" i="1"/>
  <c r="I1293" i="1"/>
  <c r="J1293" i="1"/>
  <c r="K1293" i="1"/>
  <c r="E878" i="2"/>
  <c r="I878" i="2"/>
  <c r="C1285" i="1"/>
  <c r="F1285" i="1"/>
  <c r="I1285" i="1"/>
  <c r="J1285" i="1"/>
  <c r="K1285" i="1"/>
  <c r="E868" i="2"/>
  <c r="I868" i="2"/>
  <c r="K1673" i="1"/>
  <c r="J1673" i="1"/>
  <c r="I1673" i="1"/>
  <c r="C1673" i="1"/>
  <c r="F1673" i="1"/>
  <c r="E897" i="2"/>
  <c r="I897" i="2"/>
  <c r="E81" i="2"/>
  <c r="I81" i="2"/>
  <c r="C1306" i="1"/>
  <c r="F1306" i="1"/>
  <c r="I1306" i="1"/>
  <c r="J1306" i="1"/>
  <c r="K1306" i="1"/>
  <c r="E866" i="2"/>
  <c r="I866" i="2"/>
  <c r="E33" i="2"/>
  <c r="I33" i="2"/>
  <c r="E237" i="2"/>
  <c r="I237" i="2"/>
  <c r="E99" i="2"/>
  <c r="I99" i="2"/>
  <c r="E6" i="2"/>
  <c r="I6" i="2"/>
  <c r="C2065" i="1"/>
  <c r="F2065" i="1"/>
  <c r="I2065" i="1"/>
  <c r="J2065" i="1"/>
  <c r="K2065" i="1"/>
  <c r="E865" i="2"/>
  <c r="I865" i="2"/>
  <c r="C1664" i="1"/>
  <c r="F1664" i="1"/>
  <c r="I1664" i="1"/>
  <c r="J1664" i="1"/>
  <c r="K1664" i="1"/>
  <c r="E864" i="2"/>
  <c r="I864" i="2"/>
  <c r="C1284" i="1"/>
  <c r="F1284" i="1"/>
  <c r="I1284" i="1"/>
  <c r="J1284" i="1"/>
  <c r="K1284" i="1"/>
  <c r="E863" i="2"/>
  <c r="I863" i="2"/>
  <c r="E9" i="2"/>
  <c r="I9" i="2"/>
  <c r="E862" i="2"/>
  <c r="I862" i="2"/>
  <c r="C1085" i="1"/>
  <c r="F1085" i="1"/>
  <c r="I1085" i="1"/>
  <c r="J1085" i="1"/>
  <c r="K1085" i="1"/>
  <c r="E861" i="2"/>
  <c r="I861" i="2"/>
  <c r="E324" i="2"/>
  <c r="I324" i="2"/>
  <c r="E25" i="2"/>
  <c r="I25" i="2"/>
  <c r="E1352" i="2"/>
  <c r="I1352" i="2"/>
  <c r="E98" i="2"/>
  <c r="I98" i="2"/>
  <c r="C1667" i="1"/>
  <c r="F1667" i="1"/>
  <c r="I1667" i="1"/>
  <c r="J1667" i="1"/>
  <c r="K1667" i="1"/>
  <c r="E860" i="2"/>
  <c r="I860" i="2"/>
  <c r="C1308" i="1"/>
  <c r="F1308" i="1"/>
  <c r="I1308" i="1"/>
  <c r="J1308" i="1"/>
  <c r="K1308" i="1"/>
  <c r="E859" i="2"/>
  <c r="I859" i="2"/>
  <c r="E858" i="2"/>
  <c r="I858" i="2"/>
  <c r="K918" i="1"/>
  <c r="J918" i="1"/>
  <c r="I918" i="1"/>
  <c r="F918" i="1"/>
  <c r="C918" i="1"/>
  <c r="E857" i="2"/>
  <c r="I857" i="2"/>
  <c r="K916" i="1"/>
  <c r="J916" i="1"/>
  <c r="I916" i="1"/>
  <c r="F916" i="1"/>
  <c r="C916" i="1"/>
  <c r="E856" i="2"/>
  <c r="I856" i="2"/>
  <c r="C1337" i="1"/>
  <c r="F1337" i="1"/>
  <c r="I1337" i="1"/>
  <c r="J1337" i="1"/>
  <c r="K1337" i="1"/>
  <c r="E789" i="2"/>
  <c r="I789" i="2"/>
  <c r="C1336" i="1"/>
  <c r="F1336" i="1"/>
  <c r="I1336" i="1"/>
  <c r="J1336" i="1"/>
  <c r="K1336" i="1"/>
  <c r="E788" i="2"/>
  <c r="I788" i="2"/>
  <c r="C1335" i="1"/>
  <c r="F1335" i="1"/>
  <c r="I1335" i="1"/>
  <c r="J1335" i="1"/>
  <c r="K1335" i="1"/>
  <c r="E795" i="2"/>
  <c r="I795" i="2"/>
  <c r="K957" i="1"/>
  <c r="J957" i="1"/>
  <c r="I957" i="1"/>
  <c r="F957" i="1"/>
  <c r="C957" i="1"/>
  <c r="E75" i="2"/>
  <c r="I75" i="2"/>
  <c r="E363" i="2"/>
  <c r="I363" i="2"/>
  <c r="C1307" i="1"/>
  <c r="F1307" i="1"/>
  <c r="I1307" i="1"/>
  <c r="J1307" i="1"/>
  <c r="K1307" i="1"/>
  <c r="C1267" i="1"/>
  <c r="F1267" i="1"/>
  <c r="I1267" i="1"/>
  <c r="J1267" i="1"/>
  <c r="K1267" i="1"/>
  <c r="C991" i="1"/>
  <c r="F991" i="1"/>
  <c r="I991" i="1"/>
  <c r="J991" i="1"/>
  <c r="K991" i="1"/>
  <c r="C990" i="1"/>
  <c r="F990" i="1"/>
  <c r="I990" i="1"/>
  <c r="J990" i="1"/>
  <c r="K990" i="1"/>
  <c r="E852" i="2"/>
  <c r="E853" i="2"/>
  <c r="E854" i="2"/>
  <c r="E855" i="2"/>
  <c r="I853" i="2"/>
  <c r="I854" i="2"/>
  <c r="I855" i="2"/>
  <c r="I852" i="2"/>
  <c r="C505" i="1"/>
  <c r="F505" i="1"/>
  <c r="I505" i="1"/>
  <c r="J505" i="1"/>
  <c r="K505" i="1"/>
  <c r="E851" i="2"/>
  <c r="I851" i="2"/>
  <c r="I850" i="2"/>
  <c r="E850" i="2"/>
  <c r="I849" i="2"/>
  <c r="E849" i="2"/>
  <c r="I848" i="2"/>
  <c r="E848" i="2"/>
  <c r="I847" i="2"/>
  <c r="E847" i="2"/>
  <c r="I846" i="2"/>
  <c r="E846" i="2"/>
  <c r="I845" i="2"/>
  <c r="E845" i="2"/>
  <c r="I844" i="2"/>
  <c r="E844" i="2"/>
  <c r="I843" i="2"/>
  <c r="E843" i="2"/>
  <c r="I842" i="2"/>
  <c r="E842" i="2"/>
  <c r="I841" i="2"/>
  <c r="E841" i="2"/>
  <c r="I840" i="2"/>
  <c r="E840" i="2"/>
  <c r="I839" i="2"/>
  <c r="E839" i="2"/>
  <c r="I838" i="2"/>
  <c r="E838" i="2"/>
  <c r="I837" i="2"/>
  <c r="E837" i="2"/>
  <c r="I836" i="2"/>
  <c r="E836" i="2"/>
  <c r="I835" i="2"/>
  <c r="E835" i="2"/>
  <c r="I834" i="2"/>
  <c r="E834" i="2"/>
  <c r="I833" i="2"/>
  <c r="E833" i="2"/>
  <c r="I832" i="2"/>
  <c r="E832" i="2"/>
  <c r="I831" i="2"/>
  <c r="E831" i="2"/>
  <c r="I830" i="2"/>
  <c r="E830" i="2"/>
  <c r="I829" i="2"/>
  <c r="E829" i="2"/>
  <c r="I828" i="2"/>
  <c r="E828" i="2"/>
  <c r="I827" i="2"/>
  <c r="E827" i="2"/>
  <c r="I826" i="2"/>
  <c r="E826" i="2"/>
  <c r="I825" i="2"/>
  <c r="E825" i="2"/>
  <c r="I824" i="2"/>
  <c r="E824" i="2"/>
  <c r="I823" i="2"/>
  <c r="E823" i="2"/>
  <c r="I822" i="2"/>
  <c r="E822" i="2"/>
  <c r="I821" i="2"/>
  <c r="E821" i="2"/>
  <c r="C223" i="1"/>
  <c r="F223" i="1"/>
  <c r="I223" i="1"/>
  <c r="J223" i="1"/>
  <c r="K223" i="1"/>
  <c r="E820" i="2"/>
  <c r="I820" i="2"/>
  <c r="K1300" i="1"/>
  <c r="J1300" i="1"/>
  <c r="I1300" i="1"/>
  <c r="F1300" i="1"/>
  <c r="C1300" i="1"/>
  <c r="E819" i="2"/>
  <c r="I819" i="2"/>
  <c r="K1298" i="1"/>
  <c r="J1298" i="1"/>
  <c r="I1298" i="1"/>
  <c r="F1298" i="1"/>
  <c r="C1298" i="1"/>
  <c r="E817" i="2"/>
  <c r="I817" i="2"/>
  <c r="K1291" i="1"/>
  <c r="J1291" i="1"/>
  <c r="I1291" i="1"/>
  <c r="F1291" i="1"/>
  <c r="C1291" i="1"/>
  <c r="E816" i="2"/>
  <c r="I816" i="2"/>
  <c r="K1288" i="1"/>
  <c r="J1288" i="1"/>
  <c r="I1288" i="1"/>
  <c r="F1288" i="1"/>
  <c r="C1288" i="1"/>
  <c r="E815" i="2"/>
  <c r="I815" i="2"/>
  <c r="C1233" i="1"/>
  <c r="F1233" i="1"/>
  <c r="I1233" i="1"/>
  <c r="J1233" i="1"/>
  <c r="K1233" i="1"/>
  <c r="E814" i="2"/>
  <c r="I814" i="2"/>
  <c r="C229" i="1"/>
  <c r="F229" i="1"/>
  <c r="I229" i="1"/>
  <c r="J229" i="1"/>
  <c r="K229" i="1"/>
  <c r="E818" i="2"/>
  <c r="I818" i="2"/>
  <c r="E867" i="2"/>
  <c r="I867" i="2"/>
  <c r="E813" i="2"/>
  <c r="I813" i="2"/>
  <c r="C2232" i="1"/>
  <c r="F2232" i="1"/>
  <c r="I2232" i="1"/>
  <c r="J2232" i="1"/>
  <c r="K2232" i="1"/>
  <c r="C1384" i="1"/>
  <c r="F1384" i="1"/>
  <c r="I1384" i="1"/>
  <c r="J1384" i="1"/>
  <c r="K1384" i="1"/>
  <c r="E811" i="2"/>
  <c r="I811" i="2"/>
  <c r="E810" i="2"/>
  <c r="I810" i="2"/>
  <c r="C1383" i="1"/>
  <c r="F1383" i="1"/>
  <c r="I1383" i="1"/>
  <c r="J1383" i="1"/>
  <c r="K1383" i="1"/>
  <c r="C1312" i="1"/>
  <c r="F1312" i="1"/>
  <c r="I1312" i="1"/>
  <c r="J1312" i="1"/>
  <c r="K1312" i="1"/>
  <c r="E809" i="2"/>
  <c r="I809" i="2"/>
  <c r="E808" i="2"/>
  <c r="I808" i="2"/>
  <c r="C1311" i="1"/>
  <c r="F1311" i="1"/>
  <c r="I1311" i="1"/>
  <c r="J1311" i="1"/>
  <c r="K1311" i="1"/>
  <c r="C1310" i="1"/>
  <c r="F1310" i="1"/>
  <c r="I1310" i="1"/>
  <c r="J1310" i="1"/>
  <c r="K1310" i="1"/>
  <c r="E807" i="2"/>
  <c r="I807" i="2"/>
  <c r="C1309" i="1"/>
  <c r="F1309" i="1"/>
  <c r="I1309" i="1"/>
  <c r="J1309" i="1"/>
  <c r="K1309" i="1"/>
  <c r="E806" i="2"/>
  <c r="I806" i="2"/>
  <c r="E805" i="2"/>
  <c r="I805" i="2"/>
  <c r="C1305" i="1"/>
  <c r="F1305" i="1"/>
  <c r="I1305" i="1"/>
  <c r="J1305" i="1"/>
  <c r="K1305" i="1"/>
  <c r="E804" i="2"/>
  <c r="I804" i="2"/>
  <c r="C1304" i="1"/>
  <c r="F1304" i="1"/>
  <c r="I1304" i="1"/>
  <c r="J1304" i="1"/>
  <c r="K1304" i="1"/>
  <c r="E803" i="2"/>
  <c r="I803" i="2"/>
  <c r="C1303" i="1"/>
  <c r="F1303" i="1"/>
  <c r="I1303" i="1"/>
  <c r="J1303" i="1"/>
  <c r="K1303" i="1"/>
  <c r="E802" i="2"/>
  <c r="I802" i="2"/>
  <c r="C1302" i="1"/>
  <c r="F1302" i="1"/>
  <c r="I1302" i="1"/>
  <c r="J1302" i="1"/>
  <c r="K1302" i="1"/>
  <c r="E801" i="2"/>
  <c r="I801" i="2"/>
  <c r="K1299" i="1"/>
  <c r="J1299" i="1"/>
  <c r="I1299" i="1"/>
  <c r="F1299" i="1"/>
  <c r="K1290" i="1"/>
  <c r="J1290" i="1"/>
  <c r="I1290" i="1"/>
  <c r="F1290" i="1"/>
  <c r="E799" i="2"/>
  <c r="I799" i="2"/>
  <c r="C1297" i="1"/>
  <c r="F1297" i="1"/>
  <c r="I1297" i="1"/>
  <c r="J1297" i="1"/>
  <c r="K1297" i="1"/>
  <c r="E798" i="2"/>
  <c r="I798" i="2"/>
  <c r="C1290" i="1"/>
  <c r="C1287" i="1"/>
  <c r="F1287" i="1"/>
  <c r="I1287" i="1"/>
  <c r="J1287" i="1"/>
  <c r="K1287" i="1"/>
  <c r="E797" i="2"/>
  <c r="I797" i="2"/>
  <c r="E796" i="2"/>
  <c r="I796" i="2"/>
  <c r="E97" i="2"/>
  <c r="I97" i="2"/>
  <c r="E552" i="2"/>
  <c r="I552" i="2"/>
  <c r="E53" i="2"/>
  <c r="I53" i="2"/>
  <c r="E37" i="2"/>
  <c r="I37" i="2"/>
  <c r="E57" i="2"/>
  <c r="I57" i="2"/>
  <c r="E195" i="2"/>
  <c r="I195" i="2"/>
  <c r="E49" i="2"/>
  <c r="I49" i="2"/>
  <c r="E48" i="2"/>
  <c r="I48" i="2"/>
  <c r="C704" i="1"/>
  <c r="F704" i="1"/>
  <c r="I704" i="1"/>
  <c r="J704" i="1"/>
  <c r="K704" i="1"/>
  <c r="E800" i="2"/>
  <c r="I800" i="2"/>
  <c r="E7" i="2"/>
  <c r="I7" i="2"/>
  <c r="E18" i="2"/>
  <c r="I18" i="2"/>
  <c r="E21" i="2"/>
  <c r="I21" i="2"/>
  <c r="E20" i="2"/>
  <c r="I20" i="2"/>
  <c r="E204" i="2"/>
  <c r="I204" i="2"/>
  <c r="E62" i="2"/>
  <c r="I62" i="2"/>
  <c r="E13" i="2"/>
  <c r="I13" i="2"/>
  <c r="E8" i="2"/>
  <c r="I8" i="2"/>
  <c r="E5" i="2"/>
  <c r="I5" i="2"/>
  <c r="E22" i="2"/>
  <c r="I22" i="2"/>
  <c r="E54" i="2"/>
  <c r="I54" i="2"/>
  <c r="E36" i="2"/>
  <c r="I36" i="2"/>
  <c r="C405" i="1"/>
  <c r="F405" i="1"/>
  <c r="I405" i="1"/>
  <c r="J405" i="1"/>
  <c r="K405" i="1"/>
  <c r="C406" i="1"/>
  <c r="F406" i="1"/>
  <c r="I406" i="1"/>
  <c r="J406" i="1"/>
  <c r="K406" i="1"/>
  <c r="C407" i="1"/>
  <c r="F407" i="1"/>
  <c r="I407" i="1"/>
  <c r="J407" i="1"/>
  <c r="K407" i="1"/>
  <c r="C408" i="1"/>
  <c r="F408" i="1"/>
  <c r="I408" i="1"/>
  <c r="J408" i="1"/>
  <c r="K408" i="1"/>
  <c r="C409" i="1"/>
  <c r="F409" i="1"/>
  <c r="I409" i="1"/>
  <c r="J409" i="1"/>
  <c r="K409" i="1"/>
  <c r="C410" i="1"/>
  <c r="F410" i="1"/>
  <c r="I410" i="1"/>
  <c r="J410" i="1"/>
  <c r="K410" i="1"/>
  <c r="C411" i="1"/>
  <c r="F411" i="1"/>
  <c r="I411" i="1"/>
  <c r="J411" i="1"/>
  <c r="K411" i="1"/>
  <c r="K404" i="1"/>
  <c r="J404" i="1"/>
  <c r="I404" i="1"/>
  <c r="F404" i="1"/>
  <c r="C404" i="1"/>
  <c r="C368" i="1"/>
  <c r="F368" i="1"/>
  <c r="I368" i="1"/>
  <c r="J368" i="1"/>
  <c r="K368" i="1"/>
  <c r="C369" i="1"/>
  <c r="F369" i="1"/>
  <c r="I369" i="1"/>
  <c r="J369" i="1"/>
  <c r="K369" i="1"/>
  <c r="C370" i="1"/>
  <c r="F370" i="1"/>
  <c r="I370" i="1"/>
  <c r="J370" i="1"/>
  <c r="K370" i="1"/>
  <c r="C371" i="1"/>
  <c r="F371" i="1"/>
  <c r="I371" i="1"/>
  <c r="J371" i="1"/>
  <c r="K371" i="1"/>
  <c r="C372" i="1"/>
  <c r="F372" i="1"/>
  <c r="I372" i="1"/>
  <c r="J372" i="1"/>
  <c r="K372" i="1"/>
  <c r="C373" i="1"/>
  <c r="F373" i="1"/>
  <c r="I373" i="1"/>
  <c r="J373" i="1"/>
  <c r="K373" i="1"/>
  <c r="C374" i="1"/>
  <c r="F374" i="1"/>
  <c r="I374" i="1"/>
  <c r="J374" i="1"/>
  <c r="K374" i="1"/>
  <c r="C375" i="1"/>
  <c r="F375" i="1"/>
  <c r="I375" i="1"/>
  <c r="J375" i="1"/>
  <c r="K375" i="1"/>
  <c r="C376" i="1"/>
  <c r="F376" i="1"/>
  <c r="I376" i="1"/>
  <c r="J376" i="1"/>
  <c r="K376" i="1"/>
  <c r="C377" i="1"/>
  <c r="F377" i="1"/>
  <c r="I377" i="1"/>
  <c r="J377" i="1"/>
  <c r="K377" i="1"/>
  <c r="C378" i="1"/>
  <c r="F378" i="1"/>
  <c r="I378" i="1"/>
  <c r="J378" i="1"/>
  <c r="K378" i="1"/>
  <c r="C379" i="1"/>
  <c r="F379" i="1"/>
  <c r="I379" i="1"/>
  <c r="J379" i="1"/>
  <c r="K379" i="1"/>
  <c r="C380" i="1"/>
  <c r="F380" i="1"/>
  <c r="I380" i="1"/>
  <c r="J380" i="1"/>
  <c r="K380" i="1"/>
  <c r="C381" i="1"/>
  <c r="F381" i="1"/>
  <c r="I381" i="1"/>
  <c r="J381" i="1"/>
  <c r="K381" i="1"/>
  <c r="C382" i="1"/>
  <c r="F382" i="1"/>
  <c r="I382" i="1"/>
  <c r="J382" i="1"/>
  <c r="K382" i="1"/>
  <c r="C383" i="1"/>
  <c r="F383" i="1"/>
  <c r="I383" i="1"/>
  <c r="J383" i="1"/>
  <c r="K383" i="1"/>
  <c r="C384" i="1"/>
  <c r="F384" i="1"/>
  <c r="I384" i="1"/>
  <c r="J384" i="1"/>
  <c r="K384" i="1"/>
  <c r="C385" i="1"/>
  <c r="F385" i="1"/>
  <c r="I385" i="1"/>
  <c r="J385" i="1"/>
  <c r="K385" i="1"/>
  <c r="C386" i="1"/>
  <c r="F386" i="1"/>
  <c r="I386" i="1"/>
  <c r="J386" i="1"/>
  <c r="K386" i="1"/>
  <c r="C387" i="1"/>
  <c r="F387" i="1"/>
  <c r="I387" i="1"/>
  <c r="J387" i="1"/>
  <c r="K387" i="1"/>
  <c r="C388" i="1"/>
  <c r="F388" i="1"/>
  <c r="I388" i="1"/>
  <c r="J388" i="1"/>
  <c r="K388" i="1"/>
  <c r="C389" i="1"/>
  <c r="F389" i="1"/>
  <c r="I389" i="1"/>
  <c r="J389" i="1"/>
  <c r="K389" i="1"/>
  <c r="C390" i="1"/>
  <c r="F390" i="1"/>
  <c r="I390" i="1"/>
  <c r="J390" i="1"/>
  <c r="K390" i="1"/>
  <c r="C391" i="1"/>
  <c r="F391" i="1"/>
  <c r="I391" i="1"/>
  <c r="J391" i="1"/>
  <c r="K391" i="1"/>
  <c r="C392" i="1"/>
  <c r="F392" i="1"/>
  <c r="I392" i="1"/>
  <c r="J392" i="1"/>
  <c r="K392" i="1"/>
  <c r="C393" i="1"/>
  <c r="F393" i="1"/>
  <c r="I393" i="1"/>
  <c r="J393" i="1"/>
  <c r="K393" i="1"/>
  <c r="C394" i="1"/>
  <c r="F394" i="1"/>
  <c r="I394" i="1"/>
  <c r="J394" i="1"/>
  <c r="K394" i="1"/>
  <c r="C395" i="1"/>
  <c r="F395" i="1"/>
  <c r="I395" i="1"/>
  <c r="J395" i="1"/>
  <c r="K395" i="1"/>
  <c r="C396" i="1"/>
  <c r="F396" i="1"/>
  <c r="I396" i="1"/>
  <c r="J396" i="1"/>
  <c r="K396" i="1"/>
  <c r="C397" i="1"/>
  <c r="F397" i="1"/>
  <c r="I397" i="1"/>
  <c r="J397" i="1"/>
  <c r="K397" i="1"/>
  <c r="C398" i="1"/>
  <c r="F398" i="1"/>
  <c r="I398" i="1"/>
  <c r="J398" i="1"/>
  <c r="K398" i="1"/>
  <c r="C399" i="1"/>
  <c r="F399" i="1"/>
  <c r="I399" i="1"/>
  <c r="J399" i="1"/>
  <c r="K399" i="1"/>
  <c r="C400" i="1"/>
  <c r="F400" i="1"/>
  <c r="I400" i="1"/>
  <c r="J400" i="1"/>
  <c r="K400" i="1"/>
  <c r="C401" i="1"/>
  <c r="F401" i="1"/>
  <c r="I401" i="1"/>
  <c r="J401" i="1"/>
  <c r="K401" i="1"/>
  <c r="C402" i="1"/>
  <c r="F402" i="1"/>
  <c r="I402" i="1"/>
  <c r="J402" i="1"/>
  <c r="K402" i="1"/>
  <c r="C403" i="1"/>
  <c r="F403" i="1"/>
  <c r="I403" i="1"/>
  <c r="J403" i="1"/>
  <c r="K403" i="1"/>
  <c r="C367" i="1"/>
  <c r="F367" i="1"/>
  <c r="I367" i="1"/>
  <c r="J367" i="1"/>
  <c r="K367" i="1"/>
  <c r="I754" i="2"/>
  <c r="E754" i="2"/>
  <c r="I753" i="2"/>
  <c r="E753" i="2"/>
  <c r="I752" i="2"/>
  <c r="E752" i="2"/>
  <c r="I712" i="2"/>
  <c r="E712" i="2"/>
  <c r="I751" i="2"/>
  <c r="E751" i="2"/>
  <c r="I750" i="2"/>
  <c r="E750" i="2"/>
  <c r="I749" i="2"/>
  <c r="E749" i="2"/>
  <c r="I748" i="2"/>
  <c r="E748" i="2"/>
  <c r="I747" i="2"/>
  <c r="E747" i="2"/>
  <c r="I746" i="2"/>
  <c r="E746" i="2"/>
  <c r="I745" i="2"/>
  <c r="E745" i="2"/>
  <c r="I744" i="2"/>
  <c r="E744" i="2"/>
  <c r="I743" i="2"/>
  <c r="E743" i="2"/>
  <c r="I742" i="2"/>
  <c r="E742" i="2"/>
  <c r="I741" i="2"/>
  <c r="E741" i="2"/>
  <c r="I740" i="2"/>
  <c r="E740" i="2"/>
  <c r="I739" i="2"/>
  <c r="E739" i="2"/>
  <c r="I738" i="2"/>
  <c r="E738" i="2"/>
  <c r="I737" i="2"/>
  <c r="E737" i="2"/>
  <c r="I736" i="2"/>
  <c r="E736" i="2"/>
  <c r="I735" i="2"/>
  <c r="E735" i="2"/>
  <c r="I734" i="2"/>
  <c r="E734" i="2"/>
  <c r="I733" i="2"/>
  <c r="E733" i="2"/>
  <c r="I732" i="2"/>
  <c r="E732" i="2"/>
  <c r="I731" i="2"/>
  <c r="E731" i="2"/>
  <c r="I730" i="2"/>
  <c r="E730" i="2"/>
  <c r="I729" i="2"/>
  <c r="E729" i="2"/>
  <c r="I728" i="2"/>
  <c r="E728" i="2"/>
  <c r="I727" i="2"/>
  <c r="E727" i="2"/>
  <c r="I726" i="2"/>
  <c r="E726" i="2"/>
  <c r="I725" i="2"/>
  <c r="E725" i="2"/>
  <c r="I724" i="2"/>
  <c r="E724" i="2"/>
  <c r="I723" i="2"/>
  <c r="E723" i="2"/>
  <c r="I722" i="2"/>
  <c r="E722" i="2"/>
  <c r="I721" i="2"/>
  <c r="E721" i="2"/>
  <c r="I720" i="2"/>
  <c r="E720" i="2"/>
  <c r="I719" i="2"/>
  <c r="E719" i="2"/>
  <c r="I718" i="2"/>
  <c r="E718" i="2"/>
  <c r="I717" i="2"/>
  <c r="E717" i="2"/>
  <c r="I716" i="2"/>
  <c r="E716" i="2"/>
  <c r="I715" i="2"/>
  <c r="E715" i="2"/>
  <c r="I714" i="2"/>
  <c r="E714" i="2"/>
  <c r="I713" i="2"/>
  <c r="E713" i="2"/>
  <c r="I711" i="2"/>
  <c r="E711" i="2"/>
  <c r="E710" i="2"/>
  <c r="I710" i="2"/>
  <c r="C1071" i="1"/>
  <c r="F1071" i="1"/>
  <c r="I1071" i="1"/>
  <c r="J1071" i="1"/>
  <c r="K1071" i="1"/>
  <c r="E794" i="2"/>
  <c r="I794" i="2"/>
  <c r="K2050" i="1"/>
  <c r="J2050" i="1"/>
  <c r="I2050" i="1"/>
  <c r="F2050" i="1"/>
  <c r="C2050" i="1"/>
  <c r="K2057" i="1"/>
  <c r="J2057" i="1"/>
  <c r="I2057" i="1"/>
  <c r="F2057" i="1"/>
  <c r="C2057" i="1"/>
  <c r="K2059" i="1"/>
  <c r="J2059" i="1"/>
  <c r="I2059" i="1"/>
  <c r="F2059" i="1"/>
  <c r="C2059" i="1"/>
  <c r="E793" i="2"/>
  <c r="I793" i="2"/>
  <c r="E792" i="2"/>
  <c r="I792" i="2"/>
  <c r="E791" i="2"/>
  <c r="I791" i="2"/>
  <c r="K1639" i="1"/>
  <c r="J1639" i="1"/>
  <c r="I1639" i="1"/>
  <c r="F1639" i="1"/>
  <c r="C1639" i="1"/>
  <c r="E790" i="2"/>
  <c r="I790" i="2"/>
  <c r="F490" i="1"/>
  <c r="K1295" i="1"/>
  <c r="J1295" i="1"/>
  <c r="I1295" i="1"/>
  <c r="F1295" i="1"/>
  <c r="K2169" i="1"/>
  <c r="J2169" i="1"/>
  <c r="I2169" i="1"/>
  <c r="F2169" i="1"/>
  <c r="C2230" i="1"/>
  <c r="F2230" i="1"/>
  <c r="I2230" i="1"/>
  <c r="J2230" i="1"/>
  <c r="K2230" i="1"/>
  <c r="E812" i="2"/>
  <c r="I812" i="2"/>
  <c r="C1382" i="1"/>
  <c r="F1382" i="1"/>
  <c r="I1382" i="1"/>
  <c r="J1382" i="1"/>
  <c r="K1382" i="1"/>
  <c r="E786" i="2"/>
  <c r="I786" i="2"/>
  <c r="C989" i="1"/>
  <c r="F989" i="1"/>
  <c r="I989" i="1"/>
  <c r="J989" i="1"/>
  <c r="K989" i="1"/>
  <c r="E785" i="2"/>
  <c r="I785" i="2"/>
  <c r="K336" i="1"/>
  <c r="J336" i="1"/>
  <c r="I336" i="1"/>
  <c r="F336" i="1"/>
  <c r="C336" i="1"/>
  <c r="K335" i="1"/>
  <c r="J335" i="1"/>
  <c r="I335" i="1"/>
  <c r="F335" i="1"/>
  <c r="C335" i="1"/>
  <c r="C363" i="1"/>
  <c r="F363" i="1"/>
  <c r="I363" i="1"/>
  <c r="J363" i="1"/>
  <c r="K363" i="1"/>
  <c r="C362" i="1"/>
  <c r="F362" i="1"/>
  <c r="I362" i="1"/>
  <c r="J362" i="1"/>
  <c r="K362" i="1"/>
  <c r="C360" i="1"/>
  <c r="F360" i="1"/>
  <c r="I360" i="1"/>
  <c r="J360" i="1"/>
  <c r="K360" i="1"/>
  <c r="C359" i="1"/>
  <c r="F359" i="1"/>
  <c r="I359" i="1"/>
  <c r="J359" i="1"/>
  <c r="K359" i="1"/>
  <c r="C358" i="1"/>
  <c r="F358" i="1"/>
  <c r="I358" i="1"/>
  <c r="J358" i="1"/>
  <c r="K358" i="1"/>
  <c r="C357" i="1"/>
  <c r="F357" i="1"/>
  <c r="I357" i="1"/>
  <c r="J357" i="1"/>
  <c r="K357" i="1"/>
  <c r="C356" i="1"/>
  <c r="F356" i="1"/>
  <c r="I356" i="1"/>
  <c r="J356" i="1"/>
  <c r="K356" i="1"/>
  <c r="C355" i="1"/>
  <c r="F355" i="1"/>
  <c r="I355" i="1"/>
  <c r="J355" i="1"/>
  <c r="K355" i="1"/>
  <c r="C354" i="1"/>
  <c r="F354" i="1"/>
  <c r="I354" i="1"/>
  <c r="J354" i="1"/>
  <c r="K354" i="1"/>
  <c r="C353" i="1"/>
  <c r="F353" i="1"/>
  <c r="I353" i="1"/>
  <c r="J353" i="1"/>
  <c r="K353" i="1"/>
  <c r="C352" i="1"/>
  <c r="F352" i="1"/>
  <c r="I352" i="1"/>
  <c r="J352" i="1"/>
  <c r="K352" i="1"/>
  <c r="C351" i="1"/>
  <c r="F351" i="1"/>
  <c r="I351" i="1"/>
  <c r="J351" i="1"/>
  <c r="K351" i="1"/>
  <c r="C350" i="1"/>
  <c r="F350" i="1"/>
  <c r="I350" i="1"/>
  <c r="J350" i="1"/>
  <c r="K350" i="1"/>
  <c r="C349" i="1"/>
  <c r="F349" i="1"/>
  <c r="I349" i="1"/>
  <c r="J349" i="1"/>
  <c r="K349" i="1"/>
  <c r="C348" i="1"/>
  <c r="F348" i="1"/>
  <c r="I348" i="1"/>
  <c r="J348" i="1"/>
  <c r="K348" i="1"/>
  <c r="C347" i="1"/>
  <c r="F347" i="1"/>
  <c r="I347" i="1"/>
  <c r="J347" i="1"/>
  <c r="K347" i="1"/>
  <c r="C346" i="1"/>
  <c r="F346" i="1"/>
  <c r="I346" i="1"/>
  <c r="J346" i="1"/>
  <c r="K346" i="1"/>
  <c r="C345" i="1"/>
  <c r="F345" i="1"/>
  <c r="I345" i="1"/>
  <c r="J345" i="1"/>
  <c r="K345" i="1"/>
  <c r="C344" i="1"/>
  <c r="F344" i="1"/>
  <c r="I344" i="1"/>
  <c r="J344" i="1"/>
  <c r="K344" i="1"/>
  <c r="C343" i="1"/>
  <c r="F343" i="1"/>
  <c r="I343" i="1"/>
  <c r="J343" i="1"/>
  <c r="K343" i="1"/>
  <c r="C342" i="1"/>
  <c r="F342" i="1"/>
  <c r="I342" i="1"/>
  <c r="J342" i="1"/>
  <c r="K342" i="1"/>
  <c r="C341" i="1"/>
  <c r="F341" i="1"/>
  <c r="I341" i="1"/>
  <c r="J341" i="1"/>
  <c r="K341" i="1"/>
  <c r="C340" i="1"/>
  <c r="F340" i="1"/>
  <c r="I340" i="1"/>
  <c r="J340" i="1"/>
  <c r="K340" i="1"/>
  <c r="C339" i="1"/>
  <c r="F339" i="1"/>
  <c r="I339" i="1"/>
  <c r="J339" i="1"/>
  <c r="K339" i="1"/>
  <c r="C338" i="1"/>
  <c r="F338" i="1"/>
  <c r="I338" i="1"/>
  <c r="J338" i="1"/>
  <c r="K338" i="1"/>
  <c r="C337" i="1"/>
  <c r="F337" i="1"/>
  <c r="I337" i="1"/>
  <c r="J337" i="1"/>
  <c r="K337" i="1"/>
  <c r="C334" i="1"/>
  <c r="F334" i="1"/>
  <c r="I334" i="1"/>
  <c r="J334" i="1"/>
  <c r="K334" i="1"/>
  <c r="I779" i="2"/>
  <c r="E779" i="2"/>
  <c r="I784" i="2"/>
  <c r="E784" i="2"/>
  <c r="I783" i="2"/>
  <c r="E783" i="2"/>
  <c r="I782" i="2"/>
  <c r="E782" i="2"/>
  <c r="I781" i="2"/>
  <c r="E781" i="2"/>
  <c r="I780" i="2"/>
  <c r="E780" i="2"/>
  <c r="I778" i="2"/>
  <c r="E778" i="2"/>
  <c r="I777" i="2"/>
  <c r="E777" i="2"/>
  <c r="I776" i="2"/>
  <c r="E776" i="2"/>
  <c r="I775" i="2"/>
  <c r="E775" i="2"/>
  <c r="I774" i="2"/>
  <c r="E774" i="2"/>
  <c r="I773" i="2"/>
  <c r="E773" i="2"/>
  <c r="I772" i="2"/>
  <c r="E772" i="2"/>
  <c r="I771" i="2"/>
  <c r="E771" i="2"/>
  <c r="I770" i="2"/>
  <c r="E770" i="2"/>
  <c r="I769" i="2"/>
  <c r="E769" i="2"/>
  <c r="I768" i="2"/>
  <c r="E768" i="2"/>
  <c r="I767" i="2"/>
  <c r="E767" i="2"/>
  <c r="I766" i="2"/>
  <c r="E766" i="2"/>
  <c r="I765" i="2"/>
  <c r="E765" i="2"/>
  <c r="I764" i="2"/>
  <c r="E764" i="2"/>
  <c r="I763" i="2"/>
  <c r="E763" i="2"/>
  <c r="I762" i="2"/>
  <c r="E762" i="2"/>
  <c r="I761" i="2"/>
  <c r="E761" i="2"/>
  <c r="I760" i="2"/>
  <c r="E760" i="2"/>
  <c r="I759" i="2"/>
  <c r="E759" i="2"/>
  <c r="I758" i="2"/>
  <c r="E758" i="2"/>
  <c r="I757" i="2"/>
  <c r="E757" i="2"/>
  <c r="I756" i="2"/>
  <c r="E756" i="2"/>
  <c r="E755" i="2"/>
  <c r="I755" i="2"/>
  <c r="C1068" i="1"/>
  <c r="F1068" i="1"/>
  <c r="I1068" i="1"/>
  <c r="J1068" i="1"/>
  <c r="K1068" i="1"/>
  <c r="E709" i="2"/>
  <c r="I709" i="2"/>
  <c r="K2058" i="1"/>
  <c r="J2058" i="1"/>
  <c r="I2058" i="1"/>
  <c r="F2058" i="1"/>
  <c r="C2058" i="1"/>
  <c r="K2056" i="1"/>
  <c r="J2056" i="1"/>
  <c r="I2056" i="1"/>
  <c r="F2056" i="1"/>
  <c r="C2056" i="1"/>
  <c r="C2049" i="1"/>
  <c r="F2049" i="1"/>
  <c r="I2049" i="1"/>
  <c r="J2049" i="1"/>
  <c r="K2049" i="1"/>
  <c r="E708" i="2"/>
  <c r="I708" i="2"/>
  <c r="E707" i="2"/>
  <c r="I707" i="2"/>
  <c r="E706" i="2"/>
  <c r="I706" i="2"/>
  <c r="K2061" i="1"/>
  <c r="J2061" i="1"/>
  <c r="I2061" i="1"/>
  <c r="F2061" i="1"/>
  <c r="C2061" i="1"/>
  <c r="K2060" i="1"/>
  <c r="J2060" i="1"/>
  <c r="I2060" i="1"/>
  <c r="F2060" i="1"/>
  <c r="C2060" i="1"/>
  <c r="E705" i="2"/>
  <c r="I705" i="2"/>
  <c r="E704" i="2"/>
  <c r="I704" i="2"/>
  <c r="E703" i="2"/>
  <c r="I703" i="2"/>
  <c r="C2064" i="1"/>
  <c r="F2064" i="1"/>
  <c r="I2064" i="1"/>
  <c r="J2064" i="1"/>
  <c r="K2064" i="1"/>
  <c r="E702" i="2"/>
  <c r="I702" i="2"/>
  <c r="I701" i="2"/>
  <c r="C1333" i="1"/>
  <c r="F1333" i="1"/>
  <c r="I1333" i="1"/>
  <c r="J1333" i="1"/>
  <c r="K1333" i="1"/>
  <c r="C2209" i="1"/>
  <c r="F2209" i="1"/>
  <c r="I2209" i="1"/>
  <c r="J2209" i="1"/>
  <c r="K2209" i="1"/>
  <c r="E701" i="2"/>
  <c r="E700" i="2"/>
  <c r="I700" i="2"/>
  <c r="C554" i="1"/>
  <c r="F554" i="1"/>
  <c r="I554" i="1"/>
  <c r="J554" i="1"/>
  <c r="K554" i="1"/>
  <c r="E699" i="2"/>
  <c r="I699" i="2"/>
  <c r="C1299" i="1"/>
  <c r="C1296" i="1"/>
  <c r="F1296" i="1"/>
  <c r="I1296" i="1"/>
  <c r="J1296" i="1"/>
  <c r="K1296" i="1"/>
  <c r="E698" i="2"/>
  <c r="I698" i="2"/>
  <c r="C1289" i="1"/>
  <c r="F1289" i="1"/>
  <c r="I1289" i="1"/>
  <c r="J1289" i="1"/>
  <c r="K1289" i="1"/>
  <c r="E697" i="2"/>
  <c r="I697" i="2"/>
  <c r="C1286" i="1"/>
  <c r="F1286" i="1"/>
  <c r="I1286" i="1"/>
  <c r="J1286" i="1"/>
  <c r="K1286" i="1"/>
  <c r="E696" i="2"/>
  <c r="I696" i="2"/>
  <c r="C2199" i="1"/>
  <c r="F2199" i="1"/>
  <c r="I2199" i="1"/>
  <c r="J2199" i="1"/>
  <c r="K2199" i="1"/>
  <c r="E695" i="2"/>
  <c r="I695" i="2"/>
  <c r="C1283" i="1"/>
  <c r="F1283" i="1"/>
  <c r="I1283" i="1"/>
  <c r="J1283" i="1"/>
  <c r="K1283" i="1"/>
  <c r="E694" i="2"/>
  <c r="I694" i="2"/>
  <c r="E693" i="2"/>
  <c r="I693" i="2"/>
  <c r="C1379" i="1"/>
  <c r="F1379" i="1"/>
  <c r="I1379" i="1"/>
  <c r="J1379" i="1"/>
  <c r="K1379" i="1"/>
  <c r="E353" i="2"/>
  <c r="I353" i="2"/>
  <c r="C1353" i="1"/>
  <c r="F1353" i="1"/>
  <c r="I1353" i="1"/>
  <c r="J1353" i="1"/>
  <c r="K1353" i="1"/>
  <c r="E692" i="2"/>
  <c r="I692" i="2"/>
  <c r="E691" i="2"/>
  <c r="I691" i="2"/>
  <c r="C1352" i="1"/>
  <c r="F1352" i="1"/>
  <c r="I1352" i="1"/>
  <c r="J1352" i="1"/>
  <c r="K1352" i="1"/>
  <c r="C1332" i="1"/>
  <c r="F1332" i="1"/>
  <c r="I1332" i="1"/>
  <c r="J1332" i="1"/>
  <c r="K1332" i="1"/>
  <c r="E690" i="2"/>
  <c r="I690" i="2"/>
  <c r="C1363" i="1"/>
  <c r="F1363" i="1"/>
  <c r="I1363" i="1"/>
  <c r="J1363" i="1"/>
  <c r="K1363" i="1"/>
  <c r="E689" i="2"/>
  <c r="I689" i="2"/>
  <c r="C2088" i="1"/>
  <c r="F2088" i="1"/>
  <c r="I2088" i="1"/>
  <c r="J2088" i="1"/>
  <c r="K2088" i="1"/>
  <c r="I688" i="2"/>
  <c r="E688" i="2"/>
  <c r="C2055" i="1"/>
  <c r="F2055" i="1"/>
  <c r="I2055" i="1"/>
  <c r="J2055" i="1"/>
  <c r="K2055" i="1"/>
  <c r="C1956" i="1"/>
  <c r="F1956" i="1"/>
  <c r="I1956" i="1"/>
  <c r="J1956" i="1"/>
  <c r="K1956" i="1"/>
  <c r="E687" i="2"/>
  <c r="I687" i="2"/>
  <c r="E686" i="2"/>
  <c r="I686" i="2"/>
  <c r="K1264" i="1"/>
  <c r="J1264" i="1"/>
  <c r="I1264" i="1"/>
  <c r="F1264" i="1"/>
  <c r="C1264" i="1"/>
  <c r="K1266" i="1"/>
  <c r="J1266" i="1"/>
  <c r="I1266" i="1"/>
  <c r="F1266" i="1"/>
  <c r="C1266" i="1"/>
  <c r="E685" i="2"/>
  <c r="I685" i="2"/>
  <c r="E684" i="2"/>
  <c r="I684" i="2"/>
  <c r="K2208" i="1"/>
  <c r="J2208" i="1"/>
  <c r="I2208" i="1"/>
  <c r="F2208" i="1"/>
  <c r="C2208" i="1"/>
  <c r="K2206" i="1"/>
  <c r="J2206" i="1"/>
  <c r="I2206" i="1"/>
  <c r="F2206" i="1"/>
  <c r="C2206" i="1"/>
  <c r="E660" i="2"/>
  <c r="I660" i="2"/>
  <c r="C2204" i="1"/>
  <c r="F2204" i="1"/>
  <c r="I2204" i="1"/>
  <c r="J2204" i="1"/>
  <c r="K2204" i="1"/>
  <c r="E659" i="2"/>
  <c r="I659" i="2"/>
  <c r="K860" i="1"/>
  <c r="J860" i="1"/>
  <c r="I860" i="1"/>
  <c r="F860" i="1"/>
  <c r="C860" i="1"/>
  <c r="E658" i="2"/>
  <c r="I658" i="2"/>
  <c r="K853" i="1"/>
  <c r="J853" i="1"/>
  <c r="I853" i="1"/>
  <c r="F853" i="1"/>
  <c r="C853" i="1"/>
  <c r="E657" i="2"/>
  <c r="I657" i="2"/>
  <c r="K847" i="1"/>
  <c r="J847" i="1"/>
  <c r="I847" i="1"/>
  <c r="F847" i="1"/>
  <c r="C847" i="1"/>
  <c r="E656" i="2"/>
  <c r="I656" i="2"/>
  <c r="K845" i="1"/>
  <c r="J845" i="1"/>
  <c r="I845" i="1"/>
  <c r="C845" i="1"/>
  <c r="F845" i="1"/>
  <c r="E655" i="2"/>
  <c r="I655" i="2"/>
  <c r="K843" i="1"/>
  <c r="J843" i="1"/>
  <c r="I843" i="1"/>
  <c r="C843" i="1"/>
  <c r="F843" i="1"/>
  <c r="E654" i="2"/>
  <c r="I654" i="2"/>
  <c r="K840" i="1"/>
  <c r="J840" i="1"/>
  <c r="I840" i="1"/>
  <c r="C840" i="1"/>
  <c r="F840" i="1"/>
  <c r="E653" i="2"/>
  <c r="I653" i="2"/>
  <c r="C834" i="1"/>
  <c r="F834" i="1"/>
  <c r="I834" i="1"/>
  <c r="J834" i="1"/>
  <c r="K834" i="1"/>
  <c r="E652" i="2"/>
  <c r="I652" i="2"/>
  <c r="C1282" i="1"/>
  <c r="F1282" i="1"/>
  <c r="I1282" i="1"/>
  <c r="J1282" i="1"/>
  <c r="K1282" i="1"/>
  <c r="E683" i="2"/>
  <c r="I683" i="2"/>
  <c r="E682" i="2"/>
  <c r="I682" i="2"/>
  <c r="E63" i="2"/>
  <c r="I63" i="2"/>
  <c r="C1084" i="1"/>
  <c r="F1084" i="1"/>
  <c r="I1084" i="1"/>
  <c r="J1084" i="1"/>
  <c r="K1084" i="1"/>
  <c r="E681" i="2"/>
  <c r="I681" i="2"/>
  <c r="C915" i="1"/>
  <c r="F915" i="1"/>
  <c r="I915" i="1"/>
  <c r="J915" i="1"/>
  <c r="K915" i="1"/>
  <c r="E680" i="2"/>
  <c r="I680" i="2"/>
  <c r="C917" i="1"/>
  <c r="F917" i="1"/>
  <c r="I917" i="1"/>
  <c r="J917" i="1"/>
  <c r="K917" i="1"/>
  <c r="C1265" i="1"/>
  <c r="F1265" i="1"/>
  <c r="I1265" i="1"/>
  <c r="J1265" i="1"/>
  <c r="K1265" i="1"/>
  <c r="C1263" i="1"/>
  <c r="F1263" i="1"/>
  <c r="I1263" i="1"/>
  <c r="J1263" i="1"/>
  <c r="K1263" i="1"/>
  <c r="E679" i="2"/>
  <c r="I679" i="2"/>
  <c r="E678" i="2"/>
  <c r="I678" i="2"/>
  <c r="E677" i="2"/>
  <c r="I677" i="2"/>
  <c r="C1919" i="1"/>
  <c r="F1919" i="1"/>
  <c r="I1919" i="1"/>
  <c r="J1919" i="1"/>
  <c r="K1919" i="1"/>
  <c r="E649" i="2"/>
  <c r="E650" i="2"/>
  <c r="E651" i="2"/>
  <c r="I649" i="2"/>
  <c r="I650" i="2"/>
  <c r="I651" i="2"/>
  <c r="E648" i="2"/>
  <c r="I648" i="2"/>
  <c r="C628" i="1"/>
  <c r="F628" i="1"/>
  <c r="I628" i="1"/>
  <c r="J628" i="1"/>
  <c r="K628" i="1"/>
  <c r="E647" i="2"/>
  <c r="I647" i="2"/>
  <c r="C546" i="1"/>
  <c r="F546" i="1"/>
  <c r="I546" i="1"/>
  <c r="J546" i="1"/>
  <c r="K546" i="1"/>
  <c r="E646" i="2"/>
  <c r="I646" i="2"/>
  <c r="C978" i="1"/>
  <c r="F978" i="1"/>
  <c r="I978" i="1"/>
  <c r="J978" i="1"/>
  <c r="K978" i="1"/>
  <c r="C851" i="1"/>
  <c r="F851" i="1"/>
  <c r="I851" i="1"/>
  <c r="J851" i="1"/>
  <c r="K851" i="1"/>
  <c r="E664" i="2"/>
  <c r="I664" i="2"/>
  <c r="E29" i="2"/>
  <c r="I29" i="2"/>
  <c r="E441" i="2"/>
  <c r="I441" i="2"/>
  <c r="C239" i="1"/>
  <c r="F239" i="1"/>
  <c r="I239" i="1"/>
  <c r="J239" i="1"/>
  <c r="K239" i="1"/>
  <c r="E440" i="2"/>
  <c r="I440" i="2"/>
  <c r="E676" i="2"/>
  <c r="I676" i="2"/>
  <c r="C2052" i="1"/>
  <c r="F2052" i="1"/>
  <c r="I2052" i="1"/>
  <c r="J2052" i="1"/>
  <c r="K2052" i="1"/>
  <c r="C1189" i="1"/>
  <c r="F1189" i="1"/>
  <c r="I1189" i="1"/>
  <c r="J1189" i="1"/>
  <c r="K1189" i="1"/>
  <c r="E194" i="2"/>
  <c r="I194" i="2"/>
  <c r="C2053" i="1"/>
  <c r="F2053" i="1"/>
  <c r="I2053" i="1"/>
  <c r="J2053" i="1"/>
  <c r="K2053" i="1"/>
  <c r="E675" i="2"/>
  <c r="I675" i="2"/>
  <c r="C2043" i="1"/>
  <c r="F2043" i="1"/>
  <c r="I2043" i="1"/>
  <c r="J2043" i="1"/>
  <c r="K2043" i="1"/>
  <c r="E674" i="2"/>
  <c r="I674" i="2"/>
  <c r="E47" i="2"/>
  <c r="I47" i="2"/>
  <c r="C1031" i="1"/>
  <c r="F1031" i="1"/>
  <c r="I1031" i="1"/>
  <c r="J1031" i="1"/>
  <c r="K1031" i="1"/>
  <c r="E613" i="2"/>
  <c r="I613" i="2"/>
  <c r="C1035" i="1"/>
  <c r="F1035" i="1"/>
  <c r="I1035" i="1"/>
  <c r="J1035" i="1"/>
  <c r="K1035" i="1"/>
  <c r="E612" i="2"/>
  <c r="I612" i="2"/>
  <c r="C2045" i="1"/>
  <c r="F2045" i="1"/>
  <c r="I2045" i="1"/>
  <c r="J2045" i="1"/>
  <c r="K2045" i="1"/>
  <c r="E673" i="2"/>
  <c r="I673" i="2"/>
  <c r="E672" i="2"/>
  <c r="I672" i="2"/>
  <c r="E26" i="2"/>
  <c r="I26" i="2"/>
  <c r="C2051" i="1"/>
  <c r="F2051" i="1"/>
  <c r="I2051" i="1"/>
  <c r="J2051" i="1"/>
  <c r="K2051" i="1"/>
  <c r="E671" i="2"/>
  <c r="I671" i="2"/>
  <c r="C1909" i="1"/>
  <c r="F1909" i="1"/>
  <c r="I1909" i="1"/>
  <c r="J1909" i="1"/>
  <c r="K1909" i="1"/>
  <c r="C1908" i="1"/>
  <c r="F1908" i="1"/>
  <c r="I1908" i="1"/>
  <c r="J1908" i="1"/>
  <c r="K1908" i="1"/>
  <c r="E670" i="2"/>
  <c r="I670" i="2"/>
  <c r="E669" i="2"/>
  <c r="I669" i="2"/>
  <c r="C3" i="1"/>
  <c r="F3" i="1"/>
  <c r="I3" i="1"/>
  <c r="J3" i="1"/>
  <c r="K3" i="1"/>
  <c r="I668" i="2"/>
  <c r="C1905" i="1"/>
  <c r="F1905" i="1"/>
  <c r="I1905" i="1"/>
  <c r="J1905" i="1"/>
  <c r="K1905" i="1"/>
  <c r="E667" i="2"/>
  <c r="I667" i="2"/>
  <c r="C1907" i="1"/>
  <c r="F1907" i="1"/>
  <c r="I1907" i="1"/>
  <c r="J1907" i="1"/>
  <c r="K1907" i="1"/>
  <c r="E666" i="2"/>
  <c r="I666" i="2"/>
  <c r="C1906" i="1"/>
  <c r="F1906" i="1"/>
  <c r="I1906" i="1"/>
  <c r="J1906" i="1"/>
  <c r="K1906" i="1"/>
  <c r="E665" i="2"/>
  <c r="I665" i="2"/>
  <c r="C2042" i="1"/>
  <c r="F2042" i="1"/>
  <c r="I2042" i="1"/>
  <c r="J2042" i="1"/>
  <c r="K2042" i="1"/>
  <c r="E663" i="2"/>
  <c r="I663" i="2"/>
  <c r="C2041" i="1"/>
  <c r="F2041" i="1"/>
  <c r="I2041" i="1"/>
  <c r="J2041" i="1"/>
  <c r="K2041" i="1"/>
  <c r="C2040" i="1"/>
  <c r="F2040" i="1"/>
  <c r="I2040" i="1"/>
  <c r="J2040" i="1"/>
  <c r="K2040" i="1"/>
  <c r="E662" i="2"/>
  <c r="I662" i="2"/>
  <c r="E787" i="2"/>
  <c r="I787" i="2"/>
  <c r="E27" i="2"/>
  <c r="I27" i="2"/>
  <c r="C2033" i="1"/>
  <c r="F2033" i="1"/>
  <c r="I2033" i="1"/>
  <c r="J2033" i="1"/>
  <c r="K2033" i="1"/>
  <c r="C2034" i="1"/>
  <c r="F2034" i="1"/>
  <c r="I2034" i="1"/>
  <c r="J2034" i="1"/>
  <c r="K2034" i="1"/>
  <c r="C2048" i="1"/>
  <c r="F2048" i="1"/>
  <c r="I2048" i="1"/>
  <c r="J2048" i="1"/>
  <c r="K2048" i="1"/>
  <c r="C1177" i="1"/>
  <c r="F1177" i="1"/>
  <c r="I1177" i="1"/>
  <c r="J1177" i="1"/>
  <c r="K1177" i="1"/>
  <c r="E645" i="2"/>
  <c r="I645" i="2"/>
  <c r="I567" i="2"/>
  <c r="C883" i="1"/>
  <c r="F883" i="1"/>
  <c r="I883" i="1"/>
  <c r="J883" i="1"/>
  <c r="K883" i="1"/>
  <c r="E644" i="2"/>
  <c r="I644" i="2"/>
  <c r="C1295" i="1"/>
  <c r="E643" i="2"/>
  <c r="I643" i="2"/>
  <c r="C1294" i="1"/>
  <c r="F1294" i="1"/>
  <c r="I1294" i="1"/>
  <c r="J1294" i="1"/>
  <c r="K1294" i="1"/>
  <c r="E642" i="2"/>
  <c r="I642" i="2"/>
  <c r="E46" i="2"/>
  <c r="I46" i="2"/>
  <c r="C2271" i="1"/>
  <c r="I2271" i="1"/>
  <c r="J2271" i="1"/>
  <c r="K2271" i="1"/>
  <c r="E28" i="2"/>
  <c r="I28" i="2"/>
  <c r="C1004" i="1"/>
  <c r="F1004" i="1"/>
  <c r="I1004" i="1"/>
  <c r="J1004" i="1"/>
  <c r="K1004" i="1"/>
  <c r="C1280" i="1"/>
  <c r="F1280" i="1"/>
  <c r="I1280" i="1"/>
  <c r="J1280" i="1"/>
  <c r="K1280" i="1"/>
  <c r="E604" i="2"/>
  <c r="I604" i="2"/>
  <c r="C1274" i="1"/>
  <c r="F1274" i="1"/>
  <c r="I1274" i="1"/>
  <c r="J1274" i="1"/>
  <c r="K1274" i="1"/>
  <c r="E603" i="2"/>
  <c r="I603" i="2"/>
  <c r="C863" i="1"/>
  <c r="F863" i="1"/>
  <c r="I863" i="1"/>
  <c r="J863" i="1"/>
  <c r="K863" i="1"/>
  <c r="E602" i="2"/>
  <c r="I602" i="2"/>
  <c r="C1278" i="1"/>
  <c r="F1278" i="1"/>
  <c r="I1278" i="1"/>
  <c r="J1278" i="1"/>
  <c r="K1278" i="1"/>
  <c r="E601" i="2"/>
  <c r="I601" i="2"/>
  <c r="E641" i="2"/>
  <c r="I641" i="2"/>
  <c r="C1937" i="1"/>
  <c r="F1937" i="1"/>
  <c r="I1937" i="1"/>
  <c r="J1937" i="1"/>
  <c r="K1937" i="1"/>
  <c r="E96" i="2"/>
  <c r="I96" i="2"/>
  <c r="C849" i="1"/>
  <c r="F849" i="1"/>
  <c r="I849" i="1"/>
  <c r="J849" i="1"/>
  <c r="K849" i="1"/>
  <c r="I640" i="2"/>
  <c r="E640" i="2"/>
  <c r="C2039" i="1"/>
  <c r="F2039" i="1"/>
  <c r="I2039" i="1"/>
  <c r="J2039" i="1"/>
  <c r="K2039" i="1"/>
  <c r="I639" i="2"/>
  <c r="E639" i="2"/>
  <c r="C1960" i="1"/>
  <c r="F1960" i="1"/>
  <c r="I1960" i="1"/>
  <c r="J1960" i="1"/>
  <c r="K1960" i="1"/>
  <c r="E638" i="2"/>
  <c r="I638" i="2"/>
  <c r="C1175" i="1"/>
  <c r="F1175" i="1"/>
  <c r="I1175" i="1"/>
  <c r="J1175" i="1"/>
  <c r="K1175" i="1"/>
  <c r="E637" i="2"/>
  <c r="I637" i="2"/>
  <c r="C1130" i="1"/>
  <c r="F1130" i="1"/>
  <c r="I1130" i="1"/>
  <c r="J1130" i="1"/>
  <c r="K1130" i="1"/>
  <c r="E636" i="2"/>
  <c r="I636" i="2"/>
  <c r="C1119" i="1"/>
  <c r="F1119" i="1"/>
  <c r="I1119" i="1"/>
  <c r="J1119" i="1"/>
  <c r="K1119" i="1"/>
  <c r="E635" i="2"/>
  <c r="I635" i="2"/>
  <c r="C1094" i="1"/>
  <c r="F1094" i="1"/>
  <c r="I1094" i="1"/>
  <c r="J1094" i="1"/>
  <c r="K1094" i="1"/>
  <c r="E634" i="2"/>
  <c r="I634" i="2"/>
  <c r="C1948" i="1"/>
  <c r="F1948" i="1"/>
  <c r="I1948" i="1"/>
  <c r="J1948" i="1"/>
  <c r="K1948" i="1"/>
  <c r="E633" i="2"/>
  <c r="I633" i="2"/>
  <c r="C1091" i="1"/>
  <c r="F1091" i="1"/>
  <c r="I1091" i="1"/>
  <c r="J1091" i="1"/>
  <c r="K1091" i="1"/>
  <c r="E632" i="2"/>
  <c r="I632" i="2"/>
  <c r="C1045" i="1"/>
  <c r="F1045" i="1"/>
  <c r="I1045" i="1"/>
  <c r="J1045" i="1"/>
  <c r="K1045" i="1"/>
  <c r="E631" i="2"/>
  <c r="I631" i="2"/>
  <c r="C909" i="1"/>
  <c r="F909" i="1"/>
  <c r="I909" i="1"/>
  <c r="J909" i="1"/>
  <c r="K909" i="1"/>
  <c r="E630" i="2"/>
  <c r="I630" i="2"/>
  <c r="C1058" i="1"/>
  <c r="F1058" i="1"/>
  <c r="I1058" i="1"/>
  <c r="J1058" i="1"/>
  <c r="K1058" i="1"/>
  <c r="E629" i="2"/>
  <c r="I629" i="2"/>
  <c r="C1054" i="1"/>
  <c r="F1054" i="1"/>
  <c r="I1054" i="1"/>
  <c r="J1054" i="1"/>
  <c r="K1054" i="1"/>
  <c r="E628" i="2"/>
  <c r="I628" i="2"/>
  <c r="C987" i="1"/>
  <c r="F987" i="1"/>
  <c r="I987" i="1"/>
  <c r="J987" i="1"/>
  <c r="K987" i="1"/>
  <c r="E627" i="2"/>
  <c r="I627" i="2"/>
  <c r="C979" i="1"/>
  <c r="F979" i="1"/>
  <c r="I979" i="1"/>
  <c r="J979" i="1"/>
  <c r="K979" i="1"/>
  <c r="E626" i="2"/>
  <c r="I626" i="2"/>
  <c r="E625" i="2"/>
  <c r="I625" i="2"/>
  <c r="C2032" i="1"/>
  <c r="F2032" i="1"/>
  <c r="I2032" i="1"/>
  <c r="J2032" i="1"/>
  <c r="K2032" i="1"/>
  <c r="C972" i="1"/>
  <c r="F972" i="1"/>
  <c r="I972" i="1"/>
  <c r="J972" i="1"/>
  <c r="K972" i="1"/>
  <c r="E624" i="2"/>
  <c r="I624" i="2"/>
  <c r="C967" i="1"/>
  <c r="F967" i="1"/>
  <c r="I967" i="1"/>
  <c r="J967" i="1"/>
  <c r="K967" i="1"/>
  <c r="E623" i="2"/>
  <c r="I623" i="2"/>
  <c r="C960" i="1"/>
  <c r="F960" i="1"/>
  <c r="I960" i="1"/>
  <c r="J960" i="1"/>
  <c r="K960" i="1"/>
  <c r="E622" i="2"/>
  <c r="I622" i="2"/>
  <c r="E621" i="2"/>
  <c r="I621" i="2"/>
  <c r="C954" i="1"/>
  <c r="F954" i="1"/>
  <c r="I954" i="1"/>
  <c r="J954" i="1"/>
  <c r="K954" i="1"/>
  <c r="E620" i="2"/>
  <c r="I620" i="2"/>
  <c r="C937" i="1"/>
  <c r="F937" i="1"/>
  <c r="I937" i="1"/>
  <c r="J937" i="1"/>
  <c r="K937" i="1"/>
  <c r="E619" i="2"/>
  <c r="I619" i="2"/>
  <c r="C914" i="1"/>
  <c r="F914" i="1"/>
  <c r="I914" i="1"/>
  <c r="J914" i="1"/>
  <c r="K914" i="1"/>
  <c r="E618" i="2"/>
  <c r="I618" i="2"/>
  <c r="C2038" i="1"/>
  <c r="F2038" i="1"/>
  <c r="I2038" i="1"/>
  <c r="J2038" i="1"/>
  <c r="K2038" i="1"/>
  <c r="E617" i="2"/>
  <c r="I617" i="2"/>
  <c r="C2037" i="1"/>
  <c r="F2037" i="1"/>
  <c r="I2037" i="1"/>
  <c r="J2037" i="1"/>
  <c r="K2037" i="1"/>
  <c r="E616" i="2"/>
  <c r="I616" i="2"/>
  <c r="C2036" i="1"/>
  <c r="F2036" i="1"/>
  <c r="I2036" i="1"/>
  <c r="J2036" i="1"/>
  <c r="K2036" i="1"/>
  <c r="E615" i="2"/>
  <c r="I615" i="2"/>
  <c r="C1174" i="1"/>
  <c r="F1174" i="1"/>
  <c r="I1174" i="1"/>
  <c r="J1174" i="1"/>
  <c r="K1174" i="1"/>
  <c r="E614" i="2"/>
  <c r="I614" i="2"/>
  <c r="E30" i="2"/>
  <c r="I30" i="2"/>
  <c r="E32" i="2"/>
  <c r="I32" i="2"/>
  <c r="C2035" i="1"/>
  <c r="F2035" i="1"/>
  <c r="I2035" i="1"/>
  <c r="J2035" i="1"/>
  <c r="K2035" i="1"/>
  <c r="E611" i="2"/>
  <c r="I611" i="2"/>
  <c r="C1637" i="1"/>
  <c r="F1637" i="1"/>
  <c r="I1637" i="1"/>
  <c r="J1637" i="1"/>
  <c r="K1637" i="1"/>
  <c r="E610" i="2"/>
  <c r="I610" i="2"/>
  <c r="C1941" i="1"/>
  <c r="F1941" i="1"/>
  <c r="I1941" i="1"/>
  <c r="J1941" i="1"/>
  <c r="K1941" i="1"/>
  <c r="E609" i="2"/>
  <c r="I609" i="2"/>
  <c r="E608" i="2"/>
  <c r="I608" i="2"/>
  <c r="E607" i="2"/>
  <c r="I607" i="2"/>
  <c r="C1968" i="1"/>
  <c r="F1968" i="1"/>
  <c r="I1968" i="1"/>
  <c r="J1968" i="1"/>
  <c r="K1968" i="1"/>
  <c r="I606" i="2"/>
  <c r="E606" i="2"/>
  <c r="E605" i="2"/>
  <c r="I605" i="2"/>
  <c r="C882" i="1"/>
  <c r="F882" i="1"/>
  <c r="I882" i="1"/>
  <c r="J882" i="1"/>
  <c r="K882" i="1"/>
  <c r="E600" i="2"/>
  <c r="I600" i="2"/>
  <c r="C881" i="1"/>
  <c r="F881" i="1"/>
  <c r="I881" i="1"/>
  <c r="J881" i="1"/>
  <c r="K881" i="1"/>
  <c r="E599" i="2"/>
  <c r="I599" i="2"/>
  <c r="C861" i="1"/>
  <c r="F861" i="1"/>
  <c r="I861" i="1"/>
  <c r="J861" i="1"/>
  <c r="K861" i="1"/>
  <c r="E598" i="2"/>
  <c r="I598" i="2"/>
  <c r="C854" i="1"/>
  <c r="F854" i="1"/>
  <c r="I854" i="1"/>
  <c r="J854" i="1"/>
  <c r="K854" i="1"/>
  <c r="E597" i="2"/>
  <c r="I597" i="2"/>
  <c r="C1276" i="1"/>
  <c r="F1276" i="1"/>
  <c r="I1276" i="1"/>
  <c r="J1276" i="1"/>
  <c r="K1276" i="1"/>
  <c r="E596" i="2"/>
  <c r="I596" i="2"/>
  <c r="E45" i="2"/>
  <c r="I45" i="2"/>
  <c r="E66" i="2"/>
  <c r="I66" i="2"/>
  <c r="E19" i="2"/>
  <c r="I19" i="2"/>
  <c r="E193" i="2"/>
  <c r="I193" i="2"/>
  <c r="E4" i="2"/>
  <c r="I4" i="2"/>
  <c r="E3" i="2"/>
  <c r="I3" i="2"/>
  <c r="E58" i="2"/>
  <c r="I58" i="2"/>
  <c r="E488" i="2"/>
  <c r="I488" i="2"/>
  <c r="E172" i="2"/>
  <c r="I172" i="2"/>
  <c r="E24" i="2"/>
  <c r="I24" i="2"/>
  <c r="E23" i="2"/>
  <c r="I23" i="2"/>
  <c r="E72" i="2"/>
  <c r="I72" i="2"/>
  <c r="E73" i="2"/>
  <c r="I73" i="2"/>
  <c r="E35" i="2"/>
  <c r="I35" i="2"/>
  <c r="E595" i="2"/>
  <c r="I595" i="2"/>
  <c r="E10" i="2"/>
  <c r="I10" i="2"/>
  <c r="C2031" i="1"/>
  <c r="F2031" i="1"/>
  <c r="I2031" i="1"/>
  <c r="J2031" i="1"/>
  <c r="K2031" i="1"/>
  <c r="E594" i="2"/>
  <c r="I594" i="2"/>
  <c r="C2030" i="1"/>
  <c r="F2030" i="1"/>
  <c r="I2030" i="1"/>
  <c r="J2030" i="1"/>
  <c r="K2030" i="1"/>
  <c r="C2029" i="1"/>
  <c r="F2029" i="1"/>
  <c r="I2029" i="1"/>
  <c r="J2029" i="1"/>
  <c r="K2029" i="1"/>
  <c r="E593" i="2"/>
  <c r="I593" i="2"/>
  <c r="C2028" i="1"/>
  <c r="F2028" i="1"/>
  <c r="I2028" i="1"/>
  <c r="J2028" i="1"/>
  <c r="K2028" i="1"/>
  <c r="E592" i="2"/>
  <c r="I592" i="2"/>
  <c r="E591" i="2"/>
  <c r="I591" i="2"/>
  <c r="C856" i="1"/>
  <c r="F856" i="1"/>
  <c r="I856" i="1"/>
  <c r="J856" i="1"/>
  <c r="K856" i="1"/>
  <c r="E590" i="2"/>
  <c r="I590" i="2"/>
  <c r="C781" i="1"/>
  <c r="F781" i="1"/>
  <c r="I781" i="1"/>
  <c r="J781" i="1"/>
  <c r="K781" i="1"/>
  <c r="E589" i="2"/>
  <c r="I589" i="2"/>
  <c r="C1962" i="1"/>
  <c r="F1962" i="1"/>
  <c r="I1962" i="1"/>
  <c r="J1962" i="1"/>
  <c r="K1962" i="1"/>
  <c r="E588" i="2"/>
  <c r="I588" i="2"/>
  <c r="C1961" i="1"/>
  <c r="F1961" i="1"/>
  <c r="I1961" i="1"/>
  <c r="J1961" i="1"/>
  <c r="K1961" i="1"/>
  <c r="E587" i="2"/>
  <c r="I587" i="2"/>
  <c r="C1959" i="1"/>
  <c r="F1959" i="1"/>
  <c r="I1959" i="1"/>
  <c r="J1959" i="1"/>
  <c r="K1959" i="1"/>
  <c r="C1958" i="1"/>
  <c r="F1958" i="1"/>
  <c r="I1958" i="1"/>
  <c r="J1958" i="1"/>
  <c r="K1958" i="1"/>
  <c r="E586" i="2"/>
  <c r="I586" i="2"/>
  <c r="E585" i="2"/>
  <c r="I585" i="2"/>
  <c r="C742" i="1"/>
  <c r="F742" i="1"/>
  <c r="I742" i="1"/>
  <c r="J742" i="1"/>
  <c r="K742" i="1"/>
  <c r="E584" i="2"/>
  <c r="I584" i="2"/>
  <c r="C2008" i="1"/>
  <c r="F2008" i="1"/>
  <c r="I2008" i="1"/>
  <c r="J2008" i="1"/>
  <c r="K2008" i="1"/>
  <c r="E583" i="2"/>
  <c r="I583" i="2"/>
  <c r="K326" i="1"/>
  <c r="J326" i="1"/>
  <c r="I326" i="1"/>
  <c r="F326" i="1"/>
  <c r="C326" i="1"/>
  <c r="K321" i="1"/>
  <c r="J321" i="1"/>
  <c r="I321" i="1"/>
  <c r="F321" i="1"/>
  <c r="C321" i="1"/>
  <c r="K317" i="1"/>
  <c r="J317" i="1"/>
  <c r="I317" i="1"/>
  <c r="F317" i="1"/>
  <c r="C317" i="1"/>
  <c r="K315" i="1"/>
  <c r="J315" i="1"/>
  <c r="I315" i="1"/>
  <c r="F315" i="1"/>
  <c r="C315" i="1"/>
  <c r="K311" i="1"/>
  <c r="J311" i="1"/>
  <c r="I311" i="1"/>
  <c r="F311" i="1"/>
  <c r="C311" i="1"/>
  <c r="K308" i="1"/>
  <c r="J308" i="1"/>
  <c r="I308" i="1"/>
  <c r="F308" i="1"/>
  <c r="C308" i="1"/>
  <c r="E582" i="2"/>
  <c r="I582" i="2"/>
  <c r="E581" i="2"/>
  <c r="I581" i="2"/>
  <c r="E580" i="2"/>
  <c r="I580" i="2"/>
  <c r="E579" i="2"/>
  <c r="I579" i="2"/>
  <c r="E578" i="2"/>
  <c r="I578" i="2"/>
  <c r="E577" i="2"/>
  <c r="I577" i="2"/>
  <c r="E576" i="2"/>
  <c r="I576" i="2"/>
  <c r="C228" i="1"/>
  <c r="F228" i="1"/>
  <c r="I228" i="1"/>
  <c r="J228" i="1"/>
  <c r="K228" i="1"/>
  <c r="E575" i="2"/>
  <c r="I575" i="2"/>
  <c r="E44" i="2"/>
  <c r="I44" i="2"/>
  <c r="E355" i="2"/>
  <c r="I355" i="2"/>
  <c r="E17" i="2"/>
  <c r="I17" i="2"/>
  <c r="E43" i="2"/>
  <c r="I43" i="2"/>
  <c r="C2172" i="1"/>
  <c r="F2172" i="1"/>
  <c r="I2172" i="1"/>
  <c r="J2172" i="1"/>
  <c r="K2172" i="1"/>
  <c r="I551" i="2"/>
  <c r="E551" i="2"/>
  <c r="K280" i="1"/>
  <c r="J280" i="1"/>
  <c r="I280" i="1"/>
  <c r="F280" i="1"/>
  <c r="C280" i="1"/>
  <c r="I550" i="2"/>
  <c r="E550" i="2"/>
  <c r="E38" i="2"/>
  <c r="I38" i="2"/>
  <c r="E16" i="2"/>
  <c r="I16" i="2"/>
  <c r="E15" i="2"/>
  <c r="I15" i="2"/>
  <c r="C2027" i="1"/>
  <c r="F2027" i="1"/>
  <c r="I2027" i="1"/>
  <c r="J2027" i="1"/>
  <c r="K2027" i="1"/>
  <c r="C2026" i="1"/>
  <c r="F2026" i="1"/>
  <c r="I2026" i="1"/>
  <c r="J2026" i="1"/>
  <c r="K2026" i="1"/>
  <c r="E574" i="2"/>
  <c r="I574" i="2"/>
  <c r="E573" i="2"/>
  <c r="I573" i="2"/>
  <c r="E160" i="2"/>
  <c r="I160" i="2"/>
  <c r="K977" i="1"/>
  <c r="J977" i="1"/>
  <c r="I977" i="1"/>
  <c r="F977" i="1"/>
  <c r="C977" i="1"/>
  <c r="E572" i="2"/>
  <c r="I572" i="2"/>
  <c r="E42" i="2"/>
  <c r="I42" i="2"/>
  <c r="E145" i="2"/>
  <c r="I145" i="2"/>
  <c r="E549" i="2"/>
  <c r="I549" i="2"/>
  <c r="E318" i="2"/>
  <c r="I318" i="2"/>
  <c r="E41" i="2"/>
  <c r="I41" i="2"/>
  <c r="K2187" i="1"/>
  <c r="J2187" i="1"/>
  <c r="I2187" i="1"/>
  <c r="F2187" i="1"/>
  <c r="C2187" i="1"/>
  <c r="E571" i="2"/>
  <c r="I571" i="2"/>
  <c r="E74" i="2"/>
  <c r="I74" i="2"/>
  <c r="I472" i="2"/>
  <c r="I473" i="2"/>
  <c r="I474" i="2"/>
  <c r="I475" i="2"/>
  <c r="I476" i="2"/>
  <c r="I477" i="2"/>
  <c r="I478" i="2"/>
  <c r="E472" i="2"/>
  <c r="E473" i="2"/>
  <c r="E474" i="2"/>
  <c r="E475" i="2"/>
  <c r="E476" i="2"/>
  <c r="E477" i="2"/>
  <c r="E478" i="2"/>
  <c r="E466" i="2"/>
  <c r="I466" i="2"/>
  <c r="E465" i="2"/>
  <c r="I465" i="2"/>
  <c r="E464" i="2"/>
  <c r="I464" i="2"/>
  <c r="E463" i="2"/>
  <c r="I463" i="2"/>
  <c r="E462" i="2"/>
  <c r="I462" i="2"/>
  <c r="E548" i="2"/>
  <c r="I548" i="2"/>
  <c r="E545" i="2"/>
  <c r="I545" i="2"/>
  <c r="E544" i="2"/>
  <c r="I544" i="2"/>
  <c r="E542" i="2"/>
  <c r="I542" i="2"/>
  <c r="E543" i="2"/>
  <c r="I543" i="2"/>
  <c r="E546" i="2"/>
  <c r="I546" i="2"/>
  <c r="E541" i="2"/>
  <c r="I541" i="2"/>
  <c r="E540" i="2"/>
  <c r="I540" i="2"/>
  <c r="E69" i="2"/>
  <c r="I69" i="2"/>
  <c r="E312" i="2"/>
  <c r="I312" i="2"/>
  <c r="C866" i="1"/>
  <c r="F866" i="1"/>
  <c r="I866" i="1"/>
  <c r="J866" i="1"/>
  <c r="K866" i="1"/>
  <c r="E522" i="2"/>
  <c r="I522" i="2"/>
  <c r="C2025" i="1"/>
  <c r="F2025" i="1"/>
  <c r="I2025" i="1"/>
  <c r="J2025" i="1"/>
  <c r="K2025" i="1"/>
  <c r="E570" i="2"/>
  <c r="I570" i="2"/>
  <c r="C227" i="1"/>
  <c r="F227" i="1"/>
  <c r="I227" i="1"/>
  <c r="J227" i="1"/>
  <c r="K227" i="1"/>
  <c r="E569" i="2"/>
  <c r="I569" i="2"/>
  <c r="E568" i="2"/>
  <c r="I568" i="2"/>
  <c r="E274" i="2"/>
  <c r="I274" i="2"/>
  <c r="E273" i="2"/>
  <c r="I273" i="2"/>
  <c r="E77" i="2"/>
  <c r="I77" i="2"/>
  <c r="C2269" i="1"/>
  <c r="F2269" i="1"/>
  <c r="I2269" i="1"/>
  <c r="J2269" i="1"/>
  <c r="K2269" i="1"/>
  <c r="E76" i="2"/>
  <c r="I76" i="2"/>
  <c r="E567" i="2"/>
  <c r="E11" i="2"/>
  <c r="I11" i="2"/>
  <c r="E210" i="2"/>
  <c r="I210" i="2"/>
  <c r="E547" i="2"/>
  <c r="I547" i="2"/>
  <c r="E538" i="2"/>
  <c r="I538" i="2"/>
  <c r="E12" i="2"/>
  <c r="I12" i="2"/>
  <c r="E106" i="2"/>
  <c r="I106" i="2"/>
  <c r="E105" i="2"/>
  <c r="I105" i="2"/>
  <c r="E104" i="2"/>
  <c r="I104" i="2"/>
  <c r="I564" i="2"/>
  <c r="I661" i="2"/>
  <c r="I566" i="2"/>
  <c r="I31" i="2"/>
  <c r="C1176" i="1"/>
  <c r="F1176" i="1"/>
  <c r="I1176" i="1"/>
  <c r="J1176" i="1"/>
  <c r="K1176" i="1"/>
  <c r="E31" i="2"/>
  <c r="C1955" i="1"/>
  <c r="F1955" i="1"/>
  <c r="I1955" i="1"/>
  <c r="J1955" i="1"/>
  <c r="K1955" i="1"/>
  <c r="C1954" i="1"/>
  <c r="F1954" i="1"/>
  <c r="I1954" i="1"/>
  <c r="J1954" i="1"/>
  <c r="K1954" i="1"/>
  <c r="E566" i="2"/>
  <c r="C2270" i="1"/>
  <c r="F2270" i="1"/>
  <c r="I2270" i="1"/>
  <c r="J2270" i="1"/>
  <c r="K2270" i="1"/>
  <c r="C2229" i="1"/>
  <c r="F2229" i="1"/>
  <c r="I2229" i="1"/>
  <c r="J2229" i="1"/>
  <c r="K2229" i="1"/>
  <c r="C1339" i="1"/>
  <c r="F1339" i="1"/>
  <c r="I1339" i="1"/>
  <c r="J1339" i="1"/>
  <c r="K1339" i="1"/>
  <c r="E661" i="2"/>
  <c r="E564" i="2"/>
  <c r="E563" i="2"/>
  <c r="I563" i="2"/>
  <c r="C988" i="1"/>
  <c r="F988" i="1"/>
  <c r="I988" i="1"/>
  <c r="J988" i="1"/>
  <c r="K988" i="1"/>
  <c r="E562" i="2"/>
  <c r="I562" i="2"/>
  <c r="C1334" i="1"/>
  <c r="F1334" i="1"/>
  <c r="I1334" i="1"/>
  <c r="J1334" i="1"/>
  <c r="K1334" i="1"/>
  <c r="E561" i="2"/>
  <c r="I561" i="2"/>
  <c r="E560" i="2"/>
  <c r="I560" i="2"/>
  <c r="C1083" i="1"/>
  <c r="F1083" i="1"/>
  <c r="I1083" i="1"/>
  <c r="J1083" i="1"/>
  <c r="K1083" i="1"/>
  <c r="E559" i="2"/>
  <c r="I559" i="2"/>
  <c r="E14" i="2"/>
  <c r="I14" i="2"/>
  <c r="E40" i="2"/>
  <c r="I40" i="2"/>
  <c r="E70" i="2"/>
  <c r="I70" i="2"/>
  <c r="E88" i="2"/>
  <c r="I88" i="2"/>
  <c r="E2" i="2"/>
  <c r="I2" i="2"/>
  <c r="E235" i="2"/>
  <c r="E236" i="2"/>
  <c r="I235" i="2"/>
  <c r="I236" i="2"/>
  <c r="E234" i="2"/>
  <c r="I234" i="2"/>
  <c r="E399" i="2"/>
  <c r="E400" i="2"/>
  <c r="I399" i="2"/>
  <c r="I400" i="2"/>
  <c r="E398" i="2"/>
  <c r="I398" i="2"/>
  <c r="E558" i="2"/>
  <c r="I558" i="2"/>
  <c r="E61" i="2"/>
  <c r="E513" i="2"/>
  <c r="I61" i="2"/>
  <c r="I513" i="2"/>
  <c r="E60" i="2"/>
  <c r="I60" i="2"/>
  <c r="E65" i="2"/>
  <c r="I65" i="2"/>
  <c r="E71" i="2"/>
  <c r="I71" i="2"/>
  <c r="E68" i="2"/>
  <c r="I68" i="2"/>
  <c r="E56" i="2"/>
  <c r="I56" i="2"/>
  <c r="E52" i="2"/>
  <c r="I52" i="2"/>
  <c r="E51" i="2"/>
  <c r="I51" i="2"/>
  <c r="E67" i="2"/>
  <c r="I67" i="2"/>
  <c r="I78" i="2"/>
  <c r="I79" i="2"/>
  <c r="I80" i="2"/>
  <c r="I82" i="2"/>
  <c r="I83" i="2"/>
  <c r="I84" i="2"/>
  <c r="I85" i="2"/>
  <c r="I86" i="2"/>
  <c r="I87" i="2"/>
  <c r="I89" i="2"/>
  <c r="I90" i="2"/>
  <c r="I91" i="2"/>
  <c r="I92" i="2"/>
  <c r="I93" i="2"/>
  <c r="I94" i="2"/>
  <c r="I95" i="2"/>
  <c r="I101" i="2"/>
  <c r="I102" i="2"/>
  <c r="I103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1" i="2"/>
  <c r="I162" i="2"/>
  <c r="I163" i="2"/>
  <c r="I164" i="2"/>
  <c r="I165" i="2"/>
  <c r="I166" i="2"/>
  <c r="I167" i="2"/>
  <c r="I168" i="2"/>
  <c r="I169" i="2"/>
  <c r="I170" i="2"/>
  <c r="I171" i="2"/>
  <c r="I173" i="2"/>
  <c r="I174" i="2"/>
  <c r="I175" i="2"/>
  <c r="I176" i="2"/>
  <c r="I177" i="2"/>
  <c r="I222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6" i="2"/>
  <c r="I197" i="2"/>
  <c r="I198" i="2"/>
  <c r="I199" i="2"/>
  <c r="I200" i="2"/>
  <c r="I201" i="2"/>
  <c r="I202" i="2"/>
  <c r="I203" i="2"/>
  <c r="I230" i="2"/>
  <c r="I205" i="2"/>
  <c r="I206" i="2"/>
  <c r="I207" i="2"/>
  <c r="I208" i="2"/>
  <c r="I209" i="2"/>
  <c r="I211" i="2"/>
  <c r="I212" i="2"/>
  <c r="I213" i="2"/>
  <c r="I214" i="2"/>
  <c r="I215" i="2"/>
  <c r="I216" i="2"/>
  <c r="I217" i="2"/>
  <c r="I218" i="2"/>
  <c r="I219" i="2"/>
  <c r="I220" i="2"/>
  <c r="I221" i="2"/>
  <c r="I231" i="2"/>
  <c r="I223" i="2"/>
  <c r="I224" i="2"/>
  <c r="I225" i="2"/>
  <c r="I226" i="2"/>
  <c r="I227" i="2"/>
  <c r="I228" i="2"/>
  <c r="I229" i="2"/>
  <c r="I242" i="2"/>
  <c r="I243" i="2"/>
  <c r="I232" i="2"/>
  <c r="I233" i="2"/>
  <c r="I238" i="2"/>
  <c r="I239" i="2"/>
  <c r="I240" i="2"/>
  <c r="I241" i="2"/>
  <c r="I244" i="2"/>
  <c r="I246" i="2"/>
  <c r="I247" i="2"/>
  <c r="I245" i="2"/>
  <c r="I278" i="2"/>
  <c r="I279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5" i="2"/>
  <c r="I276" i="2"/>
  <c r="I277" i="2"/>
  <c r="I282" i="2"/>
  <c r="I283" i="2"/>
  <c r="I280" i="2"/>
  <c r="I281" i="2"/>
  <c r="I284" i="2"/>
  <c r="I290" i="2"/>
  <c r="I302" i="2"/>
  <c r="I285" i="2"/>
  <c r="I286" i="2"/>
  <c r="I287" i="2"/>
  <c r="I288" i="2"/>
  <c r="I289" i="2"/>
  <c r="I333" i="2"/>
  <c r="I291" i="2"/>
  <c r="I292" i="2"/>
  <c r="I293" i="2"/>
  <c r="I294" i="2"/>
  <c r="I295" i="2"/>
  <c r="I296" i="2"/>
  <c r="I297" i="2"/>
  <c r="I298" i="2"/>
  <c r="I299" i="2"/>
  <c r="I300" i="2"/>
  <c r="I301" i="2"/>
  <c r="I342" i="2"/>
  <c r="I303" i="2"/>
  <c r="I304" i="2"/>
  <c r="I305" i="2"/>
  <c r="I306" i="2"/>
  <c r="I307" i="2"/>
  <c r="I308" i="2"/>
  <c r="I309" i="2"/>
  <c r="I310" i="2"/>
  <c r="I311" i="2"/>
  <c r="I313" i="2"/>
  <c r="I314" i="2"/>
  <c r="I315" i="2"/>
  <c r="I316" i="2"/>
  <c r="I317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455" i="2"/>
  <c r="I343" i="2"/>
  <c r="I344" i="2"/>
  <c r="I345" i="2"/>
  <c r="I346" i="2"/>
  <c r="I347" i="2"/>
  <c r="I348" i="2"/>
  <c r="I349" i="2"/>
  <c r="I350" i="2"/>
  <c r="I351" i="2"/>
  <c r="I352" i="2"/>
  <c r="I354" i="2"/>
  <c r="I358" i="2"/>
  <c r="I356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468" i="2"/>
  <c r="I388" i="2"/>
  <c r="I389" i="2"/>
  <c r="I390" i="2"/>
  <c r="I391" i="2"/>
  <c r="I392" i="2"/>
  <c r="I393" i="2"/>
  <c r="I394" i="2"/>
  <c r="I395" i="2"/>
  <c r="I396" i="2"/>
  <c r="I397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81" i="2"/>
  <c r="I456" i="2"/>
  <c r="I457" i="2"/>
  <c r="I458" i="2"/>
  <c r="I459" i="2"/>
  <c r="I460" i="2"/>
  <c r="I461" i="2"/>
  <c r="I467" i="2"/>
  <c r="I493" i="2"/>
  <c r="I469" i="2"/>
  <c r="I470" i="2"/>
  <c r="I471" i="2"/>
  <c r="I479" i="2"/>
  <c r="I480" i="2"/>
  <c r="I494" i="2"/>
  <c r="I482" i="2"/>
  <c r="I483" i="2"/>
  <c r="I484" i="2"/>
  <c r="I485" i="2"/>
  <c r="I486" i="2"/>
  <c r="I487" i="2"/>
  <c r="I489" i="2"/>
  <c r="I490" i="2"/>
  <c r="I491" i="2"/>
  <c r="I492" i="2"/>
  <c r="I519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387" i="2"/>
  <c r="I508" i="2"/>
  <c r="I509" i="2"/>
  <c r="I510" i="2"/>
  <c r="I511" i="2"/>
  <c r="I512" i="2"/>
  <c r="I59" i="2"/>
  <c r="I514" i="2"/>
  <c r="I515" i="2"/>
  <c r="I516" i="2"/>
  <c r="I517" i="2"/>
  <c r="I518" i="2"/>
  <c r="I520" i="2"/>
  <c r="I521" i="2"/>
  <c r="I565" i="2"/>
  <c r="I523" i="2"/>
  <c r="I524" i="2"/>
  <c r="I525" i="2"/>
  <c r="I526" i="2"/>
  <c r="I539" i="2"/>
  <c r="I527" i="2"/>
  <c r="I528" i="2"/>
  <c r="I529" i="2"/>
  <c r="I530" i="2"/>
  <c r="I531" i="2"/>
  <c r="I532" i="2"/>
  <c r="I533" i="2"/>
  <c r="I534" i="2"/>
  <c r="I535" i="2"/>
  <c r="I536" i="2"/>
  <c r="I537" i="2"/>
  <c r="I39" i="2"/>
  <c r="I554" i="2"/>
  <c r="I126" i="2"/>
  <c r="I127" i="2"/>
  <c r="I128" i="2"/>
  <c r="I129" i="2"/>
  <c r="I130" i="2"/>
  <c r="I131" i="2"/>
  <c r="I555" i="2"/>
  <c r="I556" i="2"/>
  <c r="I557" i="2"/>
  <c r="E556" i="2"/>
  <c r="E557" i="2"/>
  <c r="E555" i="2"/>
  <c r="E131" i="2"/>
  <c r="E130" i="2"/>
  <c r="E129" i="2"/>
  <c r="E128" i="2"/>
  <c r="E127" i="2"/>
  <c r="E126" i="2"/>
  <c r="E554" i="2"/>
  <c r="E39" i="2"/>
  <c r="E531" i="2"/>
  <c r="E532" i="2"/>
  <c r="E533" i="2"/>
  <c r="E534" i="2"/>
  <c r="E535" i="2"/>
  <c r="E536" i="2"/>
  <c r="E537" i="2"/>
  <c r="E530" i="2"/>
  <c r="E529" i="2"/>
  <c r="E528" i="2"/>
  <c r="E527" i="2"/>
  <c r="E524" i="2"/>
  <c r="E525" i="2"/>
  <c r="E526" i="2"/>
  <c r="E539" i="2"/>
  <c r="E523" i="2"/>
  <c r="E565" i="2"/>
  <c r="E521" i="2"/>
  <c r="E520" i="2"/>
  <c r="E518" i="2"/>
  <c r="E517" i="2"/>
  <c r="E516" i="2"/>
  <c r="E515" i="2"/>
  <c r="E514" i="2"/>
  <c r="E59" i="2"/>
  <c r="E512" i="2"/>
  <c r="E511" i="2"/>
  <c r="E510" i="2"/>
  <c r="E509" i="2"/>
  <c r="C1953" i="1"/>
  <c r="F1953" i="1"/>
  <c r="I1953" i="1"/>
  <c r="J1953" i="1"/>
  <c r="K1953" i="1"/>
  <c r="C1952" i="1"/>
  <c r="F1952" i="1"/>
  <c r="I1952" i="1"/>
  <c r="J1952" i="1"/>
  <c r="K1952" i="1"/>
  <c r="E508" i="2"/>
  <c r="E387" i="2"/>
  <c r="E507" i="2"/>
  <c r="C855" i="1"/>
  <c r="F855" i="1"/>
  <c r="I855" i="1"/>
  <c r="J855" i="1"/>
  <c r="K855" i="1"/>
  <c r="E506" i="2"/>
  <c r="C983" i="1"/>
  <c r="F983" i="1"/>
  <c r="I983" i="1"/>
  <c r="J983" i="1"/>
  <c r="K983" i="1"/>
  <c r="E505" i="2"/>
  <c r="C981" i="1"/>
  <c r="F981" i="1"/>
  <c r="I981" i="1"/>
  <c r="J981" i="1"/>
  <c r="K981" i="1"/>
  <c r="E504" i="2"/>
  <c r="K2024" i="1"/>
  <c r="C2024" i="1"/>
  <c r="F2024" i="1"/>
  <c r="I2024" i="1"/>
  <c r="J2024" i="1"/>
  <c r="C2023" i="1"/>
  <c r="F2023" i="1"/>
  <c r="I2023" i="1"/>
  <c r="J2023" i="1"/>
  <c r="K2023" i="1"/>
  <c r="C2021" i="1"/>
  <c r="C2022" i="1"/>
  <c r="F2021" i="1"/>
  <c r="F2022" i="1"/>
  <c r="I2021" i="1"/>
  <c r="I2022" i="1"/>
  <c r="J2021" i="1"/>
  <c r="J2022" i="1"/>
  <c r="K2021" i="1"/>
  <c r="K2022" i="1"/>
  <c r="E502" i="2"/>
  <c r="E503" i="2"/>
  <c r="C2020" i="1"/>
  <c r="F2020" i="1"/>
  <c r="I2020" i="1"/>
  <c r="J2020" i="1"/>
  <c r="K2020" i="1"/>
  <c r="E501" i="2"/>
  <c r="C2017" i="1"/>
  <c r="F2017" i="1"/>
  <c r="I2017" i="1"/>
  <c r="J2017" i="1"/>
  <c r="K2017" i="1"/>
  <c r="E500" i="2"/>
  <c r="C2019" i="1"/>
  <c r="F2019" i="1"/>
  <c r="I2019" i="1"/>
  <c r="J2019" i="1"/>
  <c r="K2019" i="1"/>
  <c r="E499" i="2"/>
  <c r="C2018" i="1"/>
  <c r="F2018" i="1"/>
  <c r="I2018" i="1"/>
  <c r="J2018" i="1"/>
  <c r="K2018" i="1"/>
  <c r="E498" i="2"/>
  <c r="I878" i="1"/>
  <c r="E497" i="2"/>
  <c r="C878" i="1"/>
  <c r="F878" i="1"/>
  <c r="J878" i="1"/>
  <c r="K878" i="1"/>
  <c r="E496" i="2"/>
  <c r="J2016" i="1"/>
  <c r="J1301" i="1"/>
  <c r="K1301" i="1"/>
  <c r="I1301" i="1"/>
  <c r="F1301" i="1"/>
  <c r="C1301" i="1"/>
  <c r="C2016" i="1"/>
  <c r="F2016" i="1"/>
  <c r="I2016" i="1"/>
  <c r="K2016" i="1"/>
  <c r="E495" i="2"/>
  <c r="C502" i="1"/>
  <c r="F502" i="1"/>
  <c r="I502" i="1"/>
  <c r="J502" i="1"/>
  <c r="K502" i="1"/>
  <c r="C2001" i="1"/>
  <c r="K786" i="1"/>
  <c r="J786" i="1"/>
  <c r="I786" i="1"/>
  <c r="F786" i="1"/>
  <c r="C786" i="1"/>
  <c r="I237" i="1"/>
  <c r="I1387" i="1"/>
  <c r="I2" i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6" i="1"/>
  <c r="I230" i="1"/>
  <c r="I231" i="1"/>
  <c r="I232" i="1"/>
  <c r="I233" i="1"/>
  <c r="I234" i="1"/>
  <c r="I235" i="1"/>
  <c r="I236" i="1"/>
  <c r="I240" i="1"/>
  <c r="I241" i="1"/>
  <c r="I262" i="1"/>
  <c r="I264" i="1"/>
  <c r="I266" i="1"/>
  <c r="I267" i="1"/>
  <c r="I269" i="1"/>
  <c r="I271" i="1"/>
  <c r="I272" i="1"/>
  <c r="I273" i="1"/>
  <c r="I275" i="1"/>
  <c r="I277" i="1"/>
  <c r="I279" i="1"/>
  <c r="I281" i="1"/>
  <c r="I283" i="1"/>
  <c r="I285" i="1"/>
  <c r="I286" i="1"/>
  <c r="I287" i="1"/>
  <c r="I288" i="1"/>
  <c r="I289" i="1"/>
  <c r="I290" i="1"/>
  <c r="I364" i="1"/>
  <c r="I422" i="1"/>
  <c r="I430" i="1"/>
  <c r="I435" i="1"/>
  <c r="I423" i="1"/>
  <c r="I425" i="1"/>
  <c r="I477" i="1"/>
  <c r="I476" i="1"/>
  <c r="I489" i="1"/>
  <c r="I365" i="1"/>
  <c r="I366" i="1"/>
  <c r="I412" i="1"/>
  <c r="I1883" i="1"/>
  <c r="I1884" i="1"/>
  <c r="I1885" i="1"/>
  <c r="I787" i="1"/>
  <c r="I1896" i="1"/>
  <c r="I490" i="1"/>
  <c r="I535" i="1"/>
  <c r="I551" i="1"/>
  <c r="I552" i="1"/>
  <c r="I605" i="1"/>
  <c r="I648" i="1"/>
  <c r="I662" i="1"/>
  <c r="I670" i="1"/>
  <c r="I674" i="1"/>
  <c r="I676" i="1"/>
  <c r="I677" i="1"/>
  <c r="I680" i="1"/>
  <c r="I1850" i="1"/>
  <c r="I1661" i="1"/>
  <c r="I506" i="1"/>
  <c r="I1979" i="1"/>
  <c r="I437" i="1"/>
  <c r="I2250" i="1"/>
  <c r="I691" i="1"/>
  <c r="I700" i="1"/>
  <c r="I446" i="1"/>
  <c r="I438" i="1"/>
  <c r="I439" i="1"/>
  <c r="I440" i="1"/>
  <c r="I442" i="1"/>
  <c r="I447" i="1"/>
  <c r="I448" i="1"/>
  <c r="I449" i="1"/>
  <c r="I416" i="1"/>
  <c r="I417" i="1"/>
  <c r="I418" i="1"/>
  <c r="I427" i="1"/>
  <c r="I428" i="1"/>
  <c r="I429" i="1"/>
  <c r="I445" i="1"/>
  <c r="I443" i="1"/>
  <c r="I444" i="1"/>
  <c r="I450" i="1"/>
  <c r="I451" i="1"/>
  <c r="I709" i="1"/>
  <c r="I461" i="1"/>
  <c r="I462" i="1"/>
  <c r="I463" i="1"/>
  <c r="I464" i="1"/>
  <c r="I465" i="1"/>
  <c r="I466" i="1"/>
  <c r="I712" i="1"/>
  <c r="I468" i="1"/>
  <c r="I469" i="1"/>
  <c r="I470" i="1"/>
  <c r="I471" i="1"/>
  <c r="I472" i="1"/>
  <c r="I726" i="1"/>
  <c r="I735" i="1"/>
  <c r="I474" i="1"/>
  <c r="I740" i="1"/>
  <c r="I452" i="1"/>
  <c r="I453" i="1"/>
  <c r="I513" i="1"/>
  <c r="I479" i="1"/>
  <c r="I480" i="1"/>
  <c r="I481" i="1"/>
  <c r="I482" i="1"/>
  <c r="I741" i="1"/>
  <c r="I751" i="1"/>
  <c r="I455" i="1"/>
  <c r="I456" i="1"/>
  <c r="I487" i="1"/>
  <c r="I752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754" i="1"/>
  <c r="I537" i="1"/>
  <c r="I538" i="1"/>
  <c r="I539" i="1"/>
  <c r="I540" i="1"/>
  <c r="I541" i="1"/>
  <c r="I542" i="1"/>
  <c r="I543" i="1"/>
  <c r="I544" i="1"/>
  <c r="I547" i="1"/>
  <c r="I548" i="1"/>
  <c r="I550" i="1"/>
  <c r="I2164" i="1"/>
  <c r="I762" i="1"/>
  <c r="I555" i="1"/>
  <c r="I556" i="1"/>
  <c r="I557" i="1"/>
  <c r="I558" i="1"/>
  <c r="I559" i="1"/>
  <c r="I560" i="1"/>
  <c r="I561" i="1"/>
  <c r="I562" i="1"/>
  <c r="I564" i="1"/>
  <c r="I565" i="1"/>
  <c r="I567" i="1"/>
  <c r="I568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90" i="1"/>
  <c r="I591" i="1"/>
  <c r="I592" i="1"/>
  <c r="I593" i="1"/>
  <c r="I594" i="1"/>
  <c r="I595" i="1"/>
  <c r="I596" i="1"/>
  <c r="I598" i="1"/>
  <c r="I599" i="1"/>
  <c r="I784" i="1"/>
  <c r="I601" i="1"/>
  <c r="I602" i="1"/>
  <c r="I603" i="1"/>
  <c r="I604" i="1"/>
  <c r="I606" i="1"/>
  <c r="I607" i="1"/>
  <c r="I608" i="1"/>
  <c r="I610" i="1"/>
  <c r="I611" i="1"/>
  <c r="I613" i="1"/>
  <c r="I614" i="1"/>
  <c r="I615" i="1"/>
  <c r="I617" i="1"/>
  <c r="I619" i="1"/>
  <c r="I620" i="1"/>
  <c r="I624" i="1"/>
  <c r="I625" i="1"/>
  <c r="I626" i="1"/>
  <c r="I629" i="1"/>
  <c r="I630" i="1"/>
  <c r="I631" i="1"/>
  <c r="I632" i="1"/>
  <c r="I633" i="1"/>
  <c r="I634" i="1"/>
  <c r="I635" i="1"/>
  <c r="I636" i="1"/>
  <c r="I637" i="1"/>
  <c r="I638" i="1"/>
  <c r="I641" i="1"/>
  <c r="I644" i="1"/>
  <c r="I645" i="1"/>
  <c r="I646" i="1"/>
  <c r="I647" i="1"/>
  <c r="I788" i="1"/>
  <c r="I649" i="1"/>
  <c r="I651" i="1"/>
  <c r="I652" i="1"/>
  <c r="I653" i="1"/>
  <c r="I654" i="1"/>
  <c r="I655" i="1"/>
  <c r="I656" i="1"/>
  <c r="I657" i="1"/>
  <c r="I659" i="1"/>
  <c r="I660" i="1"/>
  <c r="I661" i="1"/>
  <c r="I789" i="1"/>
  <c r="I663" i="1"/>
  <c r="I664" i="1"/>
  <c r="I665" i="1"/>
  <c r="I666" i="1"/>
  <c r="I667" i="1"/>
  <c r="I668" i="1"/>
  <c r="I669" i="1"/>
  <c r="I794" i="1"/>
  <c r="I671" i="1"/>
  <c r="I672" i="1"/>
  <c r="I673" i="1"/>
  <c r="I795" i="1"/>
  <c r="I675" i="1"/>
  <c r="I807" i="1"/>
  <c r="I900" i="1"/>
  <c r="I679" i="1"/>
  <c r="I681" i="1"/>
  <c r="I683" i="1"/>
  <c r="I684" i="1"/>
  <c r="I685" i="1"/>
  <c r="I686" i="1"/>
  <c r="I687" i="1"/>
  <c r="I688" i="1"/>
  <c r="I1001" i="1"/>
  <c r="I694" i="1"/>
  <c r="I695" i="1"/>
  <c r="I696" i="1"/>
  <c r="I697" i="1"/>
  <c r="I698" i="1"/>
  <c r="I699" i="1"/>
  <c r="I1002" i="1"/>
  <c r="I701" i="1"/>
  <c r="I706" i="1"/>
  <c r="I708" i="1"/>
  <c r="I1025" i="1"/>
  <c r="I710" i="1"/>
  <c r="I711" i="1"/>
  <c r="I1026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1027" i="1"/>
  <c r="I727" i="1"/>
  <c r="I728" i="1"/>
  <c r="I729" i="1"/>
  <c r="I730" i="1"/>
  <c r="I731" i="1"/>
  <c r="I734" i="1"/>
  <c r="I1028" i="1"/>
  <c r="I736" i="1"/>
  <c r="I737" i="1"/>
  <c r="I738" i="1"/>
  <c r="I1069" i="1"/>
  <c r="I1081" i="1"/>
  <c r="I743" i="1"/>
  <c r="I744" i="1"/>
  <c r="I746" i="1"/>
  <c r="I747" i="1"/>
  <c r="I748" i="1"/>
  <c r="I749" i="1"/>
  <c r="I750" i="1"/>
  <c r="I1090" i="1"/>
  <c r="I1106" i="1"/>
  <c r="I1121" i="1"/>
  <c r="I755" i="1"/>
  <c r="I756" i="1"/>
  <c r="I757" i="1"/>
  <c r="I758" i="1"/>
  <c r="I1129" i="1"/>
  <c r="I759" i="1"/>
  <c r="I760" i="1"/>
  <c r="I1138" i="1"/>
  <c r="I763" i="1"/>
  <c r="I764" i="1"/>
  <c r="I765" i="1"/>
  <c r="I767" i="1"/>
  <c r="I769" i="1"/>
  <c r="I770" i="1"/>
  <c r="I771" i="1"/>
  <c r="I772" i="1"/>
  <c r="I773" i="1"/>
  <c r="I774" i="1"/>
  <c r="I775" i="1"/>
  <c r="I776" i="1"/>
  <c r="I777" i="1"/>
  <c r="I778" i="1"/>
  <c r="I782" i="1"/>
  <c r="I1139" i="1"/>
  <c r="I785" i="1"/>
  <c r="I1140" i="1"/>
  <c r="I1141" i="1"/>
  <c r="I1144" i="1"/>
  <c r="I790" i="1"/>
  <c r="I791" i="1"/>
  <c r="I792" i="1"/>
  <c r="I793" i="1"/>
  <c r="I1145" i="1"/>
  <c r="I1146" i="1"/>
  <c r="I797" i="1"/>
  <c r="I798" i="1"/>
  <c r="I799" i="1"/>
  <c r="I800" i="1"/>
  <c r="I801" i="1"/>
  <c r="I802" i="1"/>
  <c r="I803" i="1"/>
  <c r="I804" i="1"/>
  <c r="I805" i="1"/>
  <c r="I1147" i="1"/>
  <c r="I808" i="1"/>
  <c r="I809" i="1"/>
  <c r="I811" i="1"/>
  <c r="I812" i="1"/>
  <c r="I814" i="1"/>
  <c r="I815" i="1"/>
  <c r="I816" i="1"/>
  <c r="I818" i="1"/>
  <c r="I819" i="1"/>
  <c r="I820" i="1"/>
  <c r="I821" i="1"/>
  <c r="I822" i="1"/>
  <c r="I823" i="1"/>
  <c r="I824" i="1"/>
  <c r="I827" i="1"/>
  <c r="I828" i="1"/>
  <c r="I829" i="1"/>
  <c r="I831" i="1"/>
  <c r="I832" i="1"/>
  <c r="I833" i="1"/>
  <c r="I835" i="1"/>
  <c r="I836" i="1"/>
  <c r="I838" i="1"/>
  <c r="I841" i="1"/>
  <c r="I884" i="1"/>
  <c r="I885" i="1"/>
  <c r="I886" i="1"/>
  <c r="I887" i="1"/>
  <c r="I888" i="1"/>
  <c r="I889" i="1"/>
  <c r="I890" i="1"/>
  <c r="I891" i="1"/>
  <c r="I892" i="1"/>
  <c r="I895" i="1"/>
  <c r="I896" i="1"/>
  <c r="I897" i="1"/>
  <c r="I898" i="1"/>
  <c r="I1164" i="1"/>
  <c r="I901" i="1"/>
  <c r="I902" i="1"/>
  <c r="I903" i="1"/>
  <c r="I904" i="1"/>
  <c r="I905" i="1"/>
  <c r="I906" i="1"/>
  <c r="I907" i="1"/>
  <c r="I910" i="1"/>
  <c r="I911" i="1"/>
  <c r="I2135" i="1"/>
  <c r="I919" i="1"/>
  <c r="I920" i="1"/>
  <c r="I921" i="1"/>
  <c r="I922" i="1"/>
  <c r="I924" i="1"/>
  <c r="I925" i="1"/>
  <c r="I926" i="1"/>
  <c r="I928" i="1"/>
  <c r="I929" i="1"/>
  <c r="I930" i="1"/>
  <c r="I932" i="1"/>
  <c r="I933" i="1"/>
  <c r="I934" i="1"/>
  <c r="I935" i="1"/>
  <c r="I936" i="1"/>
  <c r="I938" i="1"/>
  <c r="I939" i="1"/>
  <c r="I940" i="1"/>
  <c r="I941" i="1"/>
  <c r="I942" i="1"/>
  <c r="I944" i="1"/>
  <c r="I945" i="1"/>
  <c r="I947" i="1"/>
  <c r="I948" i="1"/>
  <c r="I949" i="1"/>
  <c r="I951" i="1"/>
  <c r="I952" i="1"/>
  <c r="I1165" i="1"/>
  <c r="I1166" i="1"/>
  <c r="I958" i="1"/>
  <c r="I1230" i="1"/>
  <c r="I962" i="1"/>
  <c r="I963" i="1"/>
  <c r="I964" i="1"/>
  <c r="I965" i="1"/>
  <c r="I968" i="1"/>
  <c r="I969" i="1"/>
  <c r="I970" i="1"/>
  <c r="I973" i="1"/>
  <c r="I974" i="1"/>
  <c r="I975" i="1"/>
  <c r="I976" i="1"/>
  <c r="I1243" i="1"/>
  <c r="I1245" i="1"/>
  <c r="I1246" i="1"/>
  <c r="I985" i="1"/>
  <c r="I993" i="1"/>
  <c r="I994" i="1"/>
  <c r="I995" i="1"/>
  <c r="I996" i="1"/>
  <c r="I997" i="1"/>
  <c r="I998" i="1"/>
  <c r="I999" i="1"/>
  <c r="I1000" i="1"/>
  <c r="I1247" i="1"/>
  <c r="I1248" i="1"/>
  <c r="I1006" i="1"/>
  <c r="I1007" i="1"/>
  <c r="I1008" i="1"/>
  <c r="I1009" i="1"/>
  <c r="I1010" i="1"/>
  <c r="I1011" i="1"/>
  <c r="I1014" i="1"/>
  <c r="I1015" i="1"/>
  <c r="I1017" i="1"/>
  <c r="I1018" i="1"/>
  <c r="I1019" i="1"/>
  <c r="I1020" i="1"/>
  <c r="I1021" i="1"/>
  <c r="I1022" i="1"/>
  <c r="I1023" i="1"/>
  <c r="I1344" i="1"/>
  <c r="I1356" i="1"/>
  <c r="I1032" i="1"/>
  <c r="I1033" i="1"/>
  <c r="I1037" i="1"/>
  <c r="I1038" i="1"/>
  <c r="I1039" i="1"/>
  <c r="I1040" i="1"/>
  <c r="I1041" i="1"/>
  <c r="I1042" i="1"/>
  <c r="I1043" i="1"/>
  <c r="I1046" i="1"/>
  <c r="I1049" i="1"/>
  <c r="I1050" i="1"/>
  <c r="I1366" i="1"/>
  <c r="I1055" i="1"/>
  <c r="I1056" i="1"/>
  <c r="I1059" i="1"/>
  <c r="I1060" i="1"/>
  <c r="I1061" i="1"/>
  <c r="I1063" i="1"/>
  <c r="I1064" i="1"/>
  <c r="I1065" i="1"/>
  <c r="I1066" i="1"/>
  <c r="I1067" i="1"/>
  <c r="I1373" i="1"/>
  <c r="I1070" i="1"/>
  <c r="I1072" i="1"/>
  <c r="I1073" i="1"/>
  <c r="I1075" i="1"/>
  <c r="I1076" i="1"/>
  <c r="I1077" i="1"/>
  <c r="I1078" i="1"/>
  <c r="I1079" i="1"/>
  <c r="I1080" i="1"/>
  <c r="I1378" i="1"/>
  <c r="I1082" i="1"/>
  <c r="I1086" i="1"/>
  <c r="I1087" i="1"/>
  <c r="I1088" i="1"/>
  <c r="I1089" i="1"/>
  <c r="I1386" i="1"/>
  <c r="I1092" i="1"/>
  <c r="I1093" i="1"/>
  <c r="I1095" i="1"/>
  <c r="I1096" i="1"/>
  <c r="I1097" i="1"/>
  <c r="I1098" i="1"/>
  <c r="I1099" i="1"/>
  <c r="I1100" i="1"/>
  <c r="I1101" i="1"/>
  <c r="I1102" i="1"/>
  <c r="I1103" i="1"/>
  <c r="I1104" i="1"/>
  <c r="I458" i="1"/>
  <c r="I1107" i="1"/>
  <c r="I1108" i="1"/>
  <c r="I1109" i="1"/>
  <c r="I1110" i="1"/>
  <c r="I1112" i="1"/>
  <c r="I1114" i="1"/>
  <c r="I1115" i="1"/>
  <c r="I1127" i="1"/>
  <c r="I1126" i="1"/>
  <c r="I1251" i="1"/>
  <c r="I1390" i="1"/>
  <c r="I1122" i="1"/>
  <c r="I1123" i="1"/>
  <c r="I1124" i="1"/>
  <c r="I1125" i="1"/>
  <c r="I1397" i="1"/>
  <c r="I2111" i="1"/>
  <c r="I1128" i="1"/>
  <c r="I1415" i="1"/>
  <c r="I1416" i="1"/>
  <c r="I2114" i="1"/>
  <c r="I1135" i="1"/>
  <c r="I1136" i="1"/>
  <c r="I1137" i="1"/>
  <c r="I1149" i="1"/>
  <c r="I1150" i="1"/>
  <c r="I1151" i="1"/>
  <c r="I1154" i="1"/>
  <c r="I1155" i="1"/>
  <c r="I1156" i="1"/>
  <c r="I1157" i="1"/>
  <c r="I1158" i="1"/>
  <c r="I1159" i="1"/>
  <c r="I1160" i="1"/>
  <c r="I1161" i="1"/>
  <c r="I1162" i="1"/>
  <c r="I1163" i="1"/>
  <c r="I1560" i="1"/>
  <c r="I1561" i="1"/>
  <c r="I1168" i="1"/>
  <c r="I1169" i="1"/>
  <c r="I1170" i="1"/>
  <c r="I1171" i="1"/>
  <c r="I1172" i="1"/>
  <c r="I1173" i="1"/>
  <c r="I1178" i="1"/>
  <c r="I1179" i="1"/>
  <c r="I1180" i="1"/>
  <c r="I1181" i="1"/>
  <c r="I1182" i="1"/>
  <c r="I1184" i="1"/>
  <c r="I1185" i="1"/>
  <c r="I1186" i="1"/>
  <c r="I1187" i="1"/>
  <c r="I1188" i="1"/>
  <c r="I1194" i="1"/>
  <c r="I1195" i="1"/>
  <c r="I1196" i="1"/>
  <c r="I1197" i="1"/>
  <c r="I1198" i="1"/>
  <c r="I1199" i="1"/>
  <c r="I1200" i="1"/>
  <c r="I1201" i="1"/>
  <c r="I1204" i="1"/>
  <c r="I1205" i="1"/>
  <c r="I1206" i="1"/>
  <c r="I1207" i="1"/>
  <c r="I1208" i="1"/>
  <c r="I1209" i="1"/>
  <c r="I1210" i="1"/>
  <c r="I1562" i="1"/>
  <c r="I1212" i="1"/>
  <c r="I1213" i="1"/>
  <c r="I1214" i="1"/>
  <c r="I1216" i="1"/>
  <c r="I1217" i="1"/>
  <c r="I1219" i="1"/>
  <c r="I1220" i="1"/>
  <c r="I1221" i="1"/>
  <c r="I1222" i="1"/>
  <c r="I1223" i="1"/>
  <c r="I1224" i="1"/>
  <c r="I1225" i="1"/>
  <c r="I1226" i="1"/>
  <c r="I1227" i="1"/>
  <c r="I1228" i="1"/>
  <c r="I1229" i="1"/>
  <c r="I1565" i="1"/>
  <c r="I1232" i="1"/>
  <c r="I1234" i="1"/>
  <c r="I1235" i="1"/>
  <c r="I1236" i="1"/>
  <c r="I1237" i="1"/>
  <c r="I1238" i="1"/>
  <c r="I1240" i="1"/>
  <c r="I1567" i="1"/>
  <c r="I912" i="1"/>
  <c r="I2120" i="1"/>
  <c r="I2119" i="1"/>
  <c r="I2121" i="1"/>
  <c r="I982" i="1"/>
  <c r="I1275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8" i="1"/>
  <c r="I1340" i="1"/>
  <c r="I1341" i="1"/>
  <c r="I1342" i="1"/>
  <c r="I1343" i="1"/>
  <c r="I1570" i="1"/>
  <c r="I1345" i="1"/>
  <c r="I1346" i="1"/>
  <c r="I1347" i="1"/>
  <c r="I1348" i="1"/>
  <c r="I1349" i="1"/>
  <c r="I1350" i="1"/>
  <c r="I1572" i="1"/>
  <c r="I1354" i="1"/>
  <c r="I1355" i="1"/>
  <c r="I1573" i="1"/>
  <c r="I1357" i="1"/>
  <c r="I1358" i="1"/>
  <c r="I1575" i="1"/>
  <c r="I1578" i="1"/>
  <c r="I1361" i="1"/>
  <c r="I1362" i="1"/>
  <c r="I1364" i="1"/>
  <c r="I1365" i="1"/>
  <c r="I1559" i="1"/>
  <c r="I1368" i="1"/>
  <c r="I1371" i="1"/>
  <c r="I1372" i="1"/>
  <c r="I1563" i="1"/>
  <c r="I1374" i="1"/>
  <c r="I1375" i="1"/>
  <c r="I1376" i="1"/>
  <c r="I1377" i="1"/>
  <c r="I1564" i="1"/>
  <c r="I1566" i="1"/>
  <c r="I1388" i="1"/>
  <c r="I1389" i="1"/>
  <c r="I1568" i="1"/>
  <c r="I1393" i="1"/>
  <c r="I1394" i="1"/>
  <c r="I1395" i="1"/>
  <c r="I1396" i="1"/>
  <c r="I1569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571" i="1"/>
  <c r="I1574" i="1"/>
  <c r="I1417" i="1"/>
  <c r="I1418" i="1"/>
  <c r="I1419" i="1"/>
  <c r="I1420" i="1"/>
  <c r="I1421" i="1"/>
  <c r="I1422" i="1"/>
  <c r="I1423" i="1"/>
  <c r="I1424" i="1"/>
  <c r="I1425" i="1"/>
  <c r="I1427" i="1"/>
  <c r="I1428" i="1"/>
  <c r="I1430" i="1"/>
  <c r="I1431" i="1"/>
  <c r="I1434" i="1"/>
  <c r="I1435" i="1"/>
  <c r="I1436" i="1"/>
  <c r="I1437" i="1"/>
  <c r="I1438" i="1"/>
  <c r="I1439" i="1"/>
  <c r="I1440" i="1"/>
  <c r="I1441" i="1"/>
  <c r="I1442" i="1"/>
  <c r="I1444" i="1"/>
  <c r="I1445" i="1"/>
  <c r="I1446" i="1"/>
  <c r="I1448" i="1"/>
  <c r="I1461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76" i="1"/>
  <c r="I1577" i="1"/>
  <c r="I1579" i="1"/>
  <c r="I1580" i="1"/>
  <c r="I1582" i="1"/>
  <c r="I1631" i="1"/>
  <c r="I1647" i="1"/>
  <c r="I1654" i="1"/>
  <c r="I1781" i="1"/>
  <c r="I1861" i="1"/>
  <c r="I1874" i="1"/>
  <c r="I1923" i="1"/>
  <c r="I1963" i="1"/>
  <c r="I2175" i="1"/>
  <c r="I2185" i="1"/>
  <c r="I1997" i="1"/>
  <c r="I503" i="1"/>
  <c r="I219" i="1"/>
  <c r="I220" i="1"/>
  <c r="I225" i="1"/>
  <c r="I238" i="1"/>
  <c r="I1581" i="1"/>
  <c r="I24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30" i="1"/>
  <c r="I244" i="1"/>
  <c r="I1632" i="1"/>
  <c r="I1633" i="1"/>
  <c r="I1634" i="1"/>
  <c r="I1635" i="1"/>
  <c r="I1636" i="1"/>
  <c r="I1640" i="1"/>
  <c r="I1641" i="1"/>
  <c r="I1642" i="1"/>
  <c r="I1643" i="1"/>
  <c r="I1644" i="1"/>
  <c r="I1645" i="1"/>
  <c r="I1646" i="1"/>
  <c r="I246" i="1"/>
  <c r="I248" i="1"/>
  <c r="I486" i="1"/>
  <c r="I250" i="1"/>
  <c r="I1655" i="1"/>
  <c r="I1656" i="1"/>
  <c r="I1657" i="1"/>
  <c r="I1658" i="1"/>
  <c r="I1659" i="1"/>
  <c r="I413" i="1"/>
  <c r="I414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2" i="1"/>
  <c r="I1703" i="1"/>
  <c r="I1704" i="1"/>
  <c r="I1705" i="1"/>
  <c r="I1706" i="1"/>
  <c r="I1707" i="1"/>
  <c r="I1708" i="1"/>
  <c r="I1709" i="1"/>
  <c r="I1710" i="1"/>
  <c r="I1711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252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254" i="1"/>
  <c r="I415" i="1"/>
  <c r="I421" i="1"/>
  <c r="I419" i="1"/>
  <c r="I420" i="1"/>
  <c r="I256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258" i="1"/>
  <c r="I1851" i="1"/>
  <c r="I1853" i="1"/>
  <c r="I1855" i="1"/>
  <c r="I1856" i="1"/>
  <c r="I1857" i="1"/>
  <c r="I1858" i="1"/>
  <c r="I1860" i="1"/>
  <c r="I260" i="1"/>
  <c r="I1862" i="1"/>
  <c r="I1863" i="1"/>
  <c r="I1864" i="1"/>
  <c r="I1865" i="1"/>
  <c r="I1866" i="1"/>
  <c r="I1867" i="1"/>
  <c r="I1868" i="1"/>
  <c r="I1869" i="1"/>
  <c r="I1870" i="1"/>
  <c r="I1871" i="1"/>
  <c r="I1872" i="1"/>
  <c r="I243" i="1"/>
  <c r="I1875" i="1"/>
  <c r="I1876" i="1"/>
  <c r="I1877" i="1"/>
  <c r="I1878" i="1"/>
  <c r="I1879" i="1"/>
  <c r="I1880" i="1"/>
  <c r="I1881" i="1"/>
  <c r="I509" i="1"/>
  <c r="I424" i="1"/>
  <c r="I245" i="1"/>
  <c r="I247" i="1"/>
  <c r="I1886" i="1"/>
  <c r="I1887" i="1"/>
  <c r="I1888" i="1"/>
  <c r="I1889" i="1"/>
  <c r="I1890" i="1"/>
  <c r="I434" i="1"/>
  <c r="I431" i="1"/>
  <c r="I432" i="1"/>
  <c r="I433" i="1"/>
  <c r="I249" i="1"/>
  <c r="I251" i="1"/>
  <c r="I1900" i="1"/>
  <c r="I1901" i="1"/>
  <c r="I1902" i="1"/>
  <c r="I1903" i="1"/>
  <c r="I1904" i="1"/>
  <c r="I1910" i="1"/>
  <c r="I1911" i="1"/>
  <c r="I1912" i="1"/>
  <c r="I1913" i="1"/>
  <c r="I1914" i="1"/>
  <c r="I253" i="1"/>
  <c r="I255" i="1"/>
  <c r="I257" i="1"/>
  <c r="I259" i="1"/>
  <c r="I261" i="1"/>
  <c r="I263" i="1"/>
  <c r="I265" i="1"/>
  <c r="I1949" i="1"/>
  <c r="I1950" i="1"/>
  <c r="I268" i="1"/>
  <c r="I1964" i="1"/>
  <c r="I270" i="1"/>
  <c r="I1966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3" i="1"/>
  <c r="I2104" i="1"/>
  <c r="I2105" i="1"/>
  <c r="I2106" i="1"/>
  <c r="I2107" i="1"/>
  <c r="I1133" i="1"/>
  <c r="I2109" i="1"/>
  <c r="I2110" i="1"/>
  <c r="I1131" i="1"/>
  <c r="I2112" i="1"/>
  <c r="I2113" i="1"/>
  <c r="I959" i="1"/>
  <c r="I2115" i="1"/>
  <c r="I2116" i="1"/>
  <c r="I955" i="1"/>
  <c r="I2108" i="1"/>
  <c r="I274" i="1"/>
  <c r="I1117" i="1"/>
  <c r="I2118" i="1"/>
  <c r="I2117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984" i="1"/>
  <c r="I2136" i="1"/>
  <c r="I2137" i="1"/>
  <c r="I2138" i="1"/>
  <c r="I2139" i="1"/>
  <c r="I2140" i="1"/>
  <c r="I2141" i="1"/>
  <c r="I2143" i="1"/>
  <c r="I2144" i="1"/>
  <c r="I2145" i="1"/>
  <c r="I2146" i="1"/>
  <c r="I2147" i="1"/>
  <c r="I2148" i="1"/>
  <c r="I2149" i="1"/>
  <c r="I2150" i="1"/>
  <c r="I2151" i="1"/>
  <c r="I2152" i="1"/>
  <c r="I2153" i="1"/>
  <c r="I2155" i="1"/>
  <c r="I2156" i="1"/>
  <c r="I2157" i="1"/>
  <c r="I2158" i="1"/>
  <c r="I2159" i="1"/>
  <c r="I2160" i="1"/>
  <c r="I2161" i="1"/>
  <c r="I2162" i="1"/>
  <c r="I2163" i="1"/>
  <c r="I2170" i="1"/>
  <c r="I2171" i="1"/>
  <c r="I2173" i="1"/>
  <c r="I2174" i="1"/>
  <c r="I276" i="1"/>
  <c r="I2176" i="1"/>
  <c r="I2177" i="1"/>
  <c r="I2178" i="1"/>
  <c r="I2180" i="1"/>
  <c r="I2183" i="1"/>
  <c r="I2184" i="1"/>
  <c r="I278" i="1"/>
  <c r="I2186" i="1"/>
  <c r="I2188" i="1"/>
  <c r="I2189" i="1"/>
  <c r="I2190" i="1"/>
  <c r="I2191" i="1"/>
  <c r="I2193" i="1"/>
  <c r="I2198" i="1"/>
  <c r="I2201" i="1"/>
  <c r="I2202" i="1"/>
  <c r="I2228" i="1"/>
  <c r="I2234" i="1"/>
  <c r="I2237" i="1"/>
  <c r="I2238" i="1"/>
  <c r="I2239" i="1"/>
  <c r="I2240" i="1"/>
  <c r="I2241" i="1"/>
  <c r="I2242" i="1"/>
  <c r="I2243" i="1"/>
  <c r="I2244" i="1"/>
  <c r="I2247" i="1"/>
  <c r="I2248" i="1"/>
  <c r="I282" i="1"/>
  <c r="I284" i="1"/>
  <c r="I2251" i="1"/>
  <c r="I2252" i="1"/>
  <c r="I2253" i="1"/>
  <c r="I2254" i="1"/>
  <c r="I291" i="1"/>
  <c r="I2256" i="1"/>
  <c r="I2258" i="1"/>
  <c r="I2259" i="1"/>
  <c r="I2261" i="1"/>
  <c r="I2263" i="1"/>
  <c r="I2268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10" i="1"/>
  <c r="I314" i="1"/>
  <c r="I316" i="1"/>
  <c r="I320" i="1"/>
  <c r="I325" i="1"/>
  <c r="I327" i="1"/>
  <c r="I328" i="1"/>
  <c r="I329" i="1"/>
  <c r="I331" i="1"/>
  <c r="I333" i="1"/>
  <c r="I330" i="1"/>
  <c r="I332" i="1"/>
  <c r="I454" i="1"/>
  <c r="I484" i="1"/>
  <c r="I436" i="1"/>
  <c r="I459" i="1"/>
  <c r="I493" i="1"/>
  <c r="I494" i="1"/>
  <c r="I495" i="1"/>
  <c r="I496" i="1"/>
  <c r="I497" i="1"/>
  <c r="I460" i="1"/>
  <c r="I467" i="1"/>
  <c r="I1653" i="1"/>
  <c r="I2262" i="1"/>
  <c r="I473" i="1"/>
  <c r="I475" i="1"/>
  <c r="I1823" i="1"/>
  <c r="I1824" i="1"/>
  <c r="I478" i="1"/>
  <c r="I1825" i="1"/>
  <c r="I1898" i="1"/>
  <c r="I1826" i="1"/>
  <c r="I483" i="1"/>
  <c r="I485" i="1"/>
  <c r="I1827" i="1"/>
  <c r="I1891" i="1"/>
  <c r="I488" i="1"/>
  <c r="I491" i="1"/>
  <c r="I492" i="1"/>
  <c r="I498" i="1"/>
  <c r="I500" i="1"/>
  <c r="I501" i="1"/>
  <c r="I504" i="1"/>
  <c r="I511" i="1"/>
  <c r="I512" i="1"/>
  <c r="I507" i="1"/>
  <c r="I508" i="1"/>
  <c r="I510" i="1"/>
  <c r="I514" i="1"/>
  <c r="I518" i="1"/>
  <c r="I519" i="1"/>
  <c r="I516" i="1"/>
  <c r="I517" i="1"/>
  <c r="I520" i="1"/>
  <c r="I534" i="1"/>
  <c r="I566" i="1"/>
  <c r="I536" i="1"/>
  <c r="I609" i="1"/>
  <c r="I545" i="1"/>
  <c r="I549" i="1"/>
  <c r="I597" i="1"/>
  <c r="I612" i="1"/>
  <c r="I618" i="1"/>
  <c r="I622" i="1"/>
  <c r="I623" i="1"/>
  <c r="I732" i="1"/>
  <c r="I553" i="1"/>
  <c r="I2154" i="1"/>
  <c r="I588" i="1"/>
  <c r="I753" i="1"/>
  <c r="I768" i="1"/>
  <c r="I563" i="1"/>
  <c r="I569" i="1"/>
  <c r="I571" i="1"/>
  <c r="I589" i="1"/>
  <c r="I642" i="1"/>
  <c r="I643" i="1"/>
  <c r="I658" i="1"/>
  <c r="I733" i="1"/>
  <c r="I745" i="1"/>
  <c r="I639" i="1"/>
  <c r="I600" i="1"/>
  <c r="I869" i="1"/>
  <c r="I761" i="1"/>
  <c r="I616" i="1"/>
  <c r="I570" i="1"/>
  <c r="I621" i="1"/>
  <c r="I627" i="1"/>
  <c r="I640" i="1"/>
  <c r="I650" i="1"/>
  <c r="I678" i="1"/>
  <c r="I682" i="1"/>
  <c r="I689" i="1"/>
  <c r="I692" i="1"/>
  <c r="I702" i="1"/>
  <c r="I703" i="1"/>
  <c r="I705" i="1"/>
  <c r="I707" i="1"/>
  <c r="I739" i="1"/>
  <c r="I766" i="1"/>
  <c r="I779" i="1"/>
  <c r="I780" i="1"/>
  <c r="I796" i="1"/>
  <c r="I806" i="1"/>
  <c r="I810" i="1"/>
  <c r="I813" i="1"/>
  <c r="I817" i="1"/>
  <c r="I825" i="1"/>
  <c r="I826" i="1"/>
  <c r="I837" i="1"/>
  <c r="I839" i="1"/>
  <c r="I842" i="1"/>
  <c r="I844" i="1"/>
  <c r="I846" i="1"/>
  <c r="I848" i="1"/>
  <c r="I850" i="1"/>
  <c r="I852" i="1"/>
  <c r="I857" i="1"/>
  <c r="I858" i="1"/>
  <c r="I859" i="1"/>
  <c r="I862" i="1"/>
  <c r="I864" i="1"/>
  <c r="I865" i="1"/>
  <c r="I1116" i="1"/>
  <c r="I867" i="1"/>
  <c r="I868" i="1"/>
  <c r="I870" i="1"/>
  <c r="I871" i="1"/>
  <c r="I872" i="1"/>
  <c r="I873" i="1"/>
  <c r="I874" i="1"/>
  <c r="I875" i="1"/>
  <c r="I876" i="1"/>
  <c r="I877" i="1"/>
  <c r="I879" i="1"/>
  <c r="I880" i="1"/>
  <c r="I893" i="1"/>
  <c r="I894" i="1"/>
  <c r="I899" i="1"/>
  <c r="I908" i="1"/>
  <c r="I913" i="1"/>
  <c r="I923" i="1"/>
  <c r="I927" i="1"/>
  <c r="I931" i="1"/>
  <c r="I943" i="1"/>
  <c r="I946" i="1"/>
  <c r="I953" i="1"/>
  <c r="I950" i="1"/>
  <c r="I956" i="1"/>
  <c r="I961" i="1"/>
  <c r="I966" i="1"/>
  <c r="I971" i="1"/>
  <c r="I980" i="1"/>
  <c r="I986" i="1"/>
  <c r="I1120" i="1"/>
  <c r="I992" i="1"/>
  <c r="I1003" i="1"/>
  <c r="I1005" i="1"/>
  <c r="I1013" i="1"/>
  <c r="I1016" i="1"/>
  <c r="I1024" i="1"/>
  <c r="I1029" i="1"/>
  <c r="I1030" i="1"/>
  <c r="I1034" i="1"/>
  <c r="I1036" i="1"/>
  <c r="I1044" i="1"/>
  <c r="I1047" i="1"/>
  <c r="I1048" i="1"/>
  <c r="I1051" i="1"/>
  <c r="I1052" i="1"/>
  <c r="I1053" i="1"/>
  <c r="I1057" i="1"/>
  <c r="I1062" i="1"/>
  <c r="I1074" i="1"/>
  <c r="I1105" i="1"/>
  <c r="I1111" i="1"/>
  <c r="I1113" i="1"/>
  <c r="I1118" i="1"/>
  <c r="I1132" i="1"/>
  <c r="I1134" i="1"/>
  <c r="I1142" i="1"/>
  <c r="I1143" i="1"/>
  <c r="I1148" i="1"/>
  <c r="I1152" i="1"/>
  <c r="I1153" i="1"/>
  <c r="I1167" i="1"/>
  <c r="I1183" i="1"/>
  <c r="I1191" i="1"/>
  <c r="I1192" i="1"/>
  <c r="I1193" i="1"/>
  <c r="I1202" i="1"/>
  <c r="I1203" i="1"/>
  <c r="I1211" i="1"/>
  <c r="I1215" i="1"/>
  <c r="I1218" i="1"/>
  <c r="I1231" i="1"/>
  <c r="I1239" i="1"/>
  <c r="I1241" i="1"/>
  <c r="I1244" i="1"/>
  <c r="I1249" i="1"/>
  <c r="I1252" i="1"/>
  <c r="I1253" i="1"/>
  <c r="I1255" i="1"/>
  <c r="I1256" i="1"/>
  <c r="I1258" i="1"/>
  <c r="I1259" i="1"/>
  <c r="I1260" i="1"/>
  <c r="I1261" i="1"/>
  <c r="I1262" i="1"/>
  <c r="I1268" i="1"/>
  <c r="I1269" i="1"/>
  <c r="I1270" i="1"/>
  <c r="I1271" i="1"/>
  <c r="I1272" i="1"/>
  <c r="I1273" i="1"/>
  <c r="I1277" i="1"/>
  <c r="I2257" i="1"/>
  <c r="I2260" i="1"/>
  <c r="I457" i="1"/>
  <c r="I499" i="1"/>
  <c r="I1279" i="1"/>
  <c r="I1281" i="1"/>
  <c r="I1292" i="1"/>
  <c r="I1351" i="1"/>
  <c r="I1359" i="1"/>
  <c r="I1360" i="1"/>
  <c r="I1669" i="1"/>
  <c r="I1367" i="1"/>
  <c r="I1369" i="1"/>
  <c r="I1370" i="1"/>
  <c r="I1380" i="1"/>
  <c r="I1385" i="1"/>
  <c r="I1674" i="1"/>
  <c r="I1391" i="1"/>
  <c r="I1392" i="1"/>
  <c r="I1429" i="1"/>
  <c r="I1432" i="1"/>
  <c r="I1433" i="1"/>
  <c r="I1447" i="1"/>
  <c r="I1449" i="1"/>
  <c r="I1451" i="1"/>
  <c r="I1454" i="1"/>
  <c r="I1457" i="1"/>
  <c r="I309" i="1"/>
  <c r="I1460" i="1"/>
  <c r="I312" i="1"/>
  <c r="I313" i="1"/>
  <c r="I1466" i="1"/>
  <c r="I1470" i="1"/>
  <c r="I1472" i="1"/>
  <c r="I318" i="1"/>
  <c r="I1474" i="1"/>
  <c r="I1475" i="1"/>
  <c r="I1476" i="1"/>
  <c r="I1477" i="1"/>
  <c r="I2266" i="1"/>
  <c r="I1250" i="1"/>
  <c r="I1443" i="1"/>
  <c r="I1450" i="1"/>
  <c r="I1452" i="1"/>
  <c r="I1453" i="1"/>
  <c r="I1455" i="1"/>
  <c r="I319" i="1"/>
  <c r="I1456" i="1"/>
  <c r="I1458" i="1"/>
  <c r="I1459" i="1"/>
  <c r="I1462" i="1"/>
  <c r="I1463" i="1"/>
  <c r="I1464" i="1"/>
  <c r="I1465" i="1"/>
  <c r="I1467" i="1"/>
  <c r="I1468" i="1"/>
  <c r="I1469" i="1"/>
  <c r="I1471" i="1"/>
  <c r="I1473" i="1"/>
  <c r="I1967" i="1"/>
  <c r="I1478" i="1"/>
  <c r="I1482" i="1"/>
  <c r="I1485" i="1"/>
  <c r="I1490" i="1"/>
  <c r="I1493" i="1"/>
  <c r="I1498" i="1"/>
  <c r="I1507" i="1"/>
  <c r="I1512" i="1"/>
  <c r="I1479" i="1"/>
  <c r="I1483" i="1"/>
  <c r="I1486" i="1"/>
  <c r="I1491" i="1"/>
  <c r="I1494" i="1"/>
  <c r="I1497" i="1"/>
  <c r="I1499" i="1"/>
  <c r="I1502" i="1"/>
  <c r="I1504" i="1"/>
  <c r="I1506" i="1"/>
  <c r="I1508" i="1"/>
  <c r="I1510" i="1"/>
  <c r="I322" i="1"/>
  <c r="I323" i="1"/>
  <c r="I324" i="1"/>
  <c r="I1513" i="1"/>
  <c r="I1488" i="1"/>
  <c r="I1480" i="1"/>
  <c r="I1484" i="1"/>
  <c r="I1487" i="1"/>
  <c r="I1492" i="1"/>
  <c r="I1495" i="1"/>
  <c r="I1496" i="1"/>
  <c r="I1500" i="1"/>
  <c r="I1501" i="1"/>
  <c r="I1503" i="1"/>
  <c r="I1505" i="1"/>
  <c r="I1509" i="1"/>
  <c r="I1511" i="1"/>
  <c r="I1514" i="1"/>
  <c r="I1489" i="1"/>
  <c r="I1481" i="1"/>
  <c r="I1629" i="1"/>
  <c r="I1638" i="1"/>
  <c r="I1648" i="1"/>
  <c r="I1649" i="1"/>
  <c r="I1651" i="1"/>
  <c r="I1652" i="1"/>
  <c r="I1660" i="1"/>
  <c r="I1662" i="1"/>
  <c r="I1663" i="1"/>
  <c r="I1665" i="1"/>
  <c r="I1666" i="1"/>
  <c r="I1668" i="1"/>
  <c r="I1670" i="1"/>
  <c r="I1982" i="1"/>
  <c r="I1671" i="1"/>
  <c r="I1672" i="1"/>
  <c r="I1675" i="1"/>
  <c r="I1852" i="1"/>
  <c r="I1676" i="1"/>
  <c r="I2374" i="1"/>
  <c r="I1678" i="1"/>
  <c r="I2373" i="1"/>
  <c r="I1680" i="1"/>
  <c r="I1681" i="1"/>
  <c r="I1682" i="1"/>
  <c r="I1700" i="1"/>
  <c r="I1983" i="1"/>
  <c r="I1859" i="1"/>
  <c r="I1701" i="1"/>
  <c r="I1821" i="1"/>
  <c r="I1822" i="1"/>
  <c r="I1242" i="1"/>
  <c r="I1254" i="1"/>
  <c r="I1257" i="1"/>
  <c r="I1989" i="1"/>
  <c r="I1854" i="1"/>
  <c r="I1820" i="1"/>
  <c r="I1995" i="1"/>
  <c r="I1873" i="1"/>
  <c r="I1893" i="1"/>
  <c r="I1899" i="1"/>
  <c r="I1894" i="1"/>
  <c r="I1892" i="1"/>
  <c r="I1895" i="1"/>
  <c r="I1897" i="1"/>
  <c r="I1190" i="1"/>
  <c r="I1915" i="1"/>
  <c r="I1916" i="1"/>
  <c r="I1918" i="1"/>
  <c r="I1920" i="1"/>
  <c r="I1926" i="1"/>
  <c r="I1925" i="1"/>
  <c r="I1927" i="1"/>
  <c r="I1930" i="1"/>
  <c r="I1931" i="1"/>
  <c r="I1932" i="1"/>
  <c r="I1933" i="1"/>
  <c r="I1934" i="1"/>
  <c r="I1994" i="1"/>
  <c r="I1935" i="1"/>
  <c r="I1917" i="1"/>
  <c r="I1987" i="1"/>
  <c r="I1936" i="1"/>
  <c r="I1947" i="1"/>
  <c r="I1945" i="1"/>
  <c r="I1943" i="1"/>
  <c r="I1951" i="1"/>
  <c r="I1965" i="1"/>
  <c r="I1969" i="1"/>
  <c r="I1970" i="1"/>
  <c r="I1971" i="1"/>
  <c r="I1972" i="1"/>
  <c r="I1921" i="1"/>
  <c r="I1922" i="1"/>
  <c r="I2249" i="1"/>
  <c r="I1973" i="1"/>
  <c r="I1974" i="1"/>
  <c r="I1975" i="1"/>
  <c r="I1976" i="1"/>
  <c r="I1977" i="1"/>
  <c r="I1978" i="1"/>
  <c r="I1980" i="1"/>
  <c r="I1981" i="1"/>
  <c r="I1984" i="1"/>
  <c r="I1985" i="1"/>
  <c r="I1929" i="1"/>
  <c r="I1986" i="1"/>
  <c r="I1990" i="1"/>
  <c r="I1992" i="1"/>
  <c r="I1996" i="1"/>
  <c r="I1998" i="1"/>
  <c r="I1999" i="1"/>
  <c r="I2000" i="1"/>
  <c r="I2245" i="1"/>
  <c r="I2246" i="1"/>
  <c r="I2001" i="1"/>
  <c r="I2002" i="1"/>
  <c r="I2013" i="1"/>
  <c r="I2014" i="1"/>
  <c r="I2102" i="1"/>
  <c r="I2142" i="1"/>
  <c r="I2192" i="1"/>
  <c r="I2165" i="1"/>
  <c r="I2166" i="1"/>
  <c r="I2167" i="1"/>
  <c r="I2168" i="1"/>
  <c r="I2179" i="1"/>
  <c r="I2181" i="1"/>
  <c r="I2182" i="1"/>
  <c r="I2194" i="1"/>
  <c r="I783" i="1"/>
  <c r="I2195" i="1"/>
  <c r="I515" i="1"/>
  <c r="I2196" i="1"/>
  <c r="I2200" i="1"/>
  <c r="I2203" i="1"/>
  <c r="I2207" i="1"/>
  <c r="I2210" i="1"/>
  <c r="I2211" i="1"/>
  <c r="I2212" i="1"/>
  <c r="I2213" i="1"/>
  <c r="I2214" i="1"/>
  <c r="I2215" i="1"/>
  <c r="I2216" i="1"/>
  <c r="I2217" i="1"/>
  <c r="I2218" i="1"/>
  <c r="I2219" i="1"/>
  <c r="I2220" i="1"/>
  <c r="I1650" i="1"/>
  <c r="I2221" i="1"/>
  <c r="I2222" i="1"/>
  <c r="I1991" i="1"/>
  <c r="I2223" i="1"/>
  <c r="I1993" i="1"/>
  <c r="I2224" i="1"/>
  <c r="I2225" i="1"/>
  <c r="I2012" i="1"/>
  <c r="I2226" i="1"/>
  <c r="I2003" i="1"/>
  <c r="I2004" i="1"/>
  <c r="I2005" i="1"/>
  <c r="I2006" i="1"/>
  <c r="I2227" i="1"/>
  <c r="I2231" i="1"/>
  <c r="I2255" i="1"/>
  <c r="I2264" i="1"/>
  <c r="I2233" i="1"/>
  <c r="I2235" i="1"/>
  <c r="I2007" i="1"/>
  <c r="I2009" i="1"/>
  <c r="I2010" i="1"/>
  <c r="I2265" i="1"/>
  <c r="I2236" i="1"/>
  <c r="I2205" i="1"/>
  <c r="I226" i="1"/>
  <c r="I2011" i="1"/>
  <c r="I2015" i="1"/>
  <c r="I690" i="1"/>
  <c r="I693" i="1"/>
  <c r="I1712" i="1"/>
  <c r="I830" i="1"/>
  <c r="I1012" i="1"/>
  <c r="I1426" i="1"/>
  <c r="K237" i="1"/>
  <c r="J237" i="1"/>
  <c r="J1387" i="1"/>
  <c r="J2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6" i="1"/>
  <c r="J230" i="1"/>
  <c r="J231" i="1"/>
  <c r="J232" i="1"/>
  <c r="J233" i="1"/>
  <c r="J234" i="1"/>
  <c r="J235" i="1"/>
  <c r="J236" i="1"/>
  <c r="J240" i="1"/>
  <c r="J241" i="1"/>
  <c r="J262" i="1"/>
  <c r="J264" i="1"/>
  <c r="J266" i="1"/>
  <c r="J267" i="1"/>
  <c r="J269" i="1"/>
  <c r="J271" i="1"/>
  <c r="J272" i="1"/>
  <c r="J273" i="1"/>
  <c r="J275" i="1"/>
  <c r="J277" i="1"/>
  <c r="J279" i="1"/>
  <c r="J281" i="1"/>
  <c r="J283" i="1"/>
  <c r="J285" i="1"/>
  <c r="J286" i="1"/>
  <c r="J287" i="1"/>
  <c r="J288" i="1"/>
  <c r="J289" i="1"/>
  <c r="J290" i="1"/>
  <c r="J364" i="1"/>
  <c r="J422" i="1"/>
  <c r="J430" i="1"/>
  <c r="J435" i="1"/>
  <c r="J423" i="1"/>
  <c r="J425" i="1"/>
  <c r="J477" i="1"/>
  <c r="J476" i="1"/>
  <c r="J489" i="1"/>
  <c r="J365" i="1"/>
  <c r="J366" i="1"/>
  <c r="J412" i="1"/>
  <c r="J1883" i="1"/>
  <c r="J1884" i="1"/>
  <c r="J1885" i="1"/>
  <c r="J787" i="1"/>
  <c r="J1896" i="1"/>
  <c r="J490" i="1"/>
  <c r="J535" i="1"/>
  <c r="J551" i="1"/>
  <c r="J552" i="1"/>
  <c r="J605" i="1"/>
  <c r="J648" i="1"/>
  <c r="J662" i="1"/>
  <c r="J670" i="1"/>
  <c r="J674" i="1"/>
  <c r="J676" i="1"/>
  <c r="J677" i="1"/>
  <c r="J680" i="1"/>
  <c r="J1850" i="1"/>
  <c r="J1661" i="1"/>
  <c r="J506" i="1"/>
  <c r="J1979" i="1"/>
  <c r="J437" i="1"/>
  <c r="J2250" i="1"/>
  <c r="J691" i="1"/>
  <c r="J700" i="1"/>
  <c r="J446" i="1"/>
  <c r="J438" i="1"/>
  <c r="J439" i="1"/>
  <c r="J440" i="1"/>
  <c r="J442" i="1"/>
  <c r="J447" i="1"/>
  <c r="J448" i="1"/>
  <c r="J449" i="1"/>
  <c r="J416" i="1"/>
  <c r="J417" i="1"/>
  <c r="J418" i="1"/>
  <c r="J427" i="1"/>
  <c r="J428" i="1"/>
  <c r="J429" i="1"/>
  <c r="J445" i="1"/>
  <c r="J443" i="1"/>
  <c r="J444" i="1"/>
  <c r="J450" i="1"/>
  <c r="J451" i="1"/>
  <c r="J709" i="1"/>
  <c r="J461" i="1"/>
  <c r="J462" i="1"/>
  <c r="J463" i="1"/>
  <c r="J464" i="1"/>
  <c r="J465" i="1"/>
  <c r="J466" i="1"/>
  <c r="J712" i="1"/>
  <c r="J468" i="1"/>
  <c r="J469" i="1"/>
  <c r="J470" i="1"/>
  <c r="J471" i="1"/>
  <c r="J472" i="1"/>
  <c r="J726" i="1"/>
  <c r="J735" i="1"/>
  <c r="J474" i="1"/>
  <c r="J740" i="1"/>
  <c r="J452" i="1"/>
  <c r="J453" i="1"/>
  <c r="J513" i="1"/>
  <c r="J479" i="1"/>
  <c r="J480" i="1"/>
  <c r="J481" i="1"/>
  <c r="J482" i="1"/>
  <c r="J741" i="1"/>
  <c r="J751" i="1"/>
  <c r="J455" i="1"/>
  <c r="J456" i="1"/>
  <c r="J487" i="1"/>
  <c r="J752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754" i="1"/>
  <c r="J537" i="1"/>
  <c r="J538" i="1"/>
  <c r="J539" i="1"/>
  <c r="J540" i="1"/>
  <c r="J541" i="1"/>
  <c r="J542" i="1"/>
  <c r="J543" i="1"/>
  <c r="J544" i="1"/>
  <c r="J547" i="1"/>
  <c r="J548" i="1"/>
  <c r="J550" i="1"/>
  <c r="J2164" i="1"/>
  <c r="J762" i="1"/>
  <c r="J555" i="1"/>
  <c r="J556" i="1"/>
  <c r="J557" i="1"/>
  <c r="J558" i="1"/>
  <c r="J559" i="1"/>
  <c r="J560" i="1"/>
  <c r="J561" i="1"/>
  <c r="J562" i="1"/>
  <c r="J564" i="1"/>
  <c r="J565" i="1"/>
  <c r="J567" i="1"/>
  <c r="J568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90" i="1"/>
  <c r="J591" i="1"/>
  <c r="J592" i="1"/>
  <c r="J593" i="1"/>
  <c r="J594" i="1"/>
  <c r="J595" i="1"/>
  <c r="J596" i="1"/>
  <c r="J598" i="1"/>
  <c r="J599" i="1"/>
  <c r="J784" i="1"/>
  <c r="J601" i="1"/>
  <c r="J602" i="1"/>
  <c r="J603" i="1"/>
  <c r="J604" i="1"/>
  <c r="J606" i="1"/>
  <c r="J607" i="1"/>
  <c r="J608" i="1"/>
  <c r="J610" i="1"/>
  <c r="J611" i="1"/>
  <c r="J613" i="1"/>
  <c r="J614" i="1"/>
  <c r="J615" i="1"/>
  <c r="J617" i="1"/>
  <c r="J619" i="1"/>
  <c r="J620" i="1"/>
  <c r="J624" i="1"/>
  <c r="J625" i="1"/>
  <c r="J626" i="1"/>
  <c r="J629" i="1"/>
  <c r="J630" i="1"/>
  <c r="J631" i="1"/>
  <c r="J632" i="1"/>
  <c r="J633" i="1"/>
  <c r="J634" i="1"/>
  <c r="J635" i="1"/>
  <c r="J636" i="1"/>
  <c r="J637" i="1"/>
  <c r="J638" i="1"/>
  <c r="J641" i="1"/>
  <c r="J644" i="1"/>
  <c r="J645" i="1"/>
  <c r="J646" i="1"/>
  <c r="J647" i="1"/>
  <c r="J788" i="1"/>
  <c r="J649" i="1"/>
  <c r="J651" i="1"/>
  <c r="J652" i="1"/>
  <c r="J653" i="1"/>
  <c r="J654" i="1"/>
  <c r="J655" i="1"/>
  <c r="J656" i="1"/>
  <c r="J657" i="1"/>
  <c r="J659" i="1"/>
  <c r="J660" i="1"/>
  <c r="J661" i="1"/>
  <c r="J789" i="1"/>
  <c r="J663" i="1"/>
  <c r="J664" i="1"/>
  <c r="J665" i="1"/>
  <c r="J666" i="1"/>
  <c r="J667" i="1"/>
  <c r="J668" i="1"/>
  <c r="J669" i="1"/>
  <c r="J794" i="1"/>
  <c r="J671" i="1"/>
  <c r="J672" i="1"/>
  <c r="J673" i="1"/>
  <c r="J795" i="1"/>
  <c r="J675" i="1"/>
  <c r="J807" i="1"/>
  <c r="J900" i="1"/>
  <c r="J679" i="1"/>
  <c r="J681" i="1"/>
  <c r="J683" i="1"/>
  <c r="J684" i="1"/>
  <c r="J685" i="1"/>
  <c r="J686" i="1"/>
  <c r="J687" i="1"/>
  <c r="J688" i="1"/>
  <c r="J1001" i="1"/>
  <c r="J694" i="1"/>
  <c r="J695" i="1"/>
  <c r="J696" i="1"/>
  <c r="J697" i="1"/>
  <c r="J698" i="1"/>
  <c r="J699" i="1"/>
  <c r="J1002" i="1"/>
  <c r="J701" i="1"/>
  <c r="J706" i="1"/>
  <c r="J708" i="1"/>
  <c r="J1025" i="1"/>
  <c r="J710" i="1"/>
  <c r="J711" i="1"/>
  <c r="J1026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1027" i="1"/>
  <c r="J727" i="1"/>
  <c r="J728" i="1"/>
  <c r="J729" i="1"/>
  <c r="J730" i="1"/>
  <c r="J731" i="1"/>
  <c r="J734" i="1"/>
  <c r="J1028" i="1"/>
  <c r="J736" i="1"/>
  <c r="J737" i="1"/>
  <c r="J738" i="1"/>
  <c r="J1069" i="1"/>
  <c r="J1081" i="1"/>
  <c r="J743" i="1"/>
  <c r="J744" i="1"/>
  <c r="J746" i="1"/>
  <c r="J747" i="1"/>
  <c r="J748" i="1"/>
  <c r="J749" i="1"/>
  <c r="J750" i="1"/>
  <c r="J1090" i="1"/>
  <c r="J1106" i="1"/>
  <c r="J1121" i="1"/>
  <c r="J755" i="1"/>
  <c r="J756" i="1"/>
  <c r="J757" i="1"/>
  <c r="J758" i="1"/>
  <c r="J1129" i="1"/>
  <c r="J759" i="1"/>
  <c r="J760" i="1"/>
  <c r="J1138" i="1"/>
  <c r="J763" i="1"/>
  <c r="J764" i="1"/>
  <c r="J765" i="1"/>
  <c r="J767" i="1"/>
  <c r="J769" i="1"/>
  <c r="J770" i="1"/>
  <c r="J771" i="1"/>
  <c r="J772" i="1"/>
  <c r="J773" i="1"/>
  <c r="J774" i="1"/>
  <c r="J775" i="1"/>
  <c r="J776" i="1"/>
  <c r="J777" i="1"/>
  <c r="J778" i="1"/>
  <c r="J782" i="1"/>
  <c r="J1139" i="1"/>
  <c r="J785" i="1"/>
  <c r="J1140" i="1"/>
  <c r="J1141" i="1"/>
  <c r="J1144" i="1"/>
  <c r="J790" i="1"/>
  <c r="J791" i="1"/>
  <c r="J792" i="1"/>
  <c r="J793" i="1"/>
  <c r="J1145" i="1"/>
  <c r="J1146" i="1"/>
  <c r="J797" i="1"/>
  <c r="J798" i="1"/>
  <c r="J799" i="1"/>
  <c r="J800" i="1"/>
  <c r="J801" i="1"/>
  <c r="J802" i="1"/>
  <c r="J803" i="1"/>
  <c r="J804" i="1"/>
  <c r="J805" i="1"/>
  <c r="J1147" i="1"/>
  <c r="J808" i="1"/>
  <c r="J809" i="1"/>
  <c r="J811" i="1"/>
  <c r="J812" i="1"/>
  <c r="J814" i="1"/>
  <c r="J815" i="1"/>
  <c r="J816" i="1"/>
  <c r="J818" i="1"/>
  <c r="J819" i="1"/>
  <c r="J820" i="1"/>
  <c r="J821" i="1"/>
  <c r="J822" i="1"/>
  <c r="J823" i="1"/>
  <c r="J824" i="1"/>
  <c r="J827" i="1"/>
  <c r="J828" i="1"/>
  <c r="J829" i="1"/>
  <c r="J831" i="1"/>
  <c r="J832" i="1"/>
  <c r="J833" i="1"/>
  <c r="J835" i="1"/>
  <c r="J836" i="1"/>
  <c r="J838" i="1"/>
  <c r="J841" i="1"/>
  <c r="J884" i="1"/>
  <c r="J885" i="1"/>
  <c r="J886" i="1"/>
  <c r="J887" i="1"/>
  <c r="J888" i="1"/>
  <c r="J889" i="1"/>
  <c r="J890" i="1"/>
  <c r="J891" i="1"/>
  <c r="J892" i="1"/>
  <c r="J895" i="1"/>
  <c r="J896" i="1"/>
  <c r="J897" i="1"/>
  <c r="J898" i="1"/>
  <c r="J1164" i="1"/>
  <c r="J901" i="1"/>
  <c r="J902" i="1"/>
  <c r="J903" i="1"/>
  <c r="J904" i="1"/>
  <c r="J905" i="1"/>
  <c r="J906" i="1"/>
  <c r="J907" i="1"/>
  <c r="J910" i="1"/>
  <c r="J911" i="1"/>
  <c r="J2135" i="1"/>
  <c r="J919" i="1"/>
  <c r="J920" i="1"/>
  <c r="J921" i="1"/>
  <c r="J922" i="1"/>
  <c r="J924" i="1"/>
  <c r="J925" i="1"/>
  <c r="J926" i="1"/>
  <c r="J928" i="1"/>
  <c r="J929" i="1"/>
  <c r="J930" i="1"/>
  <c r="J932" i="1"/>
  <c r="J933" i="1"/>
  <c r="J934" i="1"/>
  <c r="J935" i="1"/>
  <c r="J936" i="1"/>
  <c r="J938" i="1"/>
  <c r="J939" i="1"/>
  <c r="J940" i="1"/>
  <c r="J941" i="1"/>
  <c r="J942" i="1"/>
  <c r="J944" i="1"/>
  <c r="J945" i="1"/>
  <c r="J947" i="1"/>
  <c r="J948" i="1"/>
  <c r="J949" i="1"/>
  <c r="J951" i="1"/>
  <c r="J952" i="1"/>
  <c r="J1165" i="1"/>
  <c r="J1166" i="1"/>
  <c r="J958" i="1"/>
  <c r="J1230" i="1"/>
  <c r="J962" i="1"/>
  <c r="J963" i="1"/>
  <c r="J964" i="1"/>
  <c r="J965" i="1"/>
  <c r="J968" i="1"/>
  <c r="J969" i="1"/>
  <c r="J970" i="1"/>
  <c r="J973" i="1"/>
  <c r="J974" i="1"/>
  <c r="J975" i="1"/>
  <c r="J976" i="1"/>
  <c r="J1243" i="1"/>
  <c r="J1245" i="1"/>
  <c r="J1246" i="1"/>
  <c r="J985" i="1"/>
  <c r="J993" i="1"/>
  <c r="J994" i="1"/>
  <c r="J995" i="1"/>
  <c r="J996" i="1"/>
  <c r="J997" i="1"/>
  <c r="J998" i="1"/>
  <c r="J999" i="1"/>
  <c r="J1000" i="1"/>
  <c r="J1247" i="1"/>
  <c r="J1248" i="1"/>
  <c r="J1006" i="1"/>
  <c r="J1007" i="1"/>
  <c r="J1008" i="1"/>
  <c r="J1009" i="1"/>
  <c r="J1010" i="1"/>
  <c r="J1011" i="1"/>
  <c r="J1014" i="1"/>
  <c r="J1015" i="1"/>
  <c r="J1017" i="1"/>
  <c r="J1018" i="1"/>
  <c r="J1019" i="1"/>
  <c r="J1020" i="1"/>
  <c r="J1021" i="1"/>
  <c r="J1022" i="1"/>
  <c r="J1023" i="1"/>
  <c r="J1344" i="1"/>
  <c r="J1356" i="1"/>
  <c r="J1032" i="1"/>
  <c r="J1033" i="1"/>
  <c r="J1037" i="1"/>
  <c r="J1038" i="1"/>
  <c r="J1039" i="1"/>
  <c r="J1040" i="1"/>
  <c r="J1041" i="1"/>
  <c r="J1042" i="1"/>
  <c r="J1043" i="1"/>
  <c r="J1046" i="1"/>
  <c r="J1049" i="1"/>
  <c r="J1050" i="1"/>
  <c r="J1366" i="1"/>
  <c r="J1055" i="1"/>
  <c r="J1056" i="1"/>
  <c r="J1059" i="1"/>
  <c r="J1060" i="1"/>
  <c r="J1061" i="1"/>
  <c r="J1063" i="1"/>
  <c r="J1064" i="1"/>
  <c r="J1065" i="1"/>
  <c r="J1066" i="1"/>
  <c r="J1067" i="1"/>
  <c r="J1373" i="1"/>
  <c r="J1070" i="1"/>
  <c r="J1072" i="1"/>
  <c r="J1073" i="1"/>
  <c r="J1075" i="1"/>
  <c r="J1076" i="1"/>
  <c r="J1077" i="1"/>
  <c r="J1078" i="1"/>
  <c r="J1079" i="1"/>
  <c r="J1080" i="1"/>
  <c r="J1378" i="1"/>
  <c r="J1082" i="1"/>
  <c r="J1086" i="1"/>
  <c r="J1087" i="1"/>
  <c r="J1088" i="1"/>
  <c r="J1089" i="1"/>
  <c r="J1386" i="1"/>
  <c r="J1092" i="1"/>
  <c r="J1093" i="1"/>
  <c r="J1095" i="1"/>
  <c r="J1096" i="1"/>
  <c r="J1097" i="1"/>
  <c r="J1098" i="1"/>
  <c r="J1099" i="1"/>
  <c r="J1100" i="1"/>
  <c r="J1101" i="1"/>
  <c r="J1102" i="1"/>
  <c r="J1103" i="1"/>
  <c r="J1104" i="1"/>
  <c r="J458" i="1"/>
  <c r="J1107" i="1"/>
  <c r="J1108" i="1"/>
  <c r="J1109" i="1"/>
  <c r="J1110" i="1"/>
  <c r="J1112" i="1"/>
  <c r="J1114" i="1"/>
  <c r="J1115" i="1"/>
  <c r="J1127" i="1"/>
  <c r="J1126" i="1"/>
  <c r="J1251" i="1"/>
  <c r="J1390" i="1"/>
  <c r="J1122" i="1"/>
  <c r="J1123" i="1"/>
  <c r="J1124" i="1"/>
  <c r="J1125" i="1"/>
  <c r="J1397" i="1"/>
  <c r="J2111" i="1"/>
  <c r="J1128" i="1"/>
  <c r="J1415" i="1"/>
  <c r="J1416" i="1"/>
  <c r="J2114" i="1"/>
  <c r="J1135" i="1"/>
  <c r="J1136" i="1"/>
  <c r="J1137" i="1"/>
  <c r="J1149" i="1"/>
  <c r="J1150" i="1"/>
  <c r="J1151" i="1"/>
  <c r="J1154" i="1"/>
  <c r="J1155" i="1"/>
  <c r="J1156" i="1"/>
  <c r="J1157" i="1"/>
  <c r="J1158" i="1"/>
  <c r="J1159" i="1"/>
  <c r="J1160" i="1"/>
  <c r="J1161" i="1"/>
  <c r="J1162" i="1"/>
  <c r="J1163" i="1"/>
  <c r="J1560" i="1"/>
  <c r="J1561" i="1"/>
  <c r="J1168" i="1"/>
  <c r="J1169" i="1"/>
  <c r="J1170" i="1"/>
  <c r="J1171" i="1"/>
  <c r="J1172" i="1"/>
  <c r="J1173" i="1"/>
  <c r="J1178" i="1"/>
  <c r="J1179" i="1"/>
  <c r="J1180" i="1"/>
  <c r="J1181" i="1"/>
  <c r="J1182" i="1"/>
  <c r="J1184" i="1"/>
  <c r="J1185" i="1"/>
  <c r="J1186" i="1"/>
  <c r="J1187" i="1"/>
  <c r="J1188" i="1"/>
  <c r="J1194" i="1"/>
  <c r="J1195" i="1"/>
  <c r="J1196" i="1"/>
  <c r="J1197" i="1"/>
  <c r="J1198" i="1"/>
  <c r="J1199" i="1"/>
  <c r="J1200" i="1"/>
  <c r="J1201" i="1"/>
  <c r="J1204" i="1"/>
  <c r="J1205" i="1"/>
  <c r="J1206" i="1"/>
  <c r="J1207" i="1"/>
  <c r="J1208" i="1"/>
  <c r="J1209" i="1"/>
  <c r="J1210" i="1"/>
  <c r="J1562" i="1"/>
  <c r="J1212" i="1"/>
  <c r="J1213" i="1"/>
  <c r="J1214" i="1"/>
  <c r="J1216" i="1"/>
  <c r="J1217" i="1"/>
  <c r="J1219" i="1"/>
  <c r="J1220" i="1"/>
  <c r="J1221" i="1"/>
  <c r="J1222" i="1"/>
  <c r="J1223" i="1"/>
  <c r="J1224" i="1"/>
  <c r="J1225" i="1"/>
  <c r="J1226" i="1"/>
  <c r="J1227" i="1"/>
  <c r="J1228" i="1"/>
  <c r="J1229" i="1"/>
  <c r="J1565" i="1"/>
  <c r="J1232" i="1"/>
  <c r="J1234" i="1"/>
  <c r="J1235" i="1"/>
  <c r="J1236" i="1"/>
  <c r="J1237" i="1"/>
  <c r="J1238" i="1"/>
  <c r="J1240" i="1"/>
  <c r="J1567" i="1"/>
  <c r="J912" i="1"/>
  <c r="J2120" i="1"/>
  <c r="J2119" i="1"/>
  <c r="J2121" i="1"/>
  <c r="J982" i="1"/>
  <c r="J1275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8" i="1"/>
  <c r="J1340" i="1"/>
  <c r="J1341" i="1"/>
  <c r="J1342" i="1"/>
  <c r="J1343" i="1"/>
  <c r="J1570" i="1"/>
  <c r="J1345" i="1"/>
  <c r="J1346" i="1"/>
  <c r="J1347" i="1"/>
  <c r="J1348" i="1"/>
  <c r="J1349" i="1"/>
  <c r="J1350" i="1"/>
  <c r="J1572" i="1"/>
  <c r="J1354" i="1"/>
  <c r="J1355" i="1"/>
  <c r="J1573" i="1"/>
  <c r="J1357" i="1"/>
  <c r="J1358" i="1"/>
  <c r="J1575" i="1"/>
  <c r="J1578" i="1"/>
  <c r="J1361" i="1"/>
  <c r="J1362" i="1"/>
  <c r="J1364" i="1"/>
  <c r="J1365" i="1"/>
  <c r="J1559" i="1"/>
  <c r="J1368" i="1"/>
  <c r="J1371" i="1"/>
  <c r="J1372" i="1"/>
  <c r="J1563" i="1"/>
  <c r="J1374" i="1"/>
  <c r="J1375" i="1"/>
  <c r="J1376" i="1"/>
  <c r="J1377" i="1"/>
  <c r="J1564" i="1"/>
  <c r="J1566" i="1"/>
  <c r="J1388" i="1"/>
  <c r="J1389" i="1"/>
  <c r="J1568" i="1"/>
  <c r="J1393" i="1"/>
  <c r="J1394" i="1"/>
  <c r="J1395" i="1"/>
  <c r="J1396" i="1"/>
  <c r="J1569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571" i="1"/>
  <c r="J1574" i="1"/>
  <c r="J1417" i="1"/>
  <c r="J1418" i="1"/>
  <c r="J1419" i="1"/>
  <c r="J1420" i="1"/>
  <c r="J1421" i="1"/>
  <c r="J1422" i="1"/>
  <c r="J1423" i="1"/>
  <c r="J1424" i="1"/>
  <c r="J1425" i="1"/>
  <c r="J1427" i="1"/>
  <c r="J1428" i="1"/>
  <c r="J1430" i="1"/>
  <c r="J1431" i="1"/>
  <c r="J1434" i="1"/>
  <c r="J1435" i="1"/>
  <c r="J1436" i="1"/>
  <c r="J1437" i="1"/>
  <c r="J1438" i="1"/>
  <c r="J1439" i="1"/>
  <c r="J1440" i="1"/>
  <c r="J1441" i="1"/>
  <c r="J1442" i="1"/>
  <c r="J1444" i="1"/>
  <c r="J1445" i="1"/>
  <c r="J1446" i="1"/>
  <c r="J1448" i="1"/>
  <c r="J1461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76" i="1"/>
  <c r="J1577" i="1"/>
  <c r="J1579" i="1"/>
  <c r="J1580" i="1"/>
  <c r="J1582" i="1"/>
  <c r="J1631" i="1"/>
  <c r="J1647" i="1"/>
  <c r="J1654" i="1"/>
  <c r="J1781" i="1"/>
  <c r="J1861" i="1"/>
  <c r="J1874" i="1"/>
  <c r="J1923" i="1"/>
  <c r="J1963" i="1"/>
  <c r="J2175" i="1"/>
  <c r="J2185" i="1"/>
  <c r="J1997" i="1"/>
  <c r="J503" i="1"/>
  <c r="J219" i="1"/>
  <c r="J220" i="1"/>
  <c r="J225" i="1"/>
  <c r="J238" i="1"/>
  <c r="J1581" i="1"/>
  <c r="J24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30" i="1"/>
  <c r="J244" i="1"/>
  <c r="J1632" i="1"/>
  <c r="J1633" i="1"/>
  <c r="J1634" i="1"/>
  <c r="J1635" i="1"/>
  <c r="J1636" i="1"/>
  <c r="J1640" i="1"/>
  <c r="J1641" i="1"/>
  <c r="J1642" i="1"/>
  <c r="J1643" i="1"/>
  <c r="J1644" i="1"/>
  <c r="J1645" i="1"/>
  <c r="J1646" i="1"/>
  <c r="J246" i="1"/>
  <c r="J248" i="1"/>
  <c r="J486" i="1"/>
  <c r="J250" i="1"/>
  <c r="J1655" i="1"/>
  <c r="J1656" i="1"/>
  <c r="J1657" i="1"/>
  <c r="J1658" i="1"/>
  <c r="J1659" i="1"/>
  <c r="J413" i="1"/>
  <c r="J414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2" i="1"/>
  <c r="J1703" i="1"/>
  <c r="J1704" i="1"/>
  <c r="J1705" i="1"/>
  <c r="J1706" i="1"/>
  <c r="J1707" i="1"/>
  <c r="J1708" i="1"/>
  <c r="J1709" i="1"/>
  <c r="J1710" i="1"/>
  <c r="J1711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252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254" i="1"/>
  <c r="J415" i="1"/>
  <c r="J421" i="1"/>
  <c r="J419" i="1"/>
  <c r="J420" i="1"/>
  <c r="J256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258" i="1"/>
  <c r="J1851" i="1"/>
  <c r="J1853" i="1"/>
  <c r="J1855" i="1"/>
  <c r="J1856" i="1"/>
  <c r="J1857" i="1"/>
  <c r="J1858" i="1"/>
  <c r="J1860" i="1"/>
  <c r="J260" i="1"/>
  <c r="J1862" i="1"/>
  <c r="J1863" i="1"/>
  <c r="J1864" i="1"/>
  <c r="J1865" i="1"/>
  <c r="J1866" i="1"/>
  <c r="J1867" i="1"/>
  <c r="J1868" i="1"/>
  <c r="J1869" i="1"/>
  <c r="J1870" i="1"/>
  <c r="J1871" i="1"/>
  <c r="J1872" i="1"/>
  <c r="J243" i="1"/>
  <c r="J1875" i="1"/>
  <c r="J1876" i="1"/>
  <c r="J1877" i="1"/>
  <c r="J1878" i="1"/>
  <c r="J1879" i="1"/>
  <c r="J1880" i="1"/>
  <c r="J1881" i="1"/>
  <c r="J509" i="1"/>
  <c r="J424" i="1"/>
  <c r="J245" i="1"/>
  <c r="J247" i="1"/>
  <c r="J1886" i="1"/>
  <c r="J1887" i="1"/>
  <c r="J1888" i="1"/>
  <c r="J1889" i="1"/>
  <c r="J1890" i="1"/>
  <c r="J434" i="1"/>
  <c r="J431" i="1"/>
  <c r="J432" i="1"/>
  <c r="J433" i="1"/>
  <c r="J249" i="1"/>
  <c r="J251" i="1"/>
  <c r="J1900" i="1"/>
  <c r="J1901" i="1"/>
  <c r="J1902" i="1"/>
  <c r="J1903" i="1"/>
  <c r="J1904" i="1"/>
  <c r="J1910" i="1"/>
  <c r="J1911" i="1"/>
  <c r="J1912" i="1"/>
  <c r="J1913" i="1"/>
  <c r="J1914" i="1"/>
  <c r="J253" i="1"/>
  <c r="J255" i="1"/>
  <c r="J257" i="1"/>
  <c r="J259" i="1"/>
  <c r="J261" i="1"/>
  <c r="J263" i="1"/>
  <c r="J265" i="1"/>
  <c r="J1949" i="1"/>
  <c r="J1950" i="1"/>
  <c r="J268" i="1"/>
  <c r="J1964" i="1"/>
  <c r="J270" i="1"/>
  <c r="J1966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3" i="1"/>
  <c r="J2104" i="1"/>
  <c r="J2105" i="1"/>
  <c r="J2106" i="1"/>
  <c r="J2107" i="1"/>
  <c r="J1133" i="1"/>
  <c r="J2109" i="1"/>
  <c r="J2110" i="1"/>
  <c r="J1131" i="1"/>
  <c r="J2112" i="1"/>
  <c r="J2113" i="1"/>
  <c r="J959" i="1"/>
  <c r="J2115" i="1"/>
  <c r="J2116" i="1"/>
  <c r="J955" i="1"/>
  <c r="J2108" i="1"/>
  <c r="J274" i="1"/>
  <c r="J1117" i="1"/>
  <c r="J2118" i="1"/>
  <c r="J2117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984" i="1"/>
  <c r="J2136" i="1"/>
  <c r="J2137" i="1"/>
  <c r="J2138" i="1"/>
  <c r="J2139" i="1"/>
  <c r="J2140" i="1"/>
  <c r="J2141" i="1"/>
  <c r="J2143" i="1"/>
  <c r="J2144" i="1"/>
  <c r="J2145" i="1"/>
  <c r="J2146" i="1"/>
  <c r="J2147" i="1"/>
  <c r="J2148" i="1"/>
  <c r="J2149" i="1"/>
  <c r="J2150" i="1"/>
  <c r="J2151" i="1"/>
  <c r="J2152" i="1"/>
  <c r="J2153" i="1"/>
  <c r="J2155" i="1"/>
  <c r="J2156" i="1"/>
  <c r="J2157" i="1"/>
  <c r="J2158" i="1"/>
  <c r="J2159" i="1"/>
  <c r="J2160" i="1"/>
  <c r="J2161" i="1"/>
  <c r="J2162" i="1"/>
  <c r="J2163" i="1"/>
  <c r="J2170" i="1"/>
  <c r="J2171" i="1"/>
  <c r="J2173" i="1"/>
  <c r="J2174" i="1"/>
  <c r="J276" i="1"/>
  <c r="J2176" i="1"/>
  <c r="J2177" i="1"/>
  <c r="J2178" i="1"/>
  <c r="J2180" i="1"/>
  <c r="J2183" i="1"/>
  <c r="J2184" i="1"/>
  <c r="J278" i="1"/>
  <c r="J2186" i="1"/>
  <c r="J2188" i="1"/>
  <c r="J2189" i="1"/>
  <c r="J2190" i="1"/>
  <c r="J2191" i="1"/>
  <c r="J2193" i="1"/>
  <c r="J2198" i="1"/>
  <c r="J2201" i="1"/>
  <c r="J2202" i="1"/>
  <c r="J2228" i="1"/>
  <c r="J2234" i="1"/>
  <c r="J2237" i="1"/>
  <c r="J2238" i="1"/>
  <c r="J2239" i="1"/>
  <c r="J2240" i="1"/>
  <c r="J2241" i="1"/>
  <c r="J2242" i="1"/>
  <c r="J2243" i="1"/>
  <c r="J2244" i="1"/>
  <c r="J2247" i="1"/>
  <c r="J2248" i="1"/>
  <c r="J282" i="1"/>
  <c r="J284" i="1"/>
  <c r="J2251" i="1"/>
  <c r="J2252" i="1"/>
  <c r="J2253" i="1"/>
  <c r="J2254" i="1"/>
  <c r="J291" i="1"/>
  <c r="J2256" i="1"/>
  <c r="J2258" i="1"/>
  <c r="J2259" i="1"/>
  <c r="J2261" i="1"/>
  <c r="J2263" i="1"/>
  <c r="J2268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10" i="1"/>
  <c r="J314" i="1"/>
  <c r="J316" i="1"/>
  <c r="J320" i="1"/>
  <c r="J325" i="1"/>
  <c r="J327" i="1"/>
  <c r="J328" i="1"/>
  <c r="J329" i="1"/>
  <c r="J331" i="1"/>
  <c r="J333" i="1"/>
  <c r="J330" i="1"/>
  <c r="J332" i="1"/>
  <c r="J454" i="1"/>
  <c r="J484" i="1"/>
  <c r="J436" i="1"/>
  <c r="J459" i="1"/>
  <c r="J493" i="1"/>
  <c r="J494" i="1"/>
  <c r="J495" i="1"/>
  <c r="J496" i="1"/>
  <c r="J497" i="1"/>
  <c r="J460" i="1"/>
  <c r="J467" i="1"/>
  <c r="J1653" i="1"/>
  <c r="J2262" i="1"/>
  <c r="J473" i="1"/>
  <c r="J475" i="1"/>
  <c r="J1823" i="1"/>
  <c r="J1824" i="1"/>
  <c r="J478" i="1"/>
  <c r="J1825" i="1"/>
  <c r="J1898" i="1"/>
  <c r="J1826" i="1"/>
  <c r="J483" i="1"/>
  <c r="J485" i="1"/>
  <c r="J1827" i="1"/>
  <c r="J1891" i="1"/>
  <c r="J488" i="1"/>
  <c r="J491" i="1"/>
  <c r="J492" i="1"/>
  <c r="J498" i="1"/>
  <c r="J500" i="1"/>
  <c r="J501" i="1"/>
  <c r="J504" i="1"/>
  <c r="J511" i="1"/>
  <c r="J512" i="1"/>
  <c r="J507" i="1"/>
  <c r="J508" i="1"/>
  <c r="J510" i="1"/>
  <c r="J514" i="1"/>
  <c r="J518" i="1"/>
  <c r="J519" i="1"/>
  <c r="J516" i="1"/>
  <c r="J517" i="1"/>
  <c r="J520" i="1"/>
  <c r="J534" i="1"/>
  <c r="J566" i="1"/>
  <c r="J536" i="1"/>
  <c r="J609" i="1"/>
  <c r="J545" i="1"/>
  <c r="J549" i="1"/>
  <c r="J597" i="1"/>
  <c r="J612" i="1"/>
  <c r="J618" i="1"/>
  <c r="J622" i="1"/>
  <c r="J623" i="1"/>
  <c r="J732" i="1"/>
  <c r="J553" i="1"/>
  <c r="J2154" i="1"/>
  <c r="J588" i="1"/>
  <c r="J753" i="1"/>
  <c r="J768" i="1"/>
  <c r="J563" i="1"/>
  <c r="J569" i="1"/>
  <c r="J571" i="1"/>
  <c r="J589" i="1"/>
  <c r="J642" i="1"/>
  <c r="J643" i="1"/>
  <c r="J658" i="1"/>
  <c r="J733" i="1"/>
  <c r="J745" i="1"/>
  <c r="J639" i="1"/>
  <c r="J600" i="1"/>
  <c r="J869" i="1"/>
  <c r="J761" i="1"/>
  <c r="J616" i="1"/>
  <c r="J570" i="1"/>
  <c r="J621" i="1"/>
  <c r="J627" i="1"/>
  <c r="J640" i="1"/>
  <c r="J650" i="1"/>
  <c r="J678" i="1"/>
  <c r="J682" i="1"/>
  <c r="J689" i="1"/>
  <c r="J692" i="1"/>
  <c r="J702" i="1"/>
  <c r="J703" i="1"/>
  <c r="J705" i="1"/>
  <c r="J707" i="1"/>
  <c r="J739" i="1"/>
  <c r="J766" i="1"/>
  <c r="J779" i="1"/>
  <c r="J780" i="1"/>
  <c r="J796" i="1"/>
  <c r="J806" i="1"/>
  <c r="J810" i="1"/>
  <c r="J813" i="1"/>
  <c r="J817" i="1"/>
  <c r="J825" i="1"/>
  <c r="J826" i="1"/>
  <c r="J837" i="1"/>
  <c r="J839" i="1"/>
  <c r="J842" i="1"/>
  <c r="J844" i="1"/>
  <c r="J846" i="1"/>
  <c r="J848" i="1"/>
  <c r="J850" i="1"/>
  <c r="J852" i="1"/>
  <c r="J857" i="1"/>
  <c r="J858" i="1"/>
  <c r="J859" i="1"/>
  <c r="J862" i="1"/>
  <c r="J864" i="1"/>
  <c r="J865" i="1"/>
  <c r="J1116" i="1"/>
  <c r="J867" i="1"/>
  <c r="J868" i="1"/>
  <c r="J870" i="1"/>
  <c r="J871" i="1"/>
  <c r="J872" i="1"/>
  <c r="J873" i="1"/>
  <c r="J874" i="1"/>
  <c r="J875" i="1"/>
  <c r="J876" i="1"/>
  <c r="J877" i="1"/>
  <c r="J879" i="1"/>
  <c r="J880" i="1"/>
  <c r="J893" i="1"/>
  <c r="J894" i="1"/>
  <c r="J899" i="1"/>
  <c r="J908" i="1"/>
  <c r="J913" i="1"/>
  <c r="J923" i="1"/>
  <c r="J927" i="1"/>
  <c r="J931" i="1"/>
  <c r="J943" i="1"/>
  <c r="J946" i="1"/>
  <c r="J953" i="1"/>
  <c r="J950" i="1"/>
  <c r="J956" i="1"/>
  <c r="J961" i="1"/>
  <c r="J966" i="1"/>
  <c r="J971" i="1"/>
  <c r="J980" i="1"/>
  <c r="J986" i="1"/>
  <c r="J1120" i="1"/>
  <c r="J992" i="1"/>
  <c r="J1003" i="1"/>
  <c r="J1005" i="1"/>
  <c r="J1013" i="1"/>
  <c r="J1016" i="1"/>
  <c r="J1024" i="1"/>
  <c r="J1029" i="1"/>
  <c r="J1030" i="1"/>
  <c r="J1034" i="1"/>
  <c r="J1036" i="1"/>
  <c r="J1044" i="1"/>
  <c r="J1047" i="1"/>
  <c r="J1048" i="1"/>
  <c r="J1051" i="1"/>
  <c r="J1052" i="1"/>
  <c r="J1053" i="1"/>
  <c r="J1057" i="1"/>
  <c r="J1062" i="1"/>
  <c r="J1074" i="1"/>
  <c r="J1105" i="1"/>
  <c r="J1111" i="1"/>
  <c r="J1113" i="1"/>
  <c r="J1118" i="1"/>
  <c r="J1132" i="1"/>
  <c r="J1134" i="1"/>
  <c r="J1142" i="1"/>
  <c r="J1143" i="1"/>
  <c r="J1148" i="1"/>
  <c r="J1152" i="1"/>
  <c r="J1153" i="1"/>
  <c r="J1167" i="1"/>
  <c r="J1183" i="1"/>
  <c r="J1191" i="1"/>
  <c r="J1192" i="1"/>
  <c r="J1193" i="1"/>
  <c r="J1202" i="1"/>
  <c r="J1203" i="1"/>
  <c r="J1211" i="1"/>
  <c r="J1215" i="1"/>
  <c r="J1218" i="1"/>
  <c r="J1231" i="1"/>
  <c r="J1239" i="1"/>
  <c r="J1241" i="1"/>
  <c r="J1244" i="1"/>
  <c r="J1249" i="1"/>
  <c r="J1252" i="1"/>
  <c r="J1253" i="1"/>
  <c r="J1255" i="1"/>
  <c r="J1256" i="1"/>
  <c r="J1258" i="1"/>
  <c r="J1259" i="1"/>
  <c r="J1260" i="1"/>
  <c r="J1261" i="1"/>
  <c r="J1262" i="1"/>
  <c r="J1268" i="1"/>
  <c r="J1269" i="1"/>
  <c r="J1270" i="1"/>
  <c r="J1271" i="1"/>
  <c r="J1272" i="1"/>
  <c r="J1273" i="1"/>
  <c r="J1277" i="1"/>
  <c r="J2257" i="1"/>
  <c r="J2260" i="1"/>
  <c r="J457" i="1"/>
  <c r="J499" i="1"/>
  <c r="J1279" i="1"/>
  <c r="J1281" i="1"/>
  <c r="J1292" i="1"/>
  <c r="J1351" i="1"/>
  <c r="J1359" i="1"/>
  <c r="J1360" i="1"/>
  <c r="J1669" i="1"/>
  <c r="J1367" i="1"/>
  <c r="J1369" i="1"/>
  <c r="J1370" i="1"/>
  <c r="J1380" i="1"/>
  <c r="J1385" i="1"/>
  <c r="J1674" i="1"/>
  <c r="J1391" i="1"/>
  <c r="J1392" i="1"/>
  <c r="J1429" i="1"/>
  <c r="J1432" i="1"/>
  <c r="J1433" i="1"/>
  <c r="J1447" i="1"/>
  <c r="J1449" i="1"/>
  <c r="J1451" i="1"/>
  <c r="J1454" i="1"/>
  <c r="J1457" i="1"/>
  <c r="J309" i="1"/>
  <c r="J1460" i="1"/>
  <c r="J312" i="1"/>
  <c r="J313" i="1"/>
  <c r="J1466" i="1"/>
  <c r="J1470" i="1"/>
  <c r="J1472" i="1"/>
  <c r="J318" i="1"/>
  <c r="J1474" i="1"/>
  <c r="J1475" i="1"/>
  <c r="J1476" i="1"/>
  <c r="J1477" i="1"/>
  <c r="J2266" i="1"/>
  <c r="J1250" i="1"/>
  <c r="J1443" i="1"/>
  <c r="J1450" i="1"/>
  <c r="J1452" i="1"/>
  <c r="J1453" i="1"/>
  <c r="J1455" i="1"/>
  <c r="J319" i="1"/>
  <c r="J1456" i="1"/>
  <c r="J1458" i="1"/>
  <c r="J1459" i="1"/>
  <c r="J1462" i="1"/>
  <c r="J1463" i="1"/>
  <c r="J1464" i="1"/>
  <c r="J1465" i="1"/>
  <c r="J1467" i="1"/>
  <c r="J1468" i="1"/>
  <c r="J1469" i="1"/>
  <c r="J1471" i="1"/>
  <c r="J1473" i="1"/>
  <c r="J1967" i="1"/>
  <c r="J1478" i="1"/>
  <c r="J1482" i="1"/>
  <c r="J1485" i="1"/>
  <c r="J1490" i="1"/>
  <c r="J1493" i="1"/>
  <c r="J1498" i="1"/>
  <c r="J1507" i="1"/>
  <c r="J1512" i="1"/>
  <c r="J1479" i="1"/>
  <c r="J1483" i="1"/>
  <c r="J1486" i="1"/>
  <c r="J1491" i="1"/>
  <c r="J1494" i="1"/>
  <c r="J1497" i="1"/>
  <c r="J1499" i="1"/>
  <c r="J1502" i="1"/>
  <c r="J1504" i="1"/>
  <c r="J1506" i="1"/>
  <c r="J1508" i="1"/>
  <c r="J1510" i="1"/>
  <c r="J322" i="1"/>
  <c r="J323" i="1"/>
  <c r="J324" i="1"/>
  <c r="J1513" i="1"/>
  <c r="J1488" i="1"/>
  <c r="J1480" i="1"/>
  <c r="J1484" i="1"/>
  <c r="J1487" i="1"/>
  <c r="J1492" i="1"/>
  <c r="J1495" i="1"/>
  <c r="J1496" i="1"/>
  <c r="J1500" i="1"/>
  <c r="J1501" i="1"/>
  <c r="J1503" i="1"/>
  <c r="J1505" i="1"/>
  <c r="J1509" i="1"/>
  <c r="J1511" i="1"/>
  <c r="J1514" i="1"/>
  <c r="J1489" i="1"/>
  <c r="J1481" i="1"/>
  <c r="J1629" i="1"/>
  <c r="J1638" i="1"/>
  <c r="J1648" i="1"/>
  <c r="J1649" i="1"/>
  <c r="J1651" i="1"/>
  <c r="J1652" i="1"/>
  <c r="J1660" i="1"/>
  <c r="J1662" i="1"/>
  <c r="J1663" i="1"/>
  <c r="J1665" i="1"/>
  <c r="J1666" i="1"/>
  <c r="J1668" i="1"/>
  <c r="J1670" i="1"/>
  <c r="J1982" i="1"/>
  <c r="J1671" i="1"/>
  <c r="J1672" i="1"/>
  <c r="J1675" i="1"/>
  <c r="J1852" i="1"/>
  <c r="J1676" i="1"/>
  <c r="J2374" i="1"/>
  <c r="J1678" i="1"/>
  <c r="J2373" i="1"/>
  <c r="J1680" i="1"/>
  <c r="J1681" i="1"/>
  <c r="J1682" i="1"/>
  <c r="J1700" i="1"/>
  <c r="J1983" i="1"/>
  <c r="J1859" i="1"/>
  <c r="J1701" i="1"/>
  <c r="J1821" i="1"/>
  <c r="J1822" i="1"/>
  <c r="J1242" i="1"/>
  <c r="J1254" i="1"/>
  <c r="J1257" i="1"/>
  <c r="J1989" i="1"/>
  <c r="J1854" i="1"/>
  <c r="J1820" i="1"/>
  <c r="J1995" i="1"/>
  <c r="J1873" i="1"/>
  <c r="J1893" i="1"/>
  <c r="J1899" i="1"/>
  <c r="J1894" i="1"/>
  <c r="J1892" i="1"/>
  <c r="J1895" i="1"/>
  <c r="J1897" i="1"/>
  <c r="J1190" i="1"/>
  <c r="J1915" i="1"/>
  <c r="J1916" i="1"/>
  <c r="J1918" i="1"/>
  <c r="J1920" i="1"/>
  <c r="J1926" i="1"/>
  <c r="J1925" i="1"/>
  <c r="J1927" i="1"/>
  <c r="J1930" i="1"/>
  <c r="J1931" i="1"/>
  <c r="J1932" i="1"/>
  <c r="J1933" i="1"/>
  <c r="J1934" i="1"/>
  <c r="J1994" i="1"/>
  <c r="J1935" i="1"/>
  <c r="J1917" i="1"/>
  <c r="J1987" i="1"/>
  <c r="J1936" i="1"/>
  <c r="J1947" i="1"/>
  <c r="J1945" i="1"/>
  <c r="J1943" i="1"/>
  <c r="J1951" i="1"/>
  <c r="J1965" i="1"/>
  <c r="J1969" i="1"/>
  <c r="J1970" i="1"/>
  <c r="J1971" i="1"/>
  <c r="J1972" i="1"/>
  <c r="J1921" i="1"/>
  <c r="J1922" i="1"/>
  <c r="J2249" i="1"/>
  <c r="J1973" i="1"/>
  <c r="J1974" i="1"/>
  <c r="J1975" i="1"/>
  <c r="J1976" i="1"/>
  <c r="J1977" i="1"/>
  <c r="J1978" i="1"/>
  <c r="J1980" i="1"/>
  <c r="J1981" i="1"/>
  <c r="J1984" i="1"/>
  <c r="J1985" i="1"/>
  <c r="J1929" i="1"/>
  <c r="J1986" i="1"/>
  <c r="J1990" i="1"/>
  <c r="J1992" i="1"/>
  <c r="J1996" i="1"/>
  <c r="J1998" i="1"/>
  <c r="J1999" i="1"/>
  <c r="J2000" i="1"/>
  <c r="J2245" i="1"/>
  <c r="J2246" i="1"/>
  <c r="J2001" i="1"/>
  <c r="J2002" i="1"/>
  <c r="J2013" i="1"/>
  <c r="J2014" i="1"/>
  <c r="J2102" i="1"/>
  <c r="J2142" i="1"/>
  <c r="J2192" i="1"/>
  <c r="J2165" i="1"/>
  <c r="J2166" i="1"/>
  <c r="J2167" i="1"/>
  <c r="J2168" i="1"/>
  <c r="J2179" i="1"/>
  <c r="J2181" i="1"/>
  <c r="J2182" i="1"/>
  <c r="J2194" i="1"/>
  <c r="J783" i="1"/>
  <c r="J2195" i="1"/>
  <c r="J515" i="1"/>
  <c r="J2196" i="1"/>
  <c r="J2200" i="1"/>
  <c r="J2203" i="1"/>
  <c r="J2207" i="1"/>
  <c r="J2210" i="1"/>
  <c r="J2211" i="1"/>
  <c r="J2212" i="1"/>
  <c r="J2213" i="1"/>
  <c r="J2214" i="1"/>
  <c r="J2215" i="1"/>
  <c r="J2216" i="1"/>
  <c r="J2217" i="1"/>
  <c r="J2218" i="1"/>
  <c r="J2219" i="1"/>
  <c r="J2220" i="1"/>
  <c r="J1650" i="1"/>
  <c r="J2221" i="1"/>
  <c r="J2222" i="1"/>
  <c r="J1991" i="1"/>
  <c r="J2223" i="1"/>
  <c r="J1993" i="1"/>
  <c r="J2224" i="1"/>
  <c r="J2225" i="1"/>
  <c r="J2012" i="1"/>
  <c r="J2226" i="1"/>
  <c r="J2003" i="1"/>
  <c r="J2004" i="1"/>
  <c r="J2005" i="1"/>
  <c r="J2006" i="1"/>
  <c r="J2227" i="1"/>
  <c r="J2231" i="1"/>
  <c r="J2255" i="1"/>
  <c r="J2264" i="1"/>
  <c r="J2233" i="1"/>
  <c r="J2235" i="1"/>
  <c r="J2007" i="1"/>
  <c r="J2009" i="1"/>
  <c r="J2010" i="1"/>
  <c r="J2265" i="1"/>
  <c r="J2236" i="1"/>
  <c r="J2205" i="1"/>
  <c r="J226" i="1"/>
  <c r="J2011" i="1"/>
  <c r="J2015" i="1"/>
  <c r="J690" i="1"/>
  <c r="J693" i="1"/>
  <c r="J1712" i="1"/>
  <c r="J830" i="1"/>
  <c r="J1012" i="1"/>
  <c r="J1426" i="1"/>
  <c r="K1387" i="1"/>
  <c r="K2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6" i="1"/>
  <c r="K230" i="1"/>
  <c r="K231" i="1"/>
  <c r="K232" i="1"/>
  <c r="K233" i="1"/>
  <c r="K234" i="1"/>
  <c r="K235" i="1"/>
  <c r="K236" i="1"/>
  <c r="K240" i="1"/>
  <c r="K241" i="1"/>
  <c r="K262" i="1"/>
  <c r="K264" i="1"/>
  <c r="K266" i="1"/>
  <c r="K267" i="1"/>
  <c r="K269" i="1"/>
  <c r="K271" i="1"/>
  <c r="K272" i="1"/>
  <c r="K273" i="1"/>
  <c r="K275" i="1"/>
  <c r="K277" i="1"/>
  <c r="K279" i="1"/>
  <c r="K281" i="1"/>
  <c r="K283" i="1"/>
  <c r="K285" i="1"/>
  <c r="K286" i="1"/>
  <c r="K287" i="1"/>
  <c r="K288" i="1"/>
  <c r="K289" i="1"/>
  <c r="K290" i="1"/>
  <c r="K364" i="1"/>
  <c r="K422" i="1"/>
  <c r="K430" i="1"/>
  <c r="K435" i="1"/>
  <c r="K423" i="1"/>
  <c r="K425" i="1"/>
  <c r="K477" i="1"/>
  <c r="K476" i="1"/>
  <c r="K489" i="1"/>
  <c r="K365" i="1"/>
  <c r="K366" i="1"/>
  <c r="K412" i="1"/>
  <c r="K1883" i="1"/>
  <c r="K1884" i="1"/>
  <c r="K1885" i="1"/>
  <c r="K787" i="1"/>
  <c r="K1896" i="1"/>
  <c r="K490" i="1"/>
  <c r="K535" i="1"/>
  <c r="K551" i="1"/>
  <c r="K552" i="1"/>
  <c r="K605" i="1"/>
  <c r="K648" i="1"/>
  <c r="K662" i="1"/>
  <c r="K670" i="1"/>
  <c r="K674" i="1"/>
  <c r="K676" i="1"/>
  <c r="K677" i="1"/>
  <c r="K680" i="1"/>
  <c r="K1850" i="1"/>
  <c r="K1661" i="1"/>
  <c r="K506" i="1"/>
  <c r="K1979" i="1"/>
  <c r="K437" i="1"/>
  <c r="K2250" i="1"/>
  <c r="K691" i="1"/>
  <c r="K700" i="1"/>
  <c r="K446" i="1"/>
  <c r="K438" i="1"/>
  <c r="K439" i="1"/>
  <c r="K440" i="1"/>
  <c r="K442" i="1"/>
  <c r="K447" i="1"/>
  <c r="K448" i="1"/>
  <c r="K449" i="1"/>
  <c r="K416" i="1"/>
  <c r="K417" i="1"/>
  <c r="K418" i="1"/>
  <c r="K427" i="1"/>
  <c r="K428" i="1"/>
  <c r="K429" i="1"/>
  <c r="K445" i="1"/>
  <c r="K443" i="1"/>
  <c r="K444" i="1"/>
  <c r="K450" i="1"/>
  <c r="K451" i="1"/>
  <c r="K709" i="1"/>
  <c r="K461" i="1"/>
  <c r="K462" i="1"/>
  <c r="K463" i="1"/>
  <c r="K464" i="1"/>
  <c r="K465" i="1"/>
  <c r="K466" i="1"/>
  <c r="K712" i="1"/>
  <c r="K468" i="1"/>
  <c r="K469" i="1"/>
  <c r="K470" i="1"/>
  <c r="K471" i="1"/>
  <c r="K472" i="1"/>
  <c r="K726" i="1"/>
  <c r="K735" i="1"/>
  <c r="K474" i="1"/>
  <c r="K740" i="1"/>
  <c r="K452" i="1"/>
  <c r="K453" i="1"/>
  <c r="K513" i="1"/>
  <c r="K479" i="1"/>
  <c r="K480" i="1"/>
  <c r="K481" i="1"/>
  <c r="K482" i="1"/>
  <c r="K741" i="1"/>
  <c r="K751" i="1"/>
  <c r="K455" i="1"/>
  <c r="K456" i="1"/>
  <c r="K487" i="1"/>
  <c r="K752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754" i="1"/>
  <c r="K537" i="1"/>
  <c r="K538" i="1"/>
  <c r="K539" i="1"/>
  <c r="K540" i="1"/>
  <c r="K541" i="1"/>
  <c r="K542" i="1"/>
  <c r="K543" i="1"/>
  <c r="K544" i="1"/>
  <c r="K547" i="1"/>
  <c r="K548" i="1"/>
  <c r="K550" i="1"/>
  <c r="K2164" i="1"/>
  <c r="K762" i="1"/>
  <c r="K555" i="1"/>
  <c r="K556" i="1"/>
  <c r="K557" i="1"/>
  <c r="K558" i="1"/>
  <c r="K559" i="1"/>
  <c r="K560" i="1"/>
  <c r="K561" i="1"/>
  <c r="K562" i="1"/>
  <c r="K564" i="1"/>
  <c r="K565" i="1"/>
  <c r="K567" i="1"/>
  <c r="K568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90" i="1"/>
  <c r="K591" i="1"/>
  <c r="K592" i="1"/>
  <c r="K593" i="1"/>
  <c r="K594" i="1"/>
  <c r="K595" i="1"/>
  <c r="K596" i="1"/>
  <c r="K598" i="1"/>
  <c r="K599" i="1"/>
  <c r="K784" i="1"/>
  <c r="K601" i="1"/>
  <c r="K602" i="1"/>
  <c r="K603" i="1"/>
  <c r="K604" i="1"/>
  <c r="K606" i="1"/>
  <c r="K607" i="1"/>
  <c r="K608" i="1"/>
  <c r="K610" i="1"/>
  <c r="K611" i="1"/>
  <c r="K613" i="1"/>
  <c r="K614" i="1"/>
  <c r="K615" i="1"/>
  <c r="K617" i="1"/>
  <c r="K619" i="1"/>
  <c r="K620" i="1"/>
  <c r="K624" i="1"/>
  <c r="K625" i="1"/>
  <c r="K626" i="1"/>
  <c r="K629" i="1"/>
  <c r="K630" i="1"/>
  <c r="K631" i="1"/>
  <c r="K632" i="1"/>
  <c r="K633" i="1"/>
  <c r="K634" i="1"/>
  <c r="K635" i="1"/>
  <c r="K636" i="1"/>
  <c r="K637" i="1"/>
  <c r="K638" i="1"/>
  <c r="K641" i="1"/>
  <c r="K644" i="1"/>
  <c r="K645" i="1"/>
  <c r="K646" i="1"/>
  <c r="K647" i="1"/>
  <c r="K788" i="1"/>
  <c r="K649" i="1"/>
  <c r="K651" i="1"/>
  <c r="K652" i="1"/>
  <c r="K653" i="1"/>
  <c r="K654" i="1"/>
  <c r="K655" i="1"/>
  <c r="K656" i="1"/>
  <c r="K657" i="1"/>
  <c r="K659" i="1"/>
  <c r="K660" i="1"/>
  <c r="K661" i="1"/>
  <c r="K789" i="1"/>
  <c r="K663" i="1"/>
  <c r="K664" i="1"/>
  <c r="K665" i="1"/>
  <c r="K666" i="1"/>
  <c r="K667" i="1"/>
  <c r="K668" i="1"/>
  <c r="K669" i="1"/>
  <c r="K794" i="1"/>
  <c r="K671" i="1"/>
  <c r="K672" i="1"/>
  <c r="K673" i="1"/>
  <c r="K795" i="1"/>
  <c r="K675" i="1"/>
  <c r="K807" i="1"/>
  <c r="K900" i="1"/>
  <c r="K679" i="1"/>
  <c r="K681" i="1"/>
  <c r="K683" i="1"/>
  <c r="K684" i="1"/>
  <c r="K685" i="1"/>
  <c r="K686" i="1"/>
  <c r="K687" i="1"/>
  <c r="K688" i="1"/>
  <c r="K1001" i="1"/>
  <c r="K694" i="1"/>
  <c r="K695" i="1"/>
  <c r="K696" i="1"/>
  <c r="K697" i="1"/>
  <c r="K698" i="1"/>
  <c r="K699" i="1"/>
  <c r="K1002" i="1"/>
  <c r="K701" i="1"/>
  <c r="K706" i="1"/>
  <c r="K708" i="1"/>
  <c r="K1025" i="1"/>
  <c r="K710" i="1"/>
  <c r="K711" i="1"/>
  <c r="K1026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1027" i="1"/>
  <c r="K727" i="1"/>
  <c r="K728" i="1"/>
  <c r="K729" i="1"/>
  <c r="K730" i="1"/>
  <c r="K731" i="1"/>
  <c r="K734" i="1"/>
  <c r="K1028" i="1"/>
  <c r="K736" i="1"/>
  <c r="K737" i="1"/>
  <c r="K738" i="1"/>
  <c r="K1069" i="1"/>
  <c r="K1081" i="1"/>
  <c r="K743" i="1"/>
  <c r="K744" i="1"/>
  <c r="K746" i="1"/>
  <c r="K747" i="1"/>
  <c r="K748" i="1"/>
  <c r="K749" i="1"/>
  <c r="K750" i="1"/>
  <c r="K1090" i="1"/>
  <c r="K1106" i="1"/>
  <c r="K1121" i="1"/>
  <c r="K755" i="1"/>
  <c r="K756" i="1"/>
  <c r="K757" i="1"/>
  <c r="K758" i="1"/>
  <c r="K1129" i="1"/>
  <c r="K759" i="1"/>
  <c r="K760" i="1"/>
  <c r="K1138" i="1"/>
  <c r="K763" i="1"/>
  <c r="K764" i="1"/>
  <c r="K765" i="1"/>
  <c r="K767" i="1"/>
  <c r="K769" i="1"/>
  <c r="K770" i="1"/>
  <c r="K771" i="1"/>
  <c r="K772" i="1"/>
  <c r="K773" i="1"/>
  <c r="K774" i="1"/>
  <c r="K775" i="1"/>
  <c r="K776" i="1"/>
  <c r="K777" i="1"/>
  <c r="K778" i="1"/>
  <c r="K782" i="1"/>
  <c r="K1139" i="1"/>
  <c r="K785" i="1"/>
  <c r="K1140" i="1"/>
  <c r="K1141" i="1"/>
  <c r="K1144" i="1"/>
  <c r="K790" i="1"/>
  <c r="K791" i="1"/>
  <c r="K792" i="1"/>
  <c r="K793" i="1"/>
  <c r="K1145" i="1"/>
  <c r="K1146" i="1"/>
  <c r="K797" i="1"/>
  <c r="K798" i="1"/>
  <c r="K799" i="1"/>
  <c r="K800" i="1"/>
  <c r="K801" i="1"/>
  <c r="K802" i="1"/>
  <c r="K803" i="1"/>
  <c r="K804" i="1"/>
  <c r="K805" i="1"/>
  <c r="K1147" i="1"/>
  <c r="K808" i="1"/>
  <c r="K809" i="1"/>
  <c r="K811" i="1"/>
  <c r="K812" i="1"/>
  <c r="K814" i="1"/>
  <c r="K815" i="1"/>
  <c r="K816" i="1"/>
  <c r="K818" i="1"/>
  <c r="K819" i="1"/>
  <c r="K820" i="1"/>
  <c r="K821" i="1"/>
  <c r="K822" i="1"/>
  <c r="K823" i="1"/>
  <c r="K824" i="1"/>
  <c r="K827" i="1"/>
  <c r="K828" i="1"/>
  <c r="K829" i="1"/>
  <c r="K831" i="1"/>
  <c r="K832" i="1"/>
  <c r="K833" i="1"/>
  <c r="K835" i="1"/>
  <c r="K836" i="1"/>
  <c r="K838" i="1"/>
  <c r="K841" i="1"/>
  <c r="K884" i="1"/>
  <c r="K885" i="1"/>
  <c r="K886" i="1"/>
  <c r="K887" i="1"/>
  <c r="K888" i="1"/>
  <c r="K889" i="1"/>
  <c r="K890" i="1"/>
  <c r="K891" i="1"/>
  <c r="K892" i="1"/>
  <c r="K895" i="1"/>
  <c r="K896" i="1"/>
  <c r="K897" i="1"/>
  <c r="K898" i="1"/>
  <c r="K1164" i="1"/>
  <c r="K901" i="1"/>
  <c r="K902" i="1"/>
  <c r="K903" i="1"/>
  <c r="K904" i="1"/>
  <c r="K905" i="1"/>
  <c r="K906" i="1"/>
  <c r="K907" i="1"/>
  <c r="K910" i="1"/>
  <c r="K911" i="1"/>
  <c r="K2135" i="1"/>
  <c r="K919" i="1"/>
  <c r="K920" i="1"/>
  <c r="K921" i="1"/>
  <c r="K922" i="1"/>
  <c r="K924" i="1"/>
  <c r="K925" i="1"/>
  <c r="K926" i="1"/>
  <c r="K928" i="1"/>
  <c r="K929" i="1"/>
  <c r="K930" i="1"/>
  <c r="K932" i="1"/>
  <c r="K933" i="1"/>
  <c r="K934" i="1"/>
  <c r="K935" i="1"/>
  <c r="K936" i="1"/>
  <c r="K938" i="1"/>
  <c r="K939" i="1"/>
  <c r="K940" i="1"/>
  <c r="K941" i="1"/>
  <c r="K942" i="1"/>
  <c r="K944" i="1"/>
  <c r="K945" i="1"/>
  <c r="K947" i="1"/>
  <c r="K948" i="1"/>
  <c r="K949" i="1"/>
  <c r="K951" i="1"/>
  <c r="K952" i="1"/>
  <c r="K1165" i="1"/>
  <c r="K1166" i="1"/>
  <c r="K958" i="1"/>
  <c r="K1230" i="1"/>
  <c r="K962" i="1"/>
  <c r="K963" i="1"/>
  <c r="K964" i="1"/>
  <c r="K965" i="1"/>
  <c r="K968" i="1"/>
  <c r="K969" i="1"/>
  <c r="K970" i="1"/>
  <c r="K973" i="1"/>
  <c r="K974" i="1"/>
  <c r="K975" i="1"/>
  <c r="K976" i="1"/>
  <c r="K1243" i="1"/>
  <c r="K1245" i="1"/>
  <c r="K1246" i="1"/>
  <c r="K985" i="1"/>
  <c r="K993" i="1"/>
  <c r="K994" i="1"/>
  <c r="K995" i="1"/>
  <c r="K996" i="1"/>
  <c r="K997" i="1"/>
  <c r="K998" i="1"/>
  <c r="K999" i="1"/>
  <c r="K1000" i="1"/>
  <c r="K1247" i="1"/>
  <c r="K1248" i="1"/>
  <c r="K1006" i="1"/>
  <c r="K1007" i="1"/>
  <c r="K1008" i="1"/>
  <c r="K1009" i="1"/>
  <c r="K1010" i="1"/>
  <c r="K1011" i="1"/>
  <c r="K1014" i="1"/>
  <c r="K1015" i="1"/>
  <c r="K1017" i="1"/>
  <c r="K1018" i="1"/>
  <c r="K1019" i="1"/>
  <c r="K1020" i="1"/>
  <c r="K1021" i="1"/>
  <c r="K1022" i="1"/>
  <c r="K1023" i="1"/>
  <c r="K1344" i="1"/>
  <c r="K1356" i="1"/>
  <c r="K1032" i="1"/>
  <c r="K1033" i="1"/>
  <c r="K1037" i="1"/>
  <c r="K1038" i="1"/>
  <c r="K1039" i="1"/>
  <c r="K1040" i="1"/>
  <c r="K1041" i="1"/>
  <c r="K1042" i="1"/>
  <c r="K1043" i="1"/>
  <c r="K1046" i="1"/>
  <c r="K1049" i="1"/>
  <c r="K1050" i="1"/>
  <c r="K1366" i="1"/>
  <c r="K1055" i="1"/>
  <c r="K1056" i="1"/>
  <c r="K1059" i="1"/>
  <c r="K1060" i="1"/>
  <c r="K1061" i="1"/>
  <c r="K1063" i="1"/>
  <c r="K1064" i="1"/>
  <c r="K1065" i="1"/>
  <c r="K1066" i="1"/>
  <c r="K1067" i="1"/>
  <c r="K1373" i="1"/>
  <c r="K1070" i="1"/>
  <c r="K1072" i="1"/>
  <c r="K1073" i="1"/>
  <c r="K1075" i="1"/>
  <c r="K1076" i="1"/>
  <c r="K1077" i="1"/>
  <c r="K1078" i="1"/>
  <c r="K1079" i="1"/>
  <c r="K1080" i="1"/>
  <c r="K1378" i="1"/>
  <c r="K1082" i="1"/>
  <c r="K1086" i="1"/>
  <c r="K1087" i="1"/>
  <c r="K1088" i="1"/>
  <c r="K1089" i="1"/>
  <c r="K1386" i="1"/>
  <c r="K1092" i="1"/>
  <c r="K1093" i="1"/>
  <c r="K1095" i="1"/>
  <c r="K1096" i="1"/>
  <c r="K1097" i="1"/>
  <c r="K1098" i="1"/>
  <c r="K1099" i="1"/>
  <c r="K1100" i="1"/>
  <c r="K1101" i="1"/>
  <c r="K1102" i="1"/>
  <c r="K1103" i="1"/>
  <c r="K1104" i="1"/>
  <c r="K458" i="1"/>
  <c r="K1107" i="1"/>
  <c r="K1108" i="1"/>
  <c r="K1109" i="1"/>
  <c r="K1110" i="1"/>
  <c r="K1112" i="1"/>
  <c r="K1114" i="1"/>
  <c r="K1115" i="1"/>
  <c r="K1127" i="1"/>
  <c r="K1126" i="1"/>
  <c r="K1251" i="1"/>
  <c r="K1390" i="1"/>
  <c r="K1122" i="1"/>
  <c r="K1123" i="1"/>
  <c r="K1124" i="1"/>
  <c r="K1125" i="1"/>
  <c r="K1397" i="1"/>
  <c r="K2111" i="1"/>
  <c r="K1128" i="1"/>
  <c r="K1415" i="1"/>
  <c r="K1416" i="1"/>
  <c r="K2114" i="1"/>
  <c r="K1135" i="1"/>
  <c r="K1136" i="1"/>
  <c r="K1137" i="1"/>
  <c r="K1149" i="1"/>
  <c r="K1150" i="1"/>
  <c r="K1151" i="1"/>
  <c r="K1154" i="1"/>
  <c r="K1155" i="1"/>
  <c r="K1156" i="1"/>
  <c r="K1157" i="1"/>
  <c r="K1158" i="1"/>
  <c r="K1159" i="1"/>
  <c r="K1160" i="1"/>
  <c r="K1161" i="1"/>
  <c r="K1162" i="1"/>
  <c r="K1163" i="1"/>
  <c r="K1560" i="1"/>
  <c r="K1561" i="1"/>
  <c r="K1168" i="1"/>
  <c r="K1169" i="1"/>
  <c r="K1170" i="1"/>
  <c r="K1171" i="1"/>
  <c r="K1172" i="1"/>
  <c r="K1173" i="1"/>
  <c r="K1178" i="1"/>
  <c r="K1179" i="1"/>
  <c r="K1180" i="1"/>
  <c r="K1181" i="1"/>
  <c r="K1182" i="1"/>
  <c r="K1184" i="1"/>
  <c r="K1185" i="1"/>
  <c r="K1186" i="1"/>
  <c r="K1187" i="1"/>
  <c r="K1188" i="1"/>
  <c r="K1194" i="1"/>
  <c r="K1195" i="1"/>
  <c r="K1196" i="1"/>
  <c r="K1197" i="1"/>
  <c r="K1198" i="1"/>
  <c r="K1199" i="1"/>
  <c r="K1200" i="1"/>
  <c r="K1201" i="1"/>
  <c r="K1204" i="1"/>
  <c r="K1205" i="1"/>
  <c r="K1206" i="1"/>
  <c r="K1207" i="1"/>
  <c r="K1208" i="1"/>
  <c r="K1209" i="1"/>
  <c r="K1210" i="1"/>
  <c r="K1562" i="1"/>
  <c r="K1212" i="1"/>
  <c r="K1213" i="1"/>
  <c r="K1214" i="1"/>
  <c r="K1216" i="1"/>
  <c r="K1217" i="1"/>
  <c r="K1219" i="1"/>
  <c r="K1220" i="1"/>
  <c r="K1221" i="1"/>
  <c r="K1222" i="1"/>
  <c r="K1223" i="1"/>
  <c r="K1224" i="1"/>
  <c r="K1225" i="1"/>
  <c r="K1226" i="1"/>
  <c r="K1227" i="1"/>
  <c r="K1228" i="1"/>
  <c r="K1229" i="1"/>
  <c r="K1565" i="1"/>
  <c r="K1232" i="1"/>
  <c r="K1234" i="1"/>
  <c r="K1235" i="1"/>
  <c r="K1236" i="1"/>
  <c r="K1237" i="1"/>
  <c r="K1238" i="1"/>
  <c r="K1240" i="1"/>
  <c r="K1567" i="1"/>
  <c r="K912" i="1"/>
  <c r="K2120" i="1"/>
  <c r="K2119" i="1"/>
  <c r="K2121" i="1"/>
  <c r="K982" i="1"/>
  <c r="K1275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8" i="1"/>
  <c r="K1340" i="1"/>
  <c r="K1341" i="1"/>
  <c r="K1342" i="1"/>
  <c r="K1343" i="1"/>
  <c r="K1570" i="1"/>
  <c r="K1345" i="1"/>
  <c r="K1346" i="1"/>
  <c r="K1347" i="1"/>
  <c r="K1348" i="1"/>
  <c r="K1349" i="1"/>
  <c r="K1350" i="1"/>
  <c r="K1572" i="1"/>
  <c r="K1354" i="1"/>
  <c r="K1355" i="1"/>
  <c r="K1573" i="1"/>
  <c r="K1357" i="1"/>
  <c r="K1358" i="1"/>
  <c r="K1575" i="1"/>
  <c r="K1578" i="1"/>
  <c r="K1361" i="1"/>
  <c r="K1362" i="1"/>
  <c r="K1364" i="1"/>
  <c r="K1365" i="1"/>
  <c r="K1559" i="1"/>
  <c r="K1368" i="1"/>
  <c r="K1371" i="1"/>
  <c r="K1372" i="1"/>
  <c r="K1563" i="1"/>
  <c r="K1374" i="1"/>
  <c r="K1375" i="1"/>
  <c r="K1376" i="1"/>
  <c r="K1377" i="1"/>
  <c r="K1564" i="1"/>
  <c r="K1566" i="1"/>
  <c r="K1388" i="1"/>
  <c r="K1389" i="1"/>
  <c r="K1568" i="1"/>
  <c r="K1393" i="1"/>
  <c r="K1394" i="1"/>
  <c r="K1395" i="1"/>
  <c r="K1396" i="1"/>
  <c r="K1569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571" i="1"/>
  <c r="K1574" i="1"/>
  <c r="K1417" i="1"/>
  <c r="K1418" i="1"/>
  <c r="K1419" i="1"/>
  <c r="K1420" i="1"/>
  <c r="K1421" i="1"/>
  <c r="K1422" i="1"/>
  <c r="K1423" i="1"/>
  <c r="K1424" i="1"/>
  <c r="K1425" i="1"/>
  <c r="K1427" i="1"/>
  <c r="K1428" i="1"/>
  <c r="K1430" i="1"/>
  <c r="K1431" i="1"/>
  <c r="K1434" i="1"/>
  <c r="K1435" i="1"/>
  <c r="K1436" i="1"/>
  <c r="K1437" i="1"/>
  <c r="K1438" i="1"/>
  <c r="K1439" i="1"/>
  <c r="K1440" i="1"/>
  <c r="K1441" i="1"/>
  <c r="K1442" i="1"/>
  <c r="K1444" i="1"/>
  <c r="K1445" i="1"/>
  <c r="K1446" i="1"/>
  <c r="K1448" i="1"/>
  <c r="K1461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76" i="1"/>
  <c r="K1577" i="1"/>
  <c r="K1579" i="1"/>
  <c r="K1580" i="1"/>
  <c r="K1582" i="1"/>
  <c r="K1631" i="1"/>
  <c r="K1647" i="1"/>
  <c r="K1654" i="1"/>
  <c r="K1781" i="1"/>
  <c r="K1861" i="1"/>
  <c r="K1874" i="1"/>
  <c r="K1923" i="1"/>
  <c r="K1963" i="1"/>
  <c r="K2175" i="1"/>
  <c r="K2185" i="1"/>
  <c r="K1997" i="1"/>
  <c r="K503" i="1"/>
  <c r="K219" i="1"/>
  <c r="K220" i="1"/>
  <c r="K225" i="1"/>
  <c r="K238" i="1"/>
  <c r="K1581" i="1"/>
  <c r="K24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30" i="1"/>
  <c r="K244" i="1"/>
  <c r="K1632" i="1"/>
  <c r="K1633" i="1"/>
  <c r="K1634" i="1"/>
  <c r="K1635" i="1"/>
  <c r="K1636" i="1"/>
  <c r="K1640" i="1"/>
  <c r="K1641" i="1"/>
  <c r="K1642" i="1"/>
  <c r="K1643" i="1"/>
  <c r="K1644" i="1"/>
  <c r="K1645" i="1"/>
  <c r="K1646" i="1"/>
  <c r="K246" i="1"/>
  <c r="K248" i="1"/>
  <c r="K486" i="1"/>
  <c r="K250" i="1"/>
  <c r="K1655" i="1"/>
  <c r="K1656" i="1"/>
  <c r="K1657" i="1"/>
  <c r="K1658" i="1"/>
  <c r="K1659" i="1"/>
  <c r="K413" i="1"/>
  <c r="K414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2" i="1"/>
  <c r="K1703" i="1"/>
  <c r="K1704" i="1"/>
  <c r="K1705" i="1"/>
  <c r="K1706" i="1"/>
  <c r="K1707" i="1"/>
  <c r="K1708" i="1"/>
  <c r="K1709" i="1"/>
  <c r="K1710" i="1"/>
  <c r="K1711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252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254" i="1"/>
  <c r="K415" i="1"/>
  <c r="K421" i="1"/>
  <c r="K419" i="1"/>
  <c r="K420" i="1"/>
  <c r="K256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258" i="1"/>
  <c r="K1851" i="1"/>
  <c r="K1853" i="1"/>
  <c r="K1855" i="1"/>
  <c r="K1856" i="1"/>
  <c r="K1857" i="1"/>
  <c r="K1858" i="1"/>
  <c r="K1860" i="1"/>
  <c r="K260" i="1"/>
  <c r="K1862" i="1"/>
  <c r="K1863" i="1"/>
  <c r="K1864" i="1"/>
  <c r="K1865" i="1"/>
  <c r="K1866" i="1"/>
  <c r="K1867" i="1"/>
  <c r="K1868" i="1"/>
  <c r="K1869" i="1"/>
  <c r="K1870" i="1"/>
  <c r="K1871" i="1"/>
  <c r="K1872" i="1"/>
  <c r="K243" i="1"/>
  <c r="K1875" i="1"/>
  <c r="K1876" i="1"/>
  <c r="K1877" i="1"/>
  <c r="K1878" i="1"/>
  <c r="K1879" i="1"/>
  <c r="K1880" i="1"/>
  <c r="K1881" i="1"/>
  <c r="K509" i="1"/>
  <c r="K424" i="1"/>
  <c r="K245" i="1"/>
  <c r="K247" i="1"/>
  <c r="K1886" i="1"/>
  <c r="K1887" i="1"/>
  <c r="K1888" i="1"/>
  <c r="K1889" i="1"/>
  <c r="K1890" i="1"/>
  <c r="K434" i="1"/>
  <c r="K431" i="1"/>
  <c r="K432" i="1"/>
  <c r="K433" i="1"/>
  <c r="K249" i="1"/>
  <c r="K251" i="1"/>
  <c r="K1900" i="1"/>
  <c r="K1901" i="1"/>
  <c r="K1902" i="1"/>
  <c r="K1903" i="1"/>
  <c r="K1904" i="1"/>
  <c r="K1910" i="1"/>
  <c r="K1911" i="1"/>
  <c r="K1912" i="1"/>
  <c r="K1913" i="1"/>
  <c r="K1914" i="1"/>
  <c r="K253" i="1"/>
  <c r="K255" i="1"/>
  <c r="K257" i="1"/>
  <c r="K259" i="1"/>
  <c r="K261" i="1"/>
  <c r="K263" i="1"/>
  <c r="K265" i="1"/>
  <c r="K1949" i="1"/>
  <c r="K1950" i="1"/>
  <c r="K268" i="1"/>
  <c r="K1964" i="1"/>
  <c r="K270" i="1"/>
  <c r="K1966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3" i="1"/>
  <c r="K2104" i="1"/>
  <c r="K2105" i="1"/>
  <c r="K2106" i="1"/>
  <c r="K2107" i="1"/>
  <c r="K1133" i="1"/>
  <c r="K2109" i="1"/>
  <c r="K2110" i="1"/>
  <c r="K1131" i="1"/>
  <c r="K2112" i="1"/>
  <c r="K2113" i="1"/>
  <c r="K959" i="1"/>
  <c r="K2115" i="1"/>
  <c r="K2116" i="1"/>
  <c r="K955" i="1"/>
  <c r="K2108" i="1"/>
  <c r="K274" i="1"/>
  <c r="K1117" i="1"/>
  <c r="K2118" i="1"/>
  <c r="K2117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984" i="1"/>
  <c r="K2136" i="1"/>
  <c r="K2137" i="1"/>
  <c r="K2138" i="1"/>
  <c r="K2139" i="1"/>
  <c r="K2140" i="1"/>
  <c r="K2141" i="1"/>
  <c r="K2143" i="1"/>
  <c r="K2144" i="1"/>
  <c r="K2145" i="1"/>
  <c r="K2146" i="1"/>
  <c r="K2147" i="1"/>
  <c r="K2148" i="1"/>
  <c r="K2149" i="1"/>
  <c r="K2150" i="1"/>
  <c r="K2151" i="1"/>
  <c r="K2152" i="1"/>
  <c r="K2153" i="1"/>
  <c r="K2155" i="1"/>
  <c r="K2156" i="1"/>
  <c r="K2157" i="1"/>
  <c r="K2158" i="1"/>
  <c r="K2159" i="1"/>
  <c r="K2160" i="1"/>
  <c r="K2161" i="1"/>
  <c r="K2162" i="1"/>
  <c r="K2163" i="1"/>
  <c r="K2170" i="1"/>
  <c r="K2171" i="1"/>
  <c r="K2173" i="1"/>
  <c r="K2174" i="1"/>
  <c r="K276" i="1"/>
  <c r="K2176" i="1"/>
  <c r="K2177" i="1"/>
  <c r="K2178" i="1"/>
  <c r="K2180" i="1"/>
  <c r="K2183" i="1"/>
  <c r="K2184" i="1"/>
  <c r="K278" i="1"/>
  <c r="K2186" i="1"/>
  <c r="K2188" i="1"/>
  <c r="K2189" i="1"/>
  <c r="K2190" i="1"/>
  <c r="K2191" i="1"/>
  <c r="K2193" i="1"/>
  <c r="K2198" i="1"/>
  <c r="K2201" i="1"/>
  <c r="K2202" i="1"/>
  <c r="K2228" i="1"/>
  <c r="K2234" i="1"/>
  <c r="K2237" i="1"/>
  <c r="K2238" i="1"/>
  <c r="K2239" i="1"/>
  <c r="K2240" i="1"/>
  <c r="K2241" i="1"/>
  <c r="K2242" i="1"/>
  <c r="K2243" i="1"/>
  <c r="K2244" i="1"/>
  <c r="K2247" i="1"/>
  <c r="K2248" i="1"/>
  <c r="K282" i="1"/>
  <c r="K284" i="1"/>
  <c r="K2251" i="1"/>
  <c r="K2252" i="1"/>
  <c r="K2253" i="1"/>
  <c r="K2254" i="1"/>
  <c r="K291" i="1"/>
  <c r="K2256" i="1"/>
  <c r="K2258" i="1"/>
  <c r="K2259" i="1"/>
  <c r="K2261" i="1"/>
  <c r="K2263" i="1"/>
  <c r="K2268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10" i="1"/>
  <c r="K314" i="1"/>
  <c r="K316" i="1"/>
  <c r="K320" i="1"/>
  <c r="K325" i="1"/>
  <c r="K327" i="1"/>
  <c r="K328" i="1"/>
  <c r="K329" i="1"/>
  <c r="K331" i="1"/>
  <c r="K333" i="1"/>
  <c r="K330" i="1"/>
  <c r="K332" i="1"/>
  <c r="K454" i="1"/>
  <c r="K484" i="1"/>
  <c r="K436" i="1"/>
  <c r="K459" i="1"/>
  <c r="K493" i="1"/>
  <c r="K494" i="1"/>
  <c r="K495" i="1"/>
  <c r="K496" i="1"/>
  <c r="K497" i="1"/>
  <c r="K460" i="1"/>
  <c r="K467" i="1"/>
  <c r="K1653" i="1"/>
  <c r="K2262" i="1"/>
  <c r="K473" i="1"/>
  <c r="K475" i="1"/>
  <c r="K1823" i="1"/>
  <c r="K1824" i="1"/>
  <c r="K478" i="1"/>
  <c r="K1825" i="1"/>
  <c r="K1898" i="1"/>
  <c r="K1826" i="1"/>
  <c r="K483" i="1"/>
  <c r="K485" i="1"/>
  <c r="K1827" i="1"/>
  <c r="K1891" i="1"/>
  <c r="K488" i="1"/>
  <c r="K491" i="1"/>
  <c r="K492" i="1"/>
  <c r="K498" i="1"/>
  <c r="K500" i="1"/>
  <c r="K501" i="1"/>
  <c r="K504" i="1"/>
  <c r="K511" i="1"/>
  <c r="K512" i="1"/>
  <c r="K507" i="1"/>
  <c r="K508" i="1"/>
  <c r="K510" i="1"/>
  <c r="K514" i="1"/>
  <c r="K518" i="1"/>
  <c r="K519" i="1"/>
  <c r="K516" i="1"/>
  <c r="K517" i="1"/>
  <c r="K520" i="1"/>
  <c r="K534" i="1"/>
  <c r="K566" i="1"/>
  <c r="K536" i="1"/>
  <c r="K609" i="1"/>
  <c r="K545" i="1"/>
  <c r="K549" i="1"/>
  <c r="K597" i="1"/>
  <c r="K612" i="1"/>
  <c r="K618" i="1"/>
  <c r="K622" i="1"/>
  <c r="K623" i="1"/>
  <c r="K732" i="1"/>
  <c r="K553" i="1"/>
  <c r="K2154" i="1"/>
  <c r="K588" i="1"/>
  <c r="K753" i="1"/>
  <c r="K768" i="1"/>
  <c r="K563" i="1"/>
  <c r="K569" i="1"/>
  <c r="K571" i="1"/>
  <c r="K589" i="1"/>
  <c r="K642" i="1"/>
  <c r="K643" i="1"/>
  <c r="K658" i="1"/>
  <c r="K733" i="1"/>
  <c r="K745" i="1"/>
  <c r="K639" i="1"/>
  <c r="K600" i="1"/>
  <c r="K869" i="1"/>
  <c r="K761" i="1"/>
  <c r="K616" i="1"/>
  <c r="K570" i="1"/>
  <c r="K621" i="1"/>
  <c r="K627" i="1"/>
  <c r="K640" i="1"/>
  <c r="K650" i="1"/>
  <c r="K678" i="1"/>
  <c r="K682" i="1"/>
  <c r="K689" i="1"/>
  <c r="K692" i="1"/>
  <c r="K702" i="1"/>
  <c r="K703" i="1"/>
  <c r="K705" i="1"/>
  <c r="K707" i="1"/>
  <c r="K739" i="1"/>
  <c r="K766" i="1"/>
  <c r="K779" i="1"/>
  <c r="K780" i="1"/>
  <c r="K796" i="1"/>
  <c r="K806" i="1"/>
  <c r="K810" i="1"/>
  <c r="K813" i="1"/>
  <c r="K817" i="1"/>
  <c r="K825" i="1"/>
  <c r="K826" i="1"/>
  <c r="K837" i="1"/>
  <c r="K839" i="1"/>
  <c r="K842" i="1"/>
  <c r="K844" i="1"/>
  <c r="K846" i="1"/>
  <c r="K848" i="1"/>
  <c r="K850" i="1"/>
  <c r="K852" i="1"/>
  <c r="K857" i="1"/>
  <c r="K858" i="1"/>
  <c r="K859" i="1"/>
  <c r="K862" i="1"/>
  <c r="K864" i="1"/>
  <c r="K865" i="1"/>
  <c r="K1116" i="1"/>
  <c r="K867" i="1"/>
  <c r="K868" i="1"/>
  <c r="K870" i="1"/>
  <c r="K871" i="1"/>
  <c r="K872" i="1"/>
  <c r="K873" i="1"/>
  <c r="K874" i="1"/>
  <c r="K875" i="1"/>
  <c r="K876" i="1"/>
  <c r="K877" i="1"/>
  <c r="K879" i="1"/>
  <c r="K880" i="1"/>
  <c r="K893" i="1"/>
  <c r="K894" i="1"/>
  <c r="K899" i="1"/>
  <c r="K908" i="1"/>
  <c r="K913" i="1"/>
  <c r="K923" i="1"/>
  <c r="K927" i="1"/>
  <c r="K931" i="1"/>
  <c r="K943" i="1"/>
  <c r="K946" i="1"/>
  <c r="K953" i="1"/>
  <c r="K950" i="1"/>
  <c r="K956" i="1"/>
  <c r="K961" i="1"/>
  <c r="K966" i="1"/>
  <c r="K971" i="1"/>
  <c r="K980" i="1"/>
  <c r="K986" i="1"/>
  <c r="K1120" i="1"/>
  <c r="K992" i="1"/>
  <c r="K1003" i="1"/>
  <c r="K1005" i="1"/>
  <c r="K1013" i="1"/>
  <c r="K1016" i="1"/>
  <c r="K1024" i="1"/>
  <c r="K1029" i="1"/>
  <c r="K1030" i="1"/>
  <c r="K1034" i="1"/>
  <c r="K1036" i="1"/>
  <c r="K1044" i="1"/>
  <c r="K1047" i="1"/>
  <c r="K1048" i="1"/>
  <c r="K1051" i="1"/>
  <c r="K1052" i="1"/>
  <c r="K1053" i="1"/>
  <c r="K1057" i="1"/>
  <c r="K1062" i="1"/>
  <c r="K1074" i="1"/>
  <c r="K1105" i="1"/>
  <c r="K1111" i="1"/>
  <c r="K1113" i="1"/>
  <c r="K1118" i="1"/>
  <c r="K1132" i="1"/>
  <c r="K1134" i="1"/>
  <c r="K1142" i="1"/>
  <c r="K1143" i="1"/>
  <c r="K1148" i="1"/>
  <c r="K1152" i="1"/>
  <c r="K1153" i="1"/>
  <c r="K1167" i="1"/>
  <c r="K1183" i="1"/>
  <c r="K1191" i="1"/>
  <c r="K1192" i="1"/>
  <c r="K1193" i="1"/>
  <c r="K1202" i="1"/>
  <c r="K1203" i="1"/>
  <c r="K1211" i="1"/>
  <c r="K1215" i="1"/>
  <c r="K1218" i="1"/>
  <c r="K1231" i="1"/>
  <c r="K1239" i="1"/>
  <c r="K1241" i="1"/>
  <c r="K1244" i="1"/>
  <c r="K1249" i="1"/>
  <c r="K1252" i="1"/>
  <c r="K1253" i="1"/>
  <c r="K1255" i="1"/>
  <c r="K1256" i="1"/>
  <c r="K1258" i="1"/>
  <c r="K1259" i="1"/>
  <c r="K1260" i="1"/>
  <c r="K1261" i="1"/>
  <c r="K1262" i="1"/>
  <c r="K1268" i="1"/>
  <c r="K1269" i="1"/>
  <c r="K1270" i="1"/>
  <c r="K1271" i="1"/>
  <c r="K1272" i="1"/>
  <c r="K1273" i="1"/>
  <c r="K1277" i="1"/>
  <c r="K2257" i="1"/>
  <c r="K2260" i="1"/>
  <c r="K457" i="1"/>
  <c r="K499" i="1"/>
  <c r="K1279" i="1"/>
  <c r="K1281" i="1"/>
  <c r="K1292" i="1"/>
  <c r="K1351" i="1"/>
  <c r="K1359" i="1"/>
  <c r="K1360" i="1"/>
  <c r="K1669" i="1"/>
  <c r="K1367" i="1"/>
  <c r="K1369" i="1"/>
  <c r="K1370" i="1"/>
  <c r="K1380" i="1"/>
  <c r="K1385" i="1"/>
  <c r="K1674" i="1"/>
  <c r="K1391" i="1"/>
  <c r="K1392" i="1"/>
  <c r="K1429" i="1"/>
  <c r="K1432" i="1"/>
  <c r="K1433" i="1"/>
  <c r="K1447" i="1"/>
  <c r="K1449" i="1"/>
  <c r="K1451" i="1"/>
  <c r="K1454" i="1"/>
  <c r="K1457" i="1"/>
  <c r="K309" i="1"/>
  <c r="K1460" i="1"/>
  <c r="K312" i="1"/>
  <c r="K313" i="1"/>
  <c r="K1466" i="1"/>
  <c r="K1470" i="1"/>
  <c r="K1472" i="1"/>
  <c r="K318" i="1"/>
  <c r="K1474" i="1"/>
  <c r="K1475" i="1"/>
  <c r="K1476" i="1"/>
  <c r="K1477" i="1"/>
  <c r="K2266" i="1"/>
  <c r="K1250" i="1"/>
  <c r="K1443" i="1"/>
  <c r="K1450" i="1"/>
  <c r="K1452" i="1"/>
  <c r="K1453" i="1"/>
  <c r="K1455" i="1"/>
  <c r="K319" i="1"/>
  <c r="K1456" i="1"/>
  <c r="K1458" i="1"/>
  <c r="K1459" i="1"/>
  <c r="K1462" i="1"/>
  <c r="K1463" i="1"/>
  <c r="K1464" i="1"/>
  <c r="K1465" i="1"/>
  <c r="K1467" i="1"/>
  <c r="K1468" i="1"/>
  <c r="K1469" i="1"/>
  <c r="K1471" i="1"/>
  <c r="K1473" i="1"/>
  <c r="K1967" i="1"/>
  <c r="K1478" i="1"/>
  <c r="K1482" i="1"/>
  <c r="K1485" i="1"/>
  <c r="K1490" i="1"/>
  <c r="K1493" i="1"/>
  <c r="K1498" i="1"/>
  <c r="K1507" i="1"/>
  <c r="K1512" i="1"/>
  <c r="K1479" i="1"/>
  <c r="K1483" i="1"/>
  <c r="K1486" i="1"/>
  <c r="K1491" i="1"/>
  <c r="K1494" i="1"/>
  <c r="K1497" i="1"/>
  <c r="K1499" i="1"/>
  <c r="K1502" i="1"/>
  <c r="K1504" i="1"/>
  <c r="K1506" i="1"/>
  <c r="K1508" i="1"/>
  <c r="K1510" i="1"/>
  <c r="K322" i="1"/>
  <c r="K323" i="1"/>
  <c r="K324" i="1"/>
  <c r="K1513" i="1"/>
  <c r="K1488" i="1"/>
  <c r="K1480" i="1"/>
  <c r="K1484" i="1"/>
  <c r="K1487" i="1"/>
  <c r="K1492" i="1"/>
  <c r="K1495" i="1"/>
  <c r="K1496" i="1"/>
  <c r="K1500" i="1"/>
  <c r="K1501" i="1"/>
  <c r="K1503" i="1"/>
  <c r="K1505" i="1"/>
  <c r="K1509" i="1"/>
  <c r="K1511" i="1"/>
  <c r="K1514" i="1"/>
  <c r="K1489" i="1"/>
  <c r="K1481" i="1"/>
  <c r="K1629" i="1"/>
  <c r="K1638" i="1"/>
  <c r="K1648" i="1"/>
  <c r="K1649" i="1"/>
  <c r="K1651" i="1"/>
  <c r="K1652" i="1"/>
  <c r="K1660" i="1"/>
  <c r="K1662" i="1"/>
  <c r="K1663" i="1"/>
  <c r="K1665" i="1"/>
  <c r="K1666" i="1"/>
  <c r="K1668" i="1"/>
  <c r="K1670" i="1"/>
  <c r="K1982" i="1"/>
  <c r="K1671" i="1"/>
  <c r="K1672" i="1"/>
  <c r="K1675" i="1"/>
  <c r="K1852" i="1"/>
  <c r="K1676" i="1"/>
  <c r="K2374" i="1"/>
  <c r="K1678" i="1"/>
  <c r="K2373" i="1"/>
  <c r="K1680" i="1"/>
  <c r="K1681" i="1"/>
  <c r="K1682" i="1"/>
  <c r="K1700" i="1"/>
  <c r="K1983" i="1"/>
  <c r="K1859" i="1"/>
  <c r="K1701" i="1"/>
  <c r="K1821" i="1"/>
  <c r="K1822" i="1"/>
  <c r="K1242" i="1"/>
  <c r="K1254" i="1"/>
  <c r="K1257" i="1"/>
  <c r="K1989" i="1"/>
  <c r="K1854" i="1"/>
  <c r="K1820" i="1"/>
  <c r="K1995" i="1"/>
  <c r="K1873" i="1"/>
  <c r="K1893" i="1"/>
  <c r="K1899" i="1"/>
  <c r="K1894" i="1"/>
  <c r="K1892" i="1"/>
  <c r="K1895" i="1"/>
  <c r="K1897" i="1"/>
  <c r="K1190" i="1"/>
  <c r="K1915" i="1"/>
  <c r="K1916" i="1"/>
  <c r="K1918" i="1"/>
  <c r="K1920" i="1"/>
  <c r="K1926" i="1"/>
  <c r="K1925" i="1"/>
  <c r="K1927" i="1"/>
  <c r="K1930" i="1"/>
  <c r="K1931" i="1"/>
  <c r="K1932" i="1"/>
  <c r="K1933" i="1"/>
  <c r="K1934" i="1"/>
  <c r="K1994" i="1"/>
  <c r="K1935" i="1"/>
  <c r="K1917" i="1"/>
  <c r="K1987" i="1"/>
  <c r="K1936" i="1"/>
  <c r="K1947" i="1"/>
  <c r="K1945" i="1"/>
  <c r="K1943" i="1"/>
  <c r="K1951" i="1"/>
  <c r="K1965" i="1"/>
  <c r="K1969" i="1"/>
  <c r="K1970" i="1"/>
  <c r="K1971" i="1"/>
  <c r="K1972" i="1"/>
  <c r="K1921" i="1"/>
  <c r="K1922" i="1"/>
  <c r="K2249" i="1"/>
  <c r="K1973" i="1"/>
  <c r="K1974" i="1"/>
  <c r="K1975" i="1"/>
  <c r="K1976" i="1"/>
  <c r="K1977" i="1"/>
  <c r="K1978" i="1"/>
  <c r="K1980" i="1"/>
  <c r="K1981" i="1"/>
  <c r="K1984" i="1"/>
  <c r="K1985" i="1"/>
  <c r="K1929" i="1"/>
  <c r="K1986" i="1"/>
  <c r="K1990" i="1"/>
  <c r="K1992" i="1"/>
  <c r="K1996" i="1"/>
  <c r="K1998" i="1"/>
  <c r="K1999" i="1"/>
  <c r="K2000" i="1"/>
  <c r="K2245" i="1"/>
  <c r="K2246" i="1"/>
  <c r="K2001" i="1"/>
  <c r="K2002" i="1"/>
  <c r="K2013" i="1"/>
  <c r="K2014" i="1"/>
  <c r="K2102" i="1"/>
  <c r="K2142" i="1"/>
  <c r="K2192" i="1"/>
  <c r="K2165" i="1"/>
  <c r="K2166" i="1"/>
  <c r="K2167" i="1"/>
  <c r="K2168" i="1"/>
  <c r="K2179" i="1"/>
  <c r="K2181" i="1"/>
  <c r="K2182" i="1"/>
  <c r="K2194" i="1"/>
  <c r="K783" i="1"/>
  <c r="K2195" i="1"/>
  <c r="K515" i="1"/>
  <c r="K2196" i="1"/>
  <c r="K2200" i="1"/>
  <c r="K2203" i="1"/>
  <c r="K2207" i="1"/>
  <c r="K2210" i="1"/>
  <c r="K2211" i="1"/>
  <c r="K2212" i="1"/>
  <c r="K2213" i="1"/>
  <c r="K2214" i="1"/>
  <c r="K2215" i="1"/>
  <c r="K2216" i="1"/>
  <c r="K2217" i="1"/>
  <c r="K2218" i="1"/>
  <c r="K2219" i="1"/>
  <c r="K2220" i="1"/>
  <c r="K1650" i="1"/>
  <c r="K2221" i="1"/>
  <c r="K2222" i="1"/>
  <c r="K1991" i="1"/>
  <c r="K2223" i="1"/>
  <c r="K1993" i="1"/>
  <c r="K2224" i="1"/>
  <c r="K2225" i="1"/>
  <c r="K2012" i="1"/>
  <c r="K2226" i="1"/>
  <c r="K2003" i="1"/>
  <c r="K2004" i="1"/>
  <c r="K2005" i="1"/>
  <c r="K2006" i="1"/>
  <c r="K2227" i="1"/>
  <c r="K2231" i="1"/>
  <c r="K2255" i="1"/>
  <c r="K2264" i="1"/>
  <c r="K2233" i="1"/>
  <c r="K2235" i="1"/>
  <c r="K2007" i="1"/>
  <c r="K2009" i="1"/>
  <c r="K2010" i="1"/>
  <c r="K2265" i="1"/>
  <c r="K2236" i="1"/>
  <c r="K2205" i="1"/>
  <c r="K226" i="1"/>
  <c r="K2011" i="1"/>
  <c r="K2015" i="1"/>
  <c r="K690" i="1"/>
  <c r="K693" i="1"/>
  <c r="K1712" i="1"/>
  <c r="K830" i="1"/>
  <c r="K1012" i="1"/>
  <c r="K1426" i="1"/>
  <c r="E519" i="2"/>
  <c r="E492" i="2"/>
  <c r="C1426" i="1"/>
  <c r="F1426" i="1"/>
  <c r="E491" i="2"/>
  <c r="C1012" i="1"/>
  <c r="F1012" i="1"/>
  <c r="C830" i="1"/>
  <c r="F830" i="1"/>
  <c r="E490" i="2"/>
  <c r="C1712" i="1"/>
  <c r="F1712" i="1"/>
  <c r="E489" i="2"/>
  <c r="F693" i="1"/>
  <c r="C693" i="1"/>
  <c r="C690" i="1"/>
  <c r="F690" i="1"/>
  <c r="E486" i="2"/>
  <c r="E487" i="2"/>
  <c r="C2015" i="1"/>
  <c r="F2015" i="1"/>
  <c r="C2011" i="1"/>
  <c r="F2011" i="1"/>
  <c r="C226" i="1"/>
  <c r="F226" i="1"/>
  <c r="C1269" i="1"/>
  <c r="F1269" i="1"/>
  <c r="C1268" i="1"/>
  <c r="F1268" i="1"/>
  <c r="F2175" i="1"/>
  <c r="C2012" i="1"/>
  <c r="F2012" i="1"/>
  <c r="C2010" i="1"/>
  <c r="F2010" i="1"/>
  <c r="C2009" i="1"/>
  <c r="F2009" i="1"/>
  <c r="C2007" i="1"/>
  <c r="F2007" i="1"/>
  <c r="E482" i="2"/>
  <c r="E483" i="2"/>
  <c r="E484" i="2"/>
  <c r="E485" i="2"/>
  <c r="C2014" i="1"/>
  <c r="F2014" i="1"/>
  <c r="C2013" i="1"/>
  <c r="F2013" i="1"/>
  <c r="E479" i="2"/>
  <c r="E480" i="2"/>
  <c r="E494" i="2"/>
  <c r="C330" i="1"/>
  <c r="F330" i="1"/>
  <c r="F265" i="1"/>
  <c r="C265" i="1"/>
  <c r="C306" i="1"/>
  <c r="F306" i="1"/>
  <c r="C332" i="1"/>
  <c r="F332" i="1"/>
  <c r="C2006" i="1"/>
  <c r="F2006" i="1"/>
  <c r="E471" i="2"/>
  <c r="E470" i="2"/>
  <c r="C2005" i="1"/>
  <c r="F2005" i="1"/>
  <c r="C2004" i="1"/>
  <c r="F2004" i="1"/>
  <c r="E469" i="2"/>
  <c r="C2003" i="1"/>
  <c r="F2003" i="1"/>
  <c r="E493" i="2"/>
  <c r="E467" i="2"/>
  <c r="C1036" i="1"/>
  <c r="F1036" i="1"/>
  <c r="E461" i="2"/>
  <c r="C328" i="1"/>
  <c r="F328" i="1"/>
  <c r="C329" i="1"/>
  <c r="F329" i="1"/>
  <c r="C331" i="1"/>
  <c r="F331" i="1"/>
  <c r="C333" i="1"/>
  <c r="F333" i="1"/>
  <c r="F327" i="1"/>
  <c r="C327" i="1"/>
  <c r="E460" i="2"/>
  <c r="F293" i="1"/>
  <c r="C293" i="1"/>
  <c r="F294" i="1"/>
  <c r="C294" i="1"/>
  <c r="F295" i="1"/>
  <c r="C295" i="1"/>
  <c r="C292" i="1"/>
  <c r="F292" i="1"/>
  <c r="E459" i="2"/>
  <c r="E458" i="2"/>
  <c r="F1671" i="1"/>
  <c r="C1671" i="1"/>
  <c r="E457" i="2"/>
  <c r="F2001" i="1"/>
  <c r="E456" i="2"/>
  <c r="E481" i="2"/>
  <c r="C2002" i="1"/>
  <c r="F2002" i="1"/>
  <c r="C2245" i="1"/>
  <c r="C2246" i="1"/>
  <c r="F2245" i="1"/>
  <c r="F2246" i="1"/>
  <c r="E454" i="2"/>
  <c r="F1053" i="1"/>
  <c r="C1053" i="1"/>
  <c r="E453" i="2"/>
  <c r="E452" i="2"/>
  <c r="F627" i="1"/>
  <c r="C627" i="1"/>
  <c r="E451" i="2"/>
  <c r="C1999" i="1"/>
  <c r="F1999" i="1"/>
  <c r="C2000" i="1"/>
  <c r="F2000" i="1"/>
  <c r="C1927" i="1"/>
  <c r="F1927" i="1"/>
  <c r="E449" i="2"/>
  <c r="E450" i="2"/>
  <c r="E447" i="2"/>
  <c r="E448" i="2"/>
  <c r="F1682" i="1"/>
  <c r="C1682" i="1"/>
  <c r="F1218" i="1"/>
  <c r="C1218" i="1"/>
  <c r="F1215" i="1"/>
  <c r="C1215" i="1"/>
  <c r="C1951" i="1"/>
  <c r="F1951" i="1"/>
  <c r="E446" i="2"/>
  <c r="E445" i="2"/>
  <c r="C2196" i="1"/>
  <c r="F2196" i="1"/>
  <c r="E443" i="2"/>
  <c r="E444" i="2"/>
  <c r="C992" i="1"/>
  <c r="F992" i="1"/>
  <c r="C1998" i="1"/>
  <c r="F1998" i="1"/>
  <c r="C1292" i="1"/>
  <c r="F1292" i="1"/>
  <c r="C276" i="1"/>
  <c r="F276" i="1"/>
  <c r="C284" i="1"/>
  <c r="F284" i="1"/>
  <c r="F268" i="1"/>
  <c r="C268" i="1"/>
  <c r="F278" i="1"/>
  <c r="C278" i="1"/>
  <c r="F1489" i="1"/>
  <c r="C1489" i="1"/>
  <c r="F1514" i="1"/>
  <c r="C1514" i="1"/>
  <c r="F1511" i="1"/>
  <c r="C1511" i="1"/>
  <c r="F1509" i="1"/>
  <c r="C1509" i="1"/>
  <c r="F1505" i="1"/>
  <c r="C1505" i="1"/>
  <c r="F1503" i="1"/>
  <c r="C1503" i="1"/>
  <c r="F1501" i="1"/>
  <c r="C1501" i="1"/>
  <c r="F1500" i="1"/>
  <c r="C1500" i="1"/>
  <c r="F1496" i="1"/>
  <c r="C1496" i="1"/>
  <c r="F1495" i="1"/>
  <c r="C1495" i="1"/>
  <c r="F1492" i="1"/>
  <c r="C1492" i="1"/>
  <c r="F1487" i="1"/>
  <c r="C1487" i="1"/>
  <c r="F1484" i="1"/>
  <c r="C1484" i="1"/>
  <c r="F1480" i="1"/>
  <c r="C1480" i="1"/>
  <c r="C1481" i="1"/>
  <c r="F1481" i="1"/>
  <c r="E439" i="2"/>
  <c r="E442" i="2"/>
  <c r="C1981" i="1"/>
  <c r="C1980" i="1"/>
  <c r="F876" i="1"/>
  <c r="C876" i="1"/>
  <c r="F874" i="1"/>
  <c r="C874" i="1"/>
  <c r="F219" i="1"/>
  <c r="F11" i="1"/>
  <c r="F1256" i="1"/>
  <c r="C1256" i="1"/>
  <c r="F943" i="1"/>
  <c r="C943" i="1"/>
  <c r="C1990" i="1"/>
  <c r="C1992" i="1"/>
  <c r="F1258" i="1"/>
  <c r="C1258" i="1"/>
  <c r="F1255" i="1"/>
  <c r="C1255" i="1"/>
  <c r="F282" i="1"/>
  <c r="C282" i="1"/>
  <c r="F263" i="1"/>
  <c r="C263" i="1"/>
  <c r="F274" i="1"/>
  <c r="F270" i="1"/>
  <c r="F261" i="1"/>
  <c r="F259" i="1"/>
  <c r="F257" i="1"/>
  <c r="F255" i="1"/>
  <c r="F253" i="1"/>
  <c r="F251" i="1"/>
  <c r="F249" i="1"/>
  <c r="F247" i="1"/>
  <c r="F245" i="1"/>
  <c r="F243" i="1"/>
  <c r="F260" i="1"/>
  <c r="C274" i="1"/>
  <c r="C270" i="1"/>
  <c r="C261" i="1"/>
  <c r="C259" i="1"/>
  <c r="E437" i="2"/>
  <c r="E438" i="2"/>
  <c r="C1259" i="1"/>
  <c r="F1259" i="1"/>
  <c r="E436" i="2"/>
  <c r="E435" i="2"/>
  <c r="C1932" i="1"/>
  <c r="F1932" i="1"/>
  <c r="C1057" i="1"/>
  <c r="F1057" i="1"/>
  <c r="E434" i="2"/>
  <c r="C1044" i="1"/>
  <c r="F1044" i="1"/>
  <c r="E433" i="2"/>
  <c r="F950" i="1"/>
  <c r="C950" i="1"/>
  <c r="E432" i="2"/>
  <c r="E431" i="2"/>
  <c r="F1992" i="1"/>
  <c r="F1990" i="1"/>
  <c r="E430" i="2"/>
  <c r="E429" i="2"/>
  <c r="F1663" i="1"/>
  <c r="C1663" i="1"/>
  <c r="C1997" i="1"/>
  <c r="F1997" i="1"/>
  <c r="E428" i="2"/>
  <c r="C1996" i="1"/>
  <c r="F1996" i="1"/>
  <c r="E427" i="2"/>
  <c r="E426" i="2"/>
  <c r="F2226" i="1"/>
  <c r="C2226" i="1"/>
  <c r="F2224" i="1"/>
  <c r="C2224" i="1"/>
  <c r="E425" i="2"/>
  <c r="F2222" i="1"/>
  <c r="C2222" i="1"/>
  <c r="E424" i="2"/>
  <c r="F2220" i="1"/>
  <c r="C2220" i="1"/>
  <c r="E423" i="2"/>
  <c r="E422" i="2"/>
  <c r="E421" i="2"/>
  <c r="F2214" i="1"/>
  <c r="C2214" i="1"/>
  <c r="C2212" i="1"/>
  <c r="F2212" i="1"/>
  <c r="E420" i="2"/>
  <c r="C1943" i="1"/>
  <c r="F1943" i="1"/>
  <c r="E419" i="2"/>
  <c r="C1360" i="1"/>
  <c r="F1360" i="1"/>
  <c r="C1359" i="1"/>
  <c r="F1359" i="1"/>
  <c r="E418" i="2"/>
  <c r="C689" i="1"/>
  <c r="F689" i="1"/>
  <c r="E417" i="2"/>
  <c r="C1987" i="1"/>
  <c r="F1987" i="1"/>
  <c r="E416" i="2"/>
  <c r="E415" i="2"/>
  <c r="C1991" i="1"/>
  <c r="F1991" i="1"/>
  <c r="C1993" i="1"/>
  <c r="F1993" i="1"/>
  <c r="E414" i="2"/>
  <c r="C1994" i="1"/>
  <c r="F1994" i="1"/>
  <c r="E413" i="2"/>
  <c r="C257" i="1"/>
  <c r="E412" i="2"/>
  <c r="E411" i="2"/>
  <c r="E410" i="2"/>
  <c r="F1473" i="1"/>
  <c r="C1473" i="1"/>
  <c r="F1471" i="1"/>
  <c r="C1471" i="1"/>
  <c r="F1469" i="1"/>
  <c r="C1469" i="1"/>
  <c r="F1468" i="1"/>
  <c r="C1468" i="1"/>
  <c r="F1467" i="1"/>
  <c r="C1467" i="1"/>
  <c r="F1465" i="1"/>
  <c r="C1465" i="1"/>
  <c r="F1464" i="1"/>
  <c r="C1464" i="1"/>
  <c r="F1463" i="1"/>
  <c r="C1463" i="1"/>
  <c r="F1462" i="1"/>
  <c r="C1462" i="1"/>
  <c r="F1459" i="1"/>
  <c r="C1459" i="1"/>
  <c r="F1458" i="1"/>
  <c r="C1458" i="1"/>
  <c r="F1456" i="1"/>
  <c r="C1456" i="1"/>
  <c r="F1455" i="1"/>
  <c r="C1455" i="1"/>
  <c r="F1453" i="1"/>
  <c r="C1453" i="1"/>
  <c r="F1452" i="1"/>
  <c r="C1452" i="1"/>
  <c r="F1450" i="1"/>
  <c r="C1450" i="1"/>
  <c r="F1443" i="1"/>
  <c r="C1443" i="1"/>
  <c r="C1995" i="1"/>
  <c r="F1995" i="1"/>
  <c r="E407" i="2"/>
  <c r="E408" i="2"/>
  <c r="E409" i="2"/>
  <c r="C1989" i="1"/>
  <c r="F1989" i="1"/>
  <c r="E406" i="2"/>
  <c r="C1988" i="1"/>
  <c r="E405" i="2"/>
  <c r="C1257" i="1"/>
  <c r="F1257" i="1"/>
  <c r="E404" i="2"/>
  <c r="C1254" i="1"/>
  <c r="F1254" i="1"/>
  <c r="E403" i="2"/>
  <c r="C1242" i="1"/>
  <c r="F1242" i="1"/>
  <c r="E402" i="2"/>
  <c r="C1191" i="1"/>
  <c r="F1191" i="1"/>
  <c r="E401" i="2"/>
  <c r="E397" i="2"/>
  <c r="C1193" i="1"/>
  <c r="F1193" i="1"/>
  <c r="E396" i="2"/>
  <c r="C1859" i="1"/>
  <c r="F1859" i="1"/>
  <c r="E395" i="2"/>
  <c r="E394" i="2"/>
  <c r="E393" i="2"/>
  <c r="C1666" i="1"/>
  <c r="F1666" i="1"/>
  <c r="E392" i="2"/>
  <c r="E391" i="2"/>
  <c r="C1985" i="1"/>
  <c r="F1985" i="1"/>
  <c r="C1984" i="1"/>
  <c r="F1984" i="1"/>
  <c r="E390" i="2"/>
  <c r="C1986" i="1"/>
  <c r="F1986" i="1"/>
  <c r="E389" i="2"/>
  <c r="C761" i="1"/>
  <c r="F761" i="1"/>
  <c r="C2217" i="1"/>
  <c r="F2217" i="1"/>
  <c r="C1983" i="1"/>
  <c r="F1983" i="1"/>
  <c r="E388" i="2"/>
  <c r="E468" i="2"/>
  <c r="C1013" i="1"/>
  <c r="F1013" i="1"/>
  <c r="E386" i="2"/>
  <c r="C1852" i="1"/>
  <c r="F1852" i="1"/>
  <c r="E385" i="2"/>
  <c r="C1262" i="1"/>
  <c r="F1262" i="1"/>
  <c r="C1367" i="1"/>
  <c r="F1367" i="1"/>
  <c r="E384" i="2"/>
  <c r="C1982" i="1"/>
  <c r="F1982" i="1"/>
  <c r="E383" i="2"/>
  <c r="C2211" i="1"/>
  <c r="F2211" i="1"/>
  <c r="C2182" i="1"/>
  <c r="F2182" i="1"/>
  <c r="F1279" i="1"/>
  <c r="C1279" i="1"/>
  <c r="E382" i="2"/>
  <c r="C1277" i="1"/>
  <c r="F1277" i="1"/>
  <c r="E381" i="2"/>
  <c r="C1488" i="1"/>
  <c r="F1488" i="1"/>
  <c r="F1513" i="1"/>
  <c r="C1513" i="1"/>
  <c r="F1510" i="1"/>
  <c r="C1510" i="1"/>
  <c r="F1508" i="1"/>
  <c r="C1508" i="1"/>
  <c r="F1506" i="1"/>
  <c r="C1506" i="1"/>
  <c r="F1504" i="1"/>
  <c r="C1504" i="1"/>
  <c r="F1502" i="1"/>
  <c r="C1502" i="1"/>
  <c r="F1499" i="1"/>
  <c r="C1499" i="1"/>
  <c r="F1497" i="1"/>
  <c r="C1497" i="1"/>
  <c r="F1494" i="1"/>
  <c r="C1494" i="1"/>
  <c r="F1491" i="1"/>
  <c r="C1491" i="1"/>
  <c r="F1486" i="1"/>
  <c r="C1486" i="1"/>
  <c r="F1483" i="1"/>
  <c r="C1483" i="1"/>
  <c r="F1479" i="1"/>
  <c r="C1479" i="1"/>
  <c r="E380" i="2"/>
  <c r="C225" i="1"/>
  <c r="F225" i="1"/>
  <c r="E379" i="2"/>
  <c r="C707" i="1"/>
  <c r="F707" i="1"/>
  <c r="E378" i="2"/>
  <c r="C1979" i="1"/>
  <c r="F1979" i="1"/>
  <c r="E377" i="2"/>
  <c r="F1981" i="1"/>
  <c r="F1980" i="1"/>
  <c r="C255" i="1"/>
  <c r="C253" i="1"/>
  <c r="C251" i="1"/>
  <c r="C249" i="1"/>
  <c r="C247" i="1"/>
  <c r="C245" i="1"/>
  <c r="C243" i="1"/>
  <c r="C503" i="1"/>
  <c r="F503" i="1"/>
  <c r="C1559" i="1"/>
  <c r="F1559" i="1"/>
  <c r="F1578" i="1"/>
  <c r="C1578" i="1"/>
  <c r="F1575" i="1"/>
  <c r="C1575" i="1"/>
  <c r="F1573" i="1"/>
  <c r="C1573" i="1"/>
  <c r="F1572" i="1"/>
  <c r="C1572" i="1"/>
  <c r="F1570" i="1"/>
  <c r="C1570" i="1"/>
  <c r="F1567" i="1"/>
  <c r="C1567" i="1"/>
  <c r="F1565" i="1"/>
  <c r="C1565" i="1"/>
  <c r="F1562" i="1"/>
  <c r="C1562" i="1"/>
  <c r="F1561" i="1"/>
  <c r="C1561" i="1"/>
  <c r="F1560" i="1"/>
  <c r="C1560" i="1"/>
  <c r="E376" i="2"/>
  <c r="C913" i="1"/>
  <c r="F913" i="1"/>
  <c r="E375" i="2"/>
  <c r="C553" i="1"/>
  <c r="F553" i="1"/>
  <c r="C1978" i="1"/>
  <c r="F1978" i="1"/>
  <c r="C1977" i="1"/>
  <c r="F1977" i="1"/>
  <c r="C869" i="1"/>
  <c r="F869" i="1"/>
  <c r="E374" i="2"/>
  <c r="E373" i="2"/>
  <c r="E372" i="2"/>
  <c r="E371" i="2"/>
  <c r="E370" i="2"/>
  <c r="E369" i="2"/>
  <c r="E368" i="2"/>
  <c r="E367" i="2"/>
  <c r="E366" i="2"/>
  <c r="E365" i="2"/>
  <c r="E364" i="2"/>
  <c r="C2225" i="1"/>
  <c r="F2225" i="1"/>
  <c r="C2216" i="1"/>
  <c r="F2216" i="1"/>
  <c r="C986" i="1"/>
  <c r="F986" i="1"/>
  <c r="C1143" i="1"/>
  <c r="F1143" i="1"/>
  <c r="E362" i="2"/>
  <c r="C2200" i="1"/>
  <c r="F2200" i="1"/>
  <c r="E361" i="2"/>
  <c r="E360" i="2"/>
  <c r="E359" i="2"/>
  <c r="E356" i="2"/>
  <c r="C1899" i="1"/>
  <c r="F1899" i="1"/>
  <c r="E358" i="2"/>
  <c r="E354" i="2"/>
  <c r="C2233" i="1"/>
  <c r="F2233" i="1"/>
  <c r="C1967" i="1"/>
  <c r="F1967" i="1"/>
  <c r="C2223" i="1"/>
  <c r="F2223" i="1"/>
  <c r="C2219" i="1"/>
  <c r="F2219" i="1"/>
  <c r="C2218" i="1"/>
  <c r="F2218" i="1"/>
  <c r="E352" i="2"/>
  <c r="E351" i="2"/>
  <c r="E350" i="2"/>
  <c r="E349" i="2"/>
  <c r="E348" i="2"/>
  <c r="E347" i="2"/>
  <c r="E346" i="2"/>
  <c r="E345" i="2"/>
  <c r="E344" i="2"/>
  <c r="E343" i="2"/>
  <c r="E455" i="2"/>
  <c r="C1976" i="1"/>
  <c r="F1976" i="1"/>
  <c r="C2207" i="1"/>
  <c r="F2207" i="1"/>
  <c r="C2205" i="1"/>
  <c r="F2205" i="1"/>
  <c r="C2215" i="1"/>
  <c r="F2215" i="1"/>
  <c r="C2213" i="1"/>
  <c r="F2213" i="1"/>
  <c r="C2210" i="1"/>
  <c r="F2210" i="1"/>
  <c r="C2221" i="1"/>
  <c r="F2221" i="1"/>
  <c r="C436" i="1"/>
  <c r="F436" i="1"/>
  <c r="E341" i="2"/>
  <c r="E340" i="2"/>
  <c r="E339" i="2"/>
  <c r="E338" i="2"/>
  <c r="E337" i="2"/>
  <c r="E336" i="2"/>
  <c r="E334" i="2"/>
  <c r="C1931" i="1"/>
  <c r="F1931" i="1"/>
  <c r="E335" i="2"/>
  <c r="C1972" i="1"/>
  <c r="F1972" i="1"/>
  <c r="C1975" i="1"/>
  <c r="F1975" i="1"/>
  <c r="C1974" i="1"/>
  <c r="F1974" i="1"/>
  <c r="C1973" i="1"/>
  <c r="F1973" i="1"/>
  <c r="C1971" i="1"/>
  <c r="F1971" i="1"/>
  <c r="C1970" i="1"/>
  <c r="F1970" i="1"/>
  <c r="C1252" i="1"/>
  <c r="F1252" i="1"/>
  <c r="C2236" i="1"/>
  <c r="F2236" i="1"/>
  <c r="E332" i="2"/>
  <c r="E331" i="2"/>
  <c r="E330" i="2"/>
  <c r="E329" i="2"/>
  <c r="E328" i="2"/>
  <c r="E327" i="2"/>
  <c r="E326" i="2"/>
  <c r="E325" i="2"/>
  <c r="E173" i="2"/>
  <c r="E322" i="2"/>
  <c r="E323" i="2"/>
  <c r="E321" i="2"/>
  <c r="E320" i="2"/>
  <c r="E319" i="2"/>
  <c r="E316" i="2"/>
  <c r="E317" i="2"/>
  <c r="E315" i="2"/>
  <c r="E314" i="2"/>
  <c r="E313" i="2"/>
  <c r="C1241" i="1"/>
  <c r="F1241" i="1"/>
  <c r="C1253" i="1"/>
  <c r="F1253" i="1"/>
  <c r="E111" i="2"/>
  <c r="E95" i="2"/>
  <c r="E311" i="2"/>
  <c r="E308" i="2"/>
  <c r="E307" i="2"/>
  <c r="E293" i="2"/>
  <c r="E305" i="2"/>
  <c r="E304" i="2"/>
  <c r="E303" i="2"/>
  <c r="E285" i="2"/>
  <c r="E103" i="2"/>
  <c r="E93" i="2"/>
  <c r="E102" i="2"/>
  <c r="E87" i="2"/>
  <c r="E342" i="2"/>
  <c r="E295" i="2"/>
  <c r="E275" i="2"/>
  <c r="E223" i="2"/>
  <c r="E269" i="2"/>
  <c r="E292" i="2"/>
  <c r="E291" i="2"/>
  <c r="E333" i="2"/>
  <c r="E289" i="2"/>
  <c r="E85" i="2"/>
  <c r="E287" i="2"/>
  <c r="E90" i="2"/>
  <c r="E290" i="2"/>
  <c r="E302" i="2"/>
  <c r="E286" i="2"/>
  <c r="E284" i="2"/>
  <c r="E281" i="2"/>
  <c r="E82" i="2"/>
  <c r="E283" i="2"/>
  <c r="E282" i="2"/>
  <c r="E277" i="2"/>
  <c r="E276" i="2"/>
  <c r="E209" i="2"/>
  <c r="E272" i="2"/>
  <c r="E271" i="2"/>
  <c r="E270" i="2"/>
  <c r="E268" i="2"/>
  <c r="E267" i="2"/>
  <c r="E266" i="2"/>
  <c r="E217" i="2"/>
  <c r="E203" i="2"/>
  <c r="E263" i="2"/>
  <c r="E262" i="2"/>
  <c r="E300" i="2"/>
  <c r="E260" i="2"/>
  <c r="E259" i="2"/>
  <c r="E258" i="2"/>
  <c r="E257" i="2"/>
  <c r="E256" i="2"/>
  <c r="E255" i="2"/>
  <c r="E294" i="2"/>
  <c r="E218" i="2"/>
  <c r="E252" i="2"/>
  <c r="E251" i="2"/>
  <c r="E250" i="2"/>
  <c r="E249" i="2"/>
  <c r="E248" i="2"/>
  <c r="E247" i="2"/>
  <c r="E278" i="2"/>
  <c r="E246" i="2"/>
  <c r="E279" i="2"/>
  <c r="E245" i="2"/>
  <c r="E241" i="2"/>
  <c r="E240" i="2"/>
  <c r="E244" i="2"/>
  <c r="E239" i="2"/>
  <c r="E238" i="2"/>
  <c r="E233" i="2"/>
  <c r="E232" i="2"/>
  <c r="E243" i="2"/>
  <c r="E242" i="2"/>
  <c r="E229" i="2"/>
  <c r="E228" i="2"/>
  <c r="E227" i="2"/>
  <c r="E226" i="2"/>
  <c r="E225" i="2"/>
  <c r="E306" i="2"/>
  <c r="E224" i="2"/>
  <c r="E231" i="2"/>
  <c r="E301" i="2"/>
  <c r="E221" i="2"/>
  <c r="E220" i="2"/>
  <c r="E219" i="2"/>
  <c r="E265" i="2"/>
  <c r="E215" i="2"/>
  <c r="E214" i="2"/>
  <c r="E213" i="2"/>
  <c r="E212" i="2"/>
  <c r="E211" i="2"/>
  <c r="E254" i="2"/>
  <c r="E208" i="2"/>
  <c r="E207" i="2"/>
  <c r="E206" i="2"/>
  <c r="E205" i="2"/>
  <c r="E230" i="2"/>
  <c r="E288" i="2"/>
  <c r="E202" i="2"/>
  <c r="E201" i="2"/>
  <c r="E264" i="2"/>
  <c r="E199" i="2"/>
  <c r="E198" i="2"/>
  <c r="E197" i="2"/>
  <c r="E196" i="2"/>
  <c r="E192" i="2"/>
  <c r="E190" i="2"/>
  <c r="E189" i="2"/>
  <c r="E188" i="2"/>
  <c r="E187" i="2"/>
  <c r="E184" i="2"/>
  <c r="E186" i="2"/>
  <c r="E185" i="2"/>
  <c r="E191" i="2"/>
  <c r="E183" i="2"/>
  <c r="E182" i="2"/>
  <c r="E253" i="2"/>
  <c r="E181" i="2"/>
  <c r="E180" i="2"/>
  <c r="E179" i="2"/>
  <c r="E177" i="2"/>
  <c r="E222" i="2"/>
  <c r="E176" i="2"/>
  <c r="E216" i="2"/>
  <c r="E174" i="2"/>
  <c r="E171" i="2"/>
  <c r="E170" i="2"/>
  <c r="E158" i="2"/>
  <c r="E168" i="2"/>
  <c r="E167" i="2"/>
  <c r="E166" i="2"/>
  <c r="E165" i="2"/>
  <c r="E163" i="2"/>
  <c r="E164" i="2"/>
  <c r="E162" i="2"/>
  <c r="E161" i="2"/>
  <c r="E141" i="2"/>
  <c r="E159" i="2"/>
  <c r="E122" i="2"/>
  <c r="E156" i="2"/>
  <c r="E155" i="2"/>
  <c r="E154" i="2"/>
  <c r="E153" i="2"/>
  <c r="E152" i="2"/>
  <c r="E151" i="2"/>
  <c r="E150" i="2"/>
  <c r="E149" i="2"/>
  <c r="E148" i="2"/>
  <c r="E147" i="2"/>
  <c r="E146" i="2"/>
  <c r="E144" i="2"/>
  <c r="E143" i="2"/>
  <c r="E142" i="2"/>
  <c r="E299" i="2"/>
  <c r="E140" i="2"/>
  <c r="E139" i="2"/>
  <c r="E138" i="2"/>
  <c r="E137" i="2"/>
  <c r="E136" i="2"/>
  <c r="E135" i="2"/>
  <c r="E109" i="2"/>
  <c r="E133" i="2"/>
  <c r="E132" i="2"/>
  <c r="E125" i="2"/>
  <c r="E120" i="2"/>
  <c r="E119" i="2"/>
  <c r="E118" i="2"/>
  <c r="E169" i="2"/>
  <c r="E175" i="2"/>
  <c r="E157" i="2"/>
  <c r="E298" i="2"/>
  <c r="E117" i="2"/>
  <c r="E113" i="2"/>
  <c r="E112" i="2"/>
  <c r="E124" i="2"/>
  <c r="E123" i="2"/>
  <c r="E121" i="2"/>
  <c r="E297" i="2"/>
  <c r="E116" i="2"/>
  <c r="E110" i="2"/>
  <c r="E200" i="2"/>
  <c r="E115" i="2"/>
  <c r="E108" i="2"/>
  <c r="E114" i="2"/>
  <c r="E107" i="2"/>
  <c r="E101" i="2"/>
  <c r="E296" i="2"/>
  <c r="E94" i="2"/>
  <c r="E134" i="2"/>
  <c r="E92" i="2"/>
  <c r="E91" i="2"/>
  <c r="E310" i="2"/>
  <c r="E89" i="2"/>
  <c r="E309" i="2"/>
  <c r="E86" i="2"/>
  <c r="E280" i="2"/>
  <c r="E84" i="2"/>
  <c r="E83" i="2"/>
  <c r="E261" i="2"/>
  <c r="E80" i="2"/>
  <c r="E79" i="2"/>
  <c r="E78" i="2"/>
  <c r="C1273" i="1"/>
  <c r="F1273" i="1"/>
  <c r="C2268" i="1"/>
  <c r="F2268" i="1"/>
  <c r="C673" i="1"/>
  <c r="F673" i="1"/>
  <c r="C1926" i="1"/>
  <c r="F1926" i="1"/>
  <c r="C316" i="1"/>
  <c r="F316" i="1"/>
  <c r="C314" i="1"/>
  <c r="F314" i="1"/>
  <c r="C1387" i="1"/>
  <c r="F1387" i="1"/>
  <c r="C1493" i="1"/>
  <c r="F1493" i="1"/>
  <c r="C1507" i="1"/>
  <c r="F1507" i="1"/>
  <c r="F2181" i="1"/>
  <c r="C2181" i="1"/>
  <c r="C1281" i="1"/>
  <c r="F1281" i="1"/>
  <c r="F766" i="1"/>
  <c r="C2203" i="1"/>
  <c r="F2203" i="1"/>
  <c r="C1005" i="1"/>
  <c r="F1005" i="1"/>
  <c r="F2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20" i="1"/>
  <c r="F230" i="1"/>
  <c r="F231" i="1"/>
  <c r="F232" i="1"/>
  <c r="F233" i="1"/>
  <c r="F234" i="1"/>
  <c r="F235" i="1"/>
  <c r="F236" i="1"/>
  <c r="F237" i="1"/>
  <c r="F238" i="1"/>
  <c r="F240" i="1"/>
  <c r="F241" i="1"/>
  <c r="F242" i="1"/>
  <c r="F244" i="1"/>
  <c r="F246" i="1"/>
  <c r="F248" i="1"/>
  <c r="F250" i="1"/>
  <c r="F252" i="1"/>
  <c r="F254" i="1"/>
  <c r="F256" i="1"/>
  <c r="F258" i="1"/>
  <c r="F262" i="1"/>
  <c r="F264" i="1"/>
  <c r="F266" i="1"/>
  <c r="F267" i="1"/>
  <c r="F269" i="1"/>
  <c r="F271" i="1"/>
  <c r="F272" i="1"/>
  <c r="F273" i="1"/>
  <c r="F275" i="1"/>
  <c r="F277" i="1"/>
  <c r="F279" i="1"/>
  <c r="F281" i="1"/>
  <c r="F283" i="1"/>
  <c r="F285" i="1"/>
  <c r="F286" i="1"/>
  <c r="F287" i="1"/>
  <c r="F288" i="1"/>
  <c r="F289" i="1"/>
  <c r="F290" i="1"/>
  <c r="F291" i="1"/>
  <c r="F296" i="1"/>
  <c r="F297" i="1"/>
  <c r="F298" i="1"/>
  <c r="F299" i="1"/>
  <c r="F300" i="1"/>
  <c r="F301" i="1"/>
  <c r="F302" i="1"/>
  <c r="F303" i="1"/>
  <c r="F304" i="1"/>
  <c r="F305" i="1"/>
  <c r="F307" i="1"/>
  <c r="F309" i="1"/>
  <c r="F310" i="1"/>
  <c r="F312" i="1"/>
  <c r="F313" i="1"/>
  <c r="F318" i="1"/>
  <c r="F319" i="1"/>
  <c r="F320" i="1"/>
  <c r="F322" i="1"/>
  <c r="F323" i="1"/>
  <c r="F324" i="1"/>
  <c r="F325" i="1"/>
  <c r="F364" i="1"/>
  <c r="F365" i="1"/>
  <c r="F366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7" i="1"/>
  <c r="F428" i="1"/>
  <c r="F429" i="1"/>
  <c r="F430" i="1"/>
  <c r="F431" i="1"/>
  <c r="F432" i="1"/>
  <c r="F433" i="1"/>
  <c r="F434" i="1"/>
  <c r="F435" i="1"/>
  <c r="F437" i="1"/>
  <c r="F438" i="1"/>
  <c r="F439" i="1"/>
  <c r="F440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1" i="1"/>
  <c r="F492" i="1"/>
  <c r="F493" i="1"/>
  <c r="F494" i="1"/>
  <c r="F495" i="1"/>
  <c r="F496" i="1"/>
  <c r="F497" i="1"/>
  <c r="F498" i="1"/>
  <c r="F499" i="1"/>
  <c r="F500" i="1"/>
  <c r="F501" i="1"/>
  <c r="F504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7" i="1"/>
  <c r="F548" i="1"/>
  <c r="F549" i="1"/>
  <c r="F550" i="1"/>
  <c r="F551" i="1"/>
  <c r="F552" i="1"/>
  <c r="F555" i="1"/>
  <c r="F556" i="1"/>
  <c r="F557" i="1"/>
  <c r="F558" i="1"/>
  <c r="F559" i="1"/>
  <c r="F2154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91" i="1"/>
  <c r="F692" i="1"/>
  <c r="F694" i="1"/>
  <c r="F695" i="1"/>
  <c r="F696" i="1"/>
  <c r="F697" i="1"/>
  <c r="F698" i="1"/>
  <c r="F699" i="1"/>
  <c r="F700" i="1"/>
  <c r="F701" i="1"/>
  <c r="F702" i="1"/>
  <c r="F703" i="1"/>
  <c r="F705" i="1"/>
  <c r="F706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2164" i="1"/>
  <c r="F759" i="1"/>
  <c r="F760" i="1"/>
  <c r="F762" i="1"/>
  <c r="F763" i="1"/>
  <c r="F764" i="1"/>
  <c r="F765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2" i="1"/>
  <c r="F783" i="1"/>
  <c r="F784" i="1"/>
  <c r="F785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1" i="1"/>
  <c r="F832" i="1"/>
  <c r="F833" i="1"/>
  <c r="F835" i="1"/>
  <c r="F836" i="1"/>
  <c r="F837" i="1"/>
  <c r="F838" i="1"/>
  <c r="F839" i="1"/>
  <c r="F841" i="1"/>
  <c r="F842" i="1"/>
  <c r="F844" i="1"/>
  <c r="F846" i="1"/>
  <c r="F850" i="1"/>
  <c r="F857" i="1"/>
  <c r="F858" i="1"/>
  <c r="F859" i="1"/>
  <c r="F862" i="1"/>
  <c r="F864" i="1"/>
  <c r="F865" i="1"/>
  <c r="F870" i="1"/>
  <c r="F871" i="1"/>
  <c r="F872" i="1"/>
  <c r="F873" i="1"/>
  <c r="F875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10" i="1"/>
  <c r="F911" i="1"/>
  <c r="F912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8" i="1"/>
  <c r="F939" i="1"/>
  <c r="F940" i="1"/>
  <c r="F941" i="1"/>
  <c r="F942" i="1"/>
  <c r="F944" i="1"/>
  <c r="F945" i="1"/>
  <c r="F946" i="1"/>
  <c r="F947" i="1"/>
  <c r="F948" i="1"/>
  <c r="F949" i="1"/>
  <c r="F951" i="1"/>
  <c r="F952" i="1"/>
  <c r="F953" i="1"/>
  <c r="F955" i="1"/>
  <c r="F956" i="1"/>
  <c r="F958" i="1"/>
  <c r="F959" i="1"/>
  <c r="F961" i="1"/>
  <c r="F962" i="1"/>
  <c r="F963" i="1"/>
  <c r="F964" i="1"/>
  <c r="F965" i="1"/>
  <c r="F966" i="1"/>
  <c r="F968" i="1"/>
  <c r="F969" i="1"/>
  <c r="F970" i="1"/>
  <c r="F971" i="1"/>
  <c r="F973" i="1"/>
  <c r="F974" i="1"/>
  <c r="F975" i="1"/>
  <c r="F976" i="1"/>
  <c r="F980" i="1"/>
  <c r="F982" i="1"/>
  <c r="F984" i="1"/>
  <c r="F985" i="1"/>
  <c r="F993" i="1"/>
  <c r="F994" i="1"/>
  <c r="F995" i="1"/>
  <c r="F996" i="1"/>
  <c r="F997" i="1"/>
  <c r="F998" i="1"/>
  <c r="F999" i="1"/>
  <c r="F1000" i="1"/>
  <c r="F1001" i="1"/>
  <c r="F1002" i="1"/>
  <c r="F1003" i="1"/>
  <c r="F1006" i="1"/>
  <c r="F1007" i="1"/>
  <c r="F1008" i="1"/>
  <c r="F1009" i="1"/>
  <c r="F1010" i="1"/>
  <c r="F1011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2" i="1"/>
  <c r="F1033" i="1"/>
  <c r="F1034" i="1"/>
  <c r="F1037" i="1"/>
  <c r="F1038" i="1"/>
  <c r="F1039" i="1"/>
  <c r="F1040" i="1"/>
  <c r="F1041" i="1"/>
  <c r="F1042" i="1"/>
  <c r="F1043" i="1"/>
  <c r="F1046" i="1"/>
  <c r="F1047" i="1"/>
  <c r="F1048" i="1"/>
  <c r="F1049" i="1"/>
  <c r="F1050" i="1"/>
  <c r="F1051" i="1"/>
  <c r="F1052" i="1"/>
  <c r="F1055" i="1"/>
  <c r="F1056" i="1"/>
  <c r="F1059" i="1"/>
  <c r="F1060" i="1"/>
  <c r="F1061" i="1"/>
  <c r="F1062" i="1"/>
  <c r="F1063" i="1"/>
  <c r="F1064" i="1"/>
  <c r="F1065" i="1"/>
  <c r="F1066" i="1"/>
  <c r="F1067" i="1"/>
  <c r="F1069" i="1"/>
  <c r="F1070" i="1"/>
  <c r="F1072" i="1"/>
  <c r="F1073" i="1"/>
  <c r="F1074" i="1"/>
  <c r="F1075" i="1"/>
  <c r="F1076" i="1"/>
  <c r="F1077" i="1"/>
  <c r="F1078" i="1"/>
  <c r="F1079" i="1"/>
  <c r="F1080" i="1"/>
  <c r="F1081" i="1"/>
  <c r="F1082" i="1"/>
  <c r="F1086" i="1"/>
  <c r="F1087" i="1"/>
  <c r="F1088" i="1"/>
  <c r="F1089" i="1"/>
  <c r="F1090" i="1"/>
  <c r="F1092" i="1"/>
  <c r="F1093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20" i="1"/>
  <c r="F1121" i="1"/>
  <c r="F1122" i="1"/>
  <c r="F1123" i="1"/>
  <c r="F1124" i="1"/>
  <c r="F1125" i="1"/>
  <c r="F1126" i="1"/>
  <c r="F1127" i="1"/>
  <c r="F1128" i="1"/>
  <c r="F1129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8" i="1"/>
  <c r="F1179" i="1"/>
  <c r="F1180" i="1"/>
  <c r="F1181" i="1"/>
  <c r="F1182" i="1"/>
  <c r="F1183" i="1"/>
  <c r="F1184" i="1"/>
  <c r="F1185" i="1"/>
  <c r="F1186" i="1"/>
  <c r="F1187" i="1"/>
  <c r="F1188" i="1"/>
  <c r="F1190" i="1"/>
  <c r="F1192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6" i="1"/>
  <c r="F1217" i="1"/>
  <c r="F1219" i="1"/>
  <c r="F1220" i="1"/>
  <c r="F1221" i="1"/>
  <c r="F852" i="1"/>
  <c r="F1222" i="1"/>
  <c r="F1223" i="1"/>
  <c r="F1224" i="1"/>
  <c r="F1225" i="1"/>
  <c r="F1226" i="1"/>
  <c r="F1227" i="1"/>
  <c r="F1228" i="1"/>
  <c r="F1229" i="1"/>
  <c r="F1230" i="1"/>
  <c r="F1231" i="1"/>
  <c r="F1232" i="1"/>
  <c r="F1234" i="1"/>
  <c r="F1235" i="1"/>
  <c r="F1236" i="1"/>
  <c r="F1237" i="1"/>
  <c r="F1238" i="1"/>
  <c r="F1239" i="1"/>
  <c r="F1240" i="1"/>
  <c r="F1243" i="1"/>
  <c r="F1244" i="1"/>
  <c r="F1245" i="1"/>
  <c r="F1246" i="1"/>
  <c r="F1247" i="1"/>
  <c r="F1248" i="1"/>
  <c r="F1249" i="1"/>
  <c r="F1250" i="1"/>
  <c r="F1251" i="1"/>
  <c r="F1260" i="1"/>
  <c r="F1261" i="1"/>
  <c r="F1270" i="1"/>
  <c r="F1271" i="1"/>
  <c r="F1275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8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4" i="1"/>
  <c r="F1355" i="1"/>
  <c r="F1356" i="1"/>
  <c r="F1357" i="1"/>
  <c r="F1361" i="1"/>
  <c r="F1362" i="1"/>
  <c r="F1364" i="1"/>
  <c r="F1365" i="1"/>
  <c r="F1366" i="1"/>
  <c r="F1368" i="1"/>
  <c r="F1369" i="1"/>
  <c r="F1370" i="1"/>
  <c r="F1371" i="1"/>
  <c r="F1372" i="1"/>
  <c r="F1373" i="1"/>
  <c r="F1374" i="1"/>
  <c r="F1375" i="1"/>
  <c r="F1376" i="1"/>
  <c r="F1377" i="1"/>
  <c r="F1378" i="1"/>
  <c r="F1380" i="1"/>
  <c r="F1385" i="1"/>
  <c r="F1386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7" i="1"/>
  <c r="F1428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4" i="1"/>
  <c r="F1445" i="1"/>
  <c r="F1446" i="1"/>
  <c r="F1447" i="1"/>
  <c r="F1448" i="1"/>
  <c r="F1449" i="1"/>
  <c r="F1451" i="1"/>
  <c r="F1454" i="1"/>
  <c r="F1457" i="1"/>
  <c r="F1460" i="1"/>
  <c r="F1461" i="1"/>
  <c r="F1466" i="1"/>
  <c r="F1470" i="1"/>
  <c r="F1472" i="1"/>
  <c r="F1474" i="1"/>
  <c r="F1475" i="1"/>
  <c r="F1476" i="1"/>
  <c r="F1477" i="1"/>
  <c r="F1478" i="1"/>
  <c r="F1482" i="1"/>
  <c r="F1485" i="1"/>
  <c r="F1490" i="1"/>
  <c r="F1498" i="1"/>
  <c r="F1512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63" i="1"/>
  <c r="F1564" i="1"/>
  <c r="F1566" i="1"/>
  <c r="F1568" i="1"/>
  <c r="F1569" i="1"/>
  <c r="F1571" i="1"/>
  <c r="F1574" i="1"/>
  <c r="F1576" i="1"/>
  <c r="F1577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8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5" i="1"/>
  <c r="F1668" i="1"/>
  <c r="F1669" i="1"/>
  <c r="F1670" i="1"/>
  <c r="F1672" i="1"/>
  <c r="F1674" i="1"/>
  <c r="F1675" i="1"/>
  <c r="F1676" i="1"/>
  <c r="F2374" i="1"/>
  <c r="F1678" i="1"/>
  <c r="F2373" i="1"/>
  <c r="F1680" i="1"/>
  <c r="F1681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3" i="1"/>
  <c r="F1854" i="1"/>
  <c r="F1855" i="1"/>
  <c r="F1856" i="1"/>
  <c r="F1857" i="1"/>
  <c r="F1858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900" i="1"/>
  <c r="F1901" i="1"/>
  <c r="F1902" i="1"/>
  <c r="F1903" i="1"/>
  <c r="F1904" i="1"/>
  <c r="F1910" i="1"/>
  <c r="F1912" i="1"/>
  <c r="F1913" i="1"/>
  <c r="F1914" i="1"/>
  <c r="F1915" i="1"/>
  <c r="F1916" i="1"/>
  <c r="F1917" i="1"/>
  <c r="F1918" i="1"/>
  <c r="F1920" i="1"/>
  <c r="F1921" i="1"/>
  <c r="F1922" i="1"/>
  <c r="F1925" i="1"/>
  <c r="F1923" i="1"/>
  <c r="F1929" i="1"/>
  <c r="F1930" i="1"/>
  <c r="F1933" i="1"/>
  <c r="F1934" i="1"/>
  <c r="F1935" i="1"/>
  <c r="F1936" i="1"/>
  <c r="F1945" i="1"/>
  <c r="F1947" i="1"/>
  <c r="F848" i="1"/>
  <c r="F1949" i="1"/>
  <c r="F1950" i="1"/>
  <c r="F1963" i="1"/>
  <c r="F1964" i="1"/>
  <c r="F1965" i="1"/>
  <c r="F1966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5" i="1"/>
  <c r="F2156" i="1"/>
  <c r="F2157" i="1"/>
  <c r="F2158" i="1"/>
  <c r="F2159" i="1"/>
  <c r="F2160" i="1"/>
  <c r="F2161" i="1"/>
  <c r="F2162" i="1"/>
  <c r="F2163" i="1"/>
  <c r="F2165" i="1"/>
  <c r="F2166" i="1"/>
  <c r="F2167" i="1"/>
  <c r="F2168" i="1"/>
  <c r="F2170" i="1"/>
  <c r="F2171" i="1"/>
  <c r="F2173" i="1"/>
  <c r="F2174" i="1"/>
  <c r="F2176" i="1"/>
  <c r="F2177" i="1"/>
  <c r="F2178" i="1"/>
  <c r="F2179" i="1"/>
  <c r="F2180" i="1"/>
  <c r="F2183" i="1"/>
  <c r="F1358" i="1"/>
  <c r="F2185" i="1"/>
  <c r="F2186" i="1"/>
  <c r="F2188" i="1"/>
  <c r="F2189" i="1"/>
  <c r="F2190" i="1"/>
  <c r="F2191" i="1"/>
  <c r="F2192" i="1"/>
  <c r="F2193" i="1"/>
  <c r="F2194" i="1"/>
  <c r="F2195" i="1"/>
  <c r="F802" i="1"/>
  <c r="F2201" i="1"/>
  <c r="F2202" i="1"/>
  <c r="F2227" i="1"/>
  <c r="F2228" i="1"/>
  <c r="F2231" i="1"/>
  <c r="F2234" i="1"/>
  <c r="F2235" i="1"/>
  <c r="F2237" i="1"/>
  <c r="F2238" i="1"/>
  <c r="F2239" i="1"/>
  <c r="F2240" i="1"/>
  <c r="F2241" i="1"/>
  <c r="F2242" i="1"/>
  <c r="F2243" i="1"/>
  <c r="F2244" i="1"/>
  <c r="F2247" i="1"/>
  <c r="F2248" i="1"/>
  <c r="F1969" i="1"/>
  <c r="F2249" i="1"/>
  <c r="F2251" i="1"/>
  <c r="F2252" i="1"/>
  <c r="F2253" i="1"/>
  <c r="F2254" i="1"/>
  <c r="F2255" i="1"/>
  <c r="F2256" i="1"/>
  <c r="F2250" i="1"/>
  <c r="F2258" i="1"/>
  <c r="F2259" i="1"/>
  <c r="F2257" i="1"/>
  <c r="F2261" i="1"/>
  <c r="F2260" i="1"/>
  <c r="F2263" i="1"/>
  <c r="F2264" i="1"/>
  <c r="F2265" i="1"/>
  <c r="F2266" i="1"/>
  <c r="F868" i="1"/>
  <c r="F1429" i="1"/>
  <c r="F867" i="1"/>
  <c r="F877" i="1"/>
  <c r="F879" i="1"/>
  <c r="F880" i="1"/>
  <c r="F1272" i="1"/>
  <c r="F2262" i="1"/>
  <c r="C1447" i="1"/>
  <c r="C1449" i="1"/>
  <c r="C1451" i="1"/>
  <c r="C1969" i="1"/>
  <c r="C1272" i="1"/>
  <c r="C880" i="1"/>
  <c r="C879" i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30" i="1"/>
  <c r="C231" i="1"/>
  <c r="C232" i="1"/>
  <c r="C233" i="1"/>
  <c r="C234" i="1"/>
  <c r="C235" i="1"/>
  <c r="C236" i="1"/>
  <c r="C237" i="1"/>
  <c r="C238" i="1"/>
  <c r="C240" i="1"/>
  <c r="C241" i="1"/>
  <c r="C242" i="1"/>
  <c r="C244" i="1"/>
  <c r="C246" i="1"/>
  <c r="C248" i="1"/>
  <c r="C250" i="1"/>
  <c r="C252" i="1"/>
  <c r="C254" i="1"/>
  <c r="C256" i="1"/>
  <c r="C258" i="1"/>
  <c r="C260" i="1"/>
  <c r="C262" i="1"/>
  <c r="C264" i="1"/>
  <c r="C266" i="1"/>
  <c r="C267" i="1"/>
  <c r="C269" i="1"/>
  <c r="C271" i="1"/>
  <c r="C272" i="1"/>
  <c r="C273" i="1"/>
  <c r="C275" i="1"/>
  <c r="C277" i="1"/>
  <c r="C279" i="1"/>
  <c r="C281" i="1"/>
  <c r="C283" i="1"/>
  <c r="C285" i="1"/>
  <c r="C286" i="1"/>
  <c r="C287" i="1"/>
  <c r="C288" i="1"/>
  <c r="C289" i="1"/>
  <c r="C290" i="1"/>
  <c r="C291" i="1"/>
  <c r="C296" i="1"/>
  <c r="C297" i="1"/>
  <c r="C298" i="1"/>
  <c r="C299" i="1"/>
  <c r="C300" i="1"/>
  <c r="C301" i="1"/>
  <c r="C302" i="1"/>
  <c r="C303" i="1"/>
  <c r="C304" i="1"/>
  <c r="C305" i="1"/>
  <c r="C307" i="1"/>
  <c r="C309" i="1"/>
  <c r="C310" i="1"/>
  <c r="C312" i="1"/>
  <c r="C313" i="1"/>
  <c r="C318" i="1"/>
  <c r="C319" i="1"/>
  <c r="C320" i="1"/>
  <c r="C322" i="1"/>
  <c r="C323" i="1"/>
  <c r="C324" i="1"/>
  <c r="C325" i="1"/>
  <c r="C364" i="1"/>
  <c r="C365" i="1"/>
  <c r="C366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7" i="1"/>
  <c r="C428" i="1"/>
  <c r="C429" i="1"/>
  <c r="C430" i="1"/>
  <c r="C431" i="1"/>
  <c r="C432" i="1"/>
  <c r="C433" i="1"/>
  <c r="C434" i="1"/>
  <c r="C435" i="1"/>
  <c r="C437" i="1"/>
  <c r="C438" i="1"/>
  <c r="C439" i="1"/>
  <c r="C440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4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7" i="1"/>
  <c r="C548" i="1"/>
  <c r="C549" i="1"/>
  <c r="C550" i="1"/>
  <c r="C551" i="1"/>
  <c r="C552" i="1"/>
  <c r="C555" i="1"/>
  <c r="C556" i="1"/>
  <c r="C557" i="1"/>
  <c r="C558" i="1"/>
  <c r="C559" i="1"/>
  <c r="C2154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91" i="1"/>
  <c r="C692" i="1"/>
  <c r="C694" i="1"/>
  <c r="C695" i="1"/>
  <c r="C696" i="1"/>
  <c r="C697" i="1"/>
  <c r="C698" i="1"/>
  <c r="C699" i="1"/>
  <c r="C700" i="1"/>
  <c r="C701" i="1"/>
  <c r="C702" i="1"/>
  <c r="C703" i="1"/>
  <c r="C705" i="1"/>
  <c r="C706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2164" i="1"/>
  <c r="C759" i="1"/>
  <c r="C760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2" i="1"/>
  <c r="C783" i="1"/>
  <c r="C784" i="1"/>
  <c r="C785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1" i="1"/>
  <c r="C832" i="1"/>
  <c r="C833" i="1"/>
  <c r="C835" i="1"/>
  <c r="C836" i="1"/>
  <c r="C837" i="1"/>
  <c r="C838" i="1"/>
  <c r="C839" i="1"/>
  <c r="C841" i="1"/>
  <c r="C842" i="1"/>
  <c r="C844" i="1"/>
  <c r="C846" i="1"/>
  <c r="C850" i="1"/>
  <c r="C857" i="1"/>
  <c r="C858" i="1"/>
  <c r="C859" i="1"/>
  <c r="C862" i="1"/>
  <c r="C864" i="1"/>
  <c r="C865" i="1"/>
  <c r="C870" i="1"/>
  <c r="C871" i="1"/>
  <c r="C872" i="1"/>
  <c r="C873" i="1"/>
  <c r="C875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10" i="1"/>
  <c r="C911" i="1"/>
  <c r="C912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8" i="1"/>
  <c r="C939" i="1"/>
  <c r="C940" i="1"/>
  <c r="C941" i="1"/>
  <c r="C942" i="1"/>
  <c r="C944" i="1"/>
  <c r="C945" i="1"/>
  <c r="C946" i="1"/>
  <c r="C947" i="1"/>
  <c r="C948" i="1"/>
  <c r="C949" i="1"/>
  <c r="C951" i="1"/>
  <c r="C952" i="1"/>
  <c r="C953" i="1"/>
  <c r="C955" i="1"/>
  <c r="C956" i="1"/>
  <c r="C958" i="1"/>
  <c r="C959" i="1"/>
  <c r="C961" i="1"/>
  <c r="C962" i="1"/>
  <c r="C963" i="1"/>
  <c r="C964" i="1"/>
  <c r="C965" i="1"/>
  <c r="C966" i="1"/>
  <c r="C968" i="1"/>
  <c r="C969" i="1"/>
  <c r="C970" i="1"/>
  <c r="C971" i="1"/>
  <c r="C973" i="1"/>
  <c r="C974" i="1"/>
  <c r="C975" i="1"/>
  <c r="C976" i="1"/>
  <c r="C980" i="1"/>
  <c r="C982" i="1"/>
  <c r="C984" i="1"/>
  <c r="C985" i="1"/>
  <c r="C993" i="1"/>
  <c r="C994" i="1"/>
  <c r="C995" i="1"/>
  <c r="C996" i="1"/>
  <c r="C997" i="1"/>
  <c r="C998" i="1"/>
  <c r="C999" i="1"/>
  <c r="C1000" i="1"/>
  <c r="C1001" i="1"/>
  <c r="C1002" i="1"/>
  <c r="C1003" i="1"/>
  <c r="C1006" i="1"/>
  <c r="C1007" i="1"/>
  <c r="C1008" i="1"/>
  <c r="C1009" i="1"/>
  <c r="C1010" i="1"/>
  <c r="C1011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2" i="1"/>
  <c r="C1033" i="1"/>
  <c r="C1034" i="1"/>
  <c r="C1037" i="1"/>
  <c r="C1038" i="1"/>
  <c r="C1039" i="1"/>
  <c r="C1040" i="1"/>
  <c r="C1041" i="1"/>
  <c r="C1042" i="1"/>
  <c r="C1043" i="1"/>
  <c r="C1046" i="1"/>
  <c r="C1047" i="1"/>
  <c r="C1048" i="1"/>
  <c r="C1049" i="1"/>
  <c r="C1050" i="1"/>
  <c r="C1051" i="1"/>
  <c r="C1052" i="1"/>
  <c r="C1055" i="1"/>
  <c r="C1056" i="1"/>
  <c r="C1059" i="1"/>
  <c r="C1060" i="1"/>
  <c r="C1061" i="1"/>
  <c r="C1062" i="1"/>
  <c r="C1063" i="1"/>
  <c r="C1064" i="1"/>
  <c r="C1065" i="1"/>
  <c r="C1066" i="1"/>
  <c r="C1067" i="1"/>
  <c r="C1069" i="1"/>
  <c r="C1070" i="1"/>
  <c r="C1072" i="1"/>
  <c r="C1073" i="1"/>
  <c r="C1074" i="1"/>
  <c r="C1075" i="1"/>
  <c r="C1076" i="1"/>
  <c r="C1077" i="1"/>
  <c r="C1078" i="1"/>
  <c r="C1079" i="1"/>
  <c r="C1080" i="1"/>
  <c r="C1081" i="1"/>
  <c r="C1082" i="1"/>
  <c r="C1086" i="1"/>
  <c r="C1087" i="1"/>
  <c r="C1088" i="1"/>
  <c r="C1089" i="1"/>
  <c r="C1090" i="1"/>
  <c r="C1092" i="1"/>
  <c r="C1093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20" i="1"/>
  <c r="C1121" i="1"/>
  <c r="C1122" i="1"/>
  <c r="C1123" i="1"/>
  <c r="C1124" i="1"/>
  <c r="C1125" i="1"/>
  <c r="C1126" i="1"/>
  <c r="C1127" i="1"/>
  <c r="C1128" i="1"/>
  <c r="C1129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8" i="1"/>
  <c r="C1179" i="1"/>
  <c r="C1180" i="1"/>
  <c r="C1181" i="1"/>
  <c r="C1182" i="1"/>
  <c r="C1183" i="1"/>
  <c r="C1184" i="1"/>
  <c r="C1185" i="1"/>
  <c r="C1186" i="1"/>
  <c r="C1187" i="1"/>
  <c r="C1188" i="1"/>
  <c r="C1190" i="1"/>
  <c r="C1192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6" i="1"/>
  <c r="C1217" i="1"/>
  <c r="C1219" i="1"/>
  <c r="C1220" i="1"/>
  <c r="C1221" i="1"/>
  <c r="C852" i="1"/>
  <c r="C1222" i="1"/>
  <c r="C1223" i="1"/>
  <c r="C1224" i="1"/>
  <c r="C1225" i="1"/>
  <c r="C1226" i="1"/>
  <c r="C1227" i="1"/>
  <c r="C1228" i="1"/>
  <c r="C1229" i="1"/>
  <c r="C1230" i="1"/>
  <c r="C1231" i="1"/>
  <c r="C1232" i="1"/>
  <c r="C1234" i="1"/>
  <c r="C1235" i="1"/>
  <c r="C1236" i="1"/>
  <c r="C1237" i="1"/>
  <c r="C1238" i="1"/>
  <c r="C1239" i="1"/>
  <c r="C1240" i="1"/>
  <c r="C1243" i="1"/>
  <c r="C1244" i="1"/>
  <c r="C1245" i="1"/>
  <c r="C1246" i="1"/>
  <c r="C1247" i="1"/>
  <c r="C1248" i="1"/>
  <c r="C1249" i="1"/>
  <c r="C1250" i="1"/>
  <c r="C1251" i="1"/>
  <c r="C1260" i="1"/>
  <c r="C1261" i="1"/>
  <c r="C1270" i="1"/>
  <c r="C1271" i="1"/>
  <c r="C1275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8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4" i="1"/>
  <c r="C1355" i="1"/>
  <c r="C1356" i="1"/>
  <c r="C1357" i="1"/>
  <c r="C1358" i="1"/>
  <c r="C1361" i="1"/>
  <c r="C1362" i="1"/>
  <c r="C1364" i="1"/>
  <c r="C1365" i="1"/>
  <c r="C1366" i="1"/>
  <c r="C1368" i="1"/>
  <c r="C1369" i="1"/>
  <c r="C1370" i="1"/>
  <c r="C1371" i="1"/>
  <c r="C1372" i="1"/>
  <c r="C1373" i="1"/>
  <c r="C1374" i="1"/>
  <c r="C1375" i="1"/>
  <c r="C1376" i="1"/>
  <c r="C1377" i="1"/>
  <c r="C1378" i="1"/>
  <c r="C1380" i="1"/>
  <c r="C1385" i="1"/>
  <c r="C1386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7" i="1"/>
  <c r="C1428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4" i="1"/>
  <c r="C1445" i="1"/>
  <c r="C1446" i="1"/>
  <c r="C1448" i="1"/>
  <c r="C1454" i="1"/>
  <c r="C1457" i="1"/>
  <c r="C1460" i="1"/>
  <c r="C1461" i="1"/>
  <c r="C1466" i="1"/>
  <c r="C1470" i="1"/>
  <c r="C1472" i="1"/>
  <c r="C1474" i="1"/>
  <c r="C1475" i="1"/>
  <c r="C1476" i="1"/>
  <c r="C1477" i="1"/>
  <c r="C1478" i="1"/>
  <c r="C1482" i="1"/>
  <c r="C1485" i="1"/>
  <c r="C1490" i="1"/>
  <c r="C1498" i="1"/>
  <c r="C1512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63" i="1"/>
  <c r="C1564" i="1"/>
  <c r="C1566" i="1"/>
  <c r="C1568" i="1"/>
  <c r="C1569" i="1"/>
  <c r="C1571" i="1"/>
  <c r="C1574" i="1"/>
  <c r="C1576" i="1"/>
  <c r="C1577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8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5" i="1"/>
  <c r="C1668" i="1"/>
  <c r="C1669" i="1"/>
  <c r="C1670" i="1"/>
  <c r="C1672" i="1"/>
  <c r="C1674" i="1"/>
  <c r="C1675" i="1"/>
  <c r="C1676" i="1"/>
  <c r="C2374" i="1"/>
  <c r="C1678" i="1"/>
  <c r="C2373" i="1"/>
  <c r="C1680" i="1"/>
  <c r="C1681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3" i="1"/>
  <c r="C1854" i="1"/>
  <c r="C1855" i="1"/>
  <c r="C1856" i="1"/>
  <c r="C1857" i="1"/>
  <c r="C1858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900" i="1"/>
  <c r="C1901" i="1"/>
  <c r="C1902" i="1"/>
  <c r="C1903" i="1"/>
  <c r="C1904" i="1"/>
  <c r="C1910" i="1"/>
  <c r="C1911" i="1"/>
  <c r="C1912" i="1"/>
  <c r="C1913" i="1"/>
  <c r="C1914" i="1"/>
  <c r="C1915" i="1"/>
  <c r="C1916" i="1"/>
  <c r="C1917" i="1"/>
  <c r="C1918" i="1"/>
  <c r="C1920" i="1"/>
  <c r="C1921" i="1"/>
  <c r="C1922" i="1"/>
  <c r="C1925" i="1"/>
  <c r="C1923" i="1"/>
  <c r="C1929" i="1"/>
  <c r="C1930" i="1"/>
  <c r="C1933" i="1"/>
  <c r="C1934" i="1"/>
  <c r="C1935" i="1"/>
  <c r="C1936" i="1"/>
  <c r="C1945" i="1"/>
  <c r="C1947" i="1"/>
  <c r="C848" i="1"/>
  <c r="C1949" i="1"/>
  <c r="C1950" i="1"/>
  <c r="C1963" i="1"/>
  <c r="C1964" i="1"/>
  <c r="C1965" i="1"/>
  <c r="C1966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5" i="1"/>
  <c r="C2156" i="1"/>
  <c r="C2157" i="1"/>
  <c r="C2158" i="1"/>
  <c r="C2159" i="1"/>
  <c r="C2160" i="1"/>
  <c r="C2161" i="1"/>
  <c r="C2162" i="1"/>
  <c r="C2163" i="1"/>
  <c r="C2165" i="1"/>
  <c r="C2166" i="1"/>
  <c r="C2167" i="1"/>
  <c r="C2168" i="1"/>
  <c r="C2169" i="1"/>
  <c r="C2170" i="1"/>
  <c r="C2171" i="1"/>
  <c r="C2173" i="1"/>
  <c r="C2174" i="1"/>
  <c r="C2175" i="1"/>
  <c r="C2176" i="1"/>
  <c r="C2177" i="1"/>
  <c r="C2178" i="1"/>
  <c r="C2179" i="1"/>
  <c r="C2180" i="1"/>
  <c r="C2183" i="1"/>
  <c r="C2184" i="1"/>
  <c r="C2185" i="1"/>
  <c r="C2186" i="1"/>
  <c r="C2188" i="1"/>
  <c r="C2189" i="1"/>
  <c r="C2190" i="1"/>
  <c r="C2191" i="1"/>
  <c r="C2192" i="1"/>
  <c r="C2193" i="1"/>
  <c r="C2194" i="1"/>
  <c r="C2195" i="1"/>
  <c r="C2198" i="1"/>
  <c r="C2201" i="1"/>
  <c r="C2202" i="1"/>
  <c r="C2227" i="1"/>
  <c r="C2228" i="1"/>
  <c r="C2231" i="1"/>
  <c r="C2234" i="1"/>
  <c r="C2235" i="1"/>
  <c r="C2237" i="1"/>
  <c r="C2238" i="1"/>
  <c r="C2239" i="1"/>
  <c r="C2240" i="1"/>
  <c r="C2241" i="1"/>
  <c r="C2242" i="1"/>
  <c r="C2243" i="1"/>
  <c r="C2244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868" i="1"/>
  <c r="C1429" i="1"/>
  <c r="C867" i="1"/>
  <c r="C877" i="1"/>
</calcChain>
</file>

<file path=xl/sharedStrings.xml><?xml version="1.0" encoding="utf-8"?>
<sst xmlns="http://schemas.openxmlformats.org/spreadsheetml/2006/main" count="19887" uniqueCount="7085">
  <si>
    <t>Part No</t>
  </si>
  <si>
    <t>Part Name</t>
  </si>
  <si>
    <t>2B26-060-01</t>
  </si>
  <si>
    <t>Revision</t>
  </si>
  <si>
    <t>P1</t>
  </si>
  <si>
    <t>P2</t>
  </si>
  <si>
    <t>P3</t>
  </si>
  <si>
    <t>P4</t>
  </si>
  <si>
    <t>P5</t>
  </si>
  <si>
    <t>P6</t>
  </si>
  <si>
    <t>P7</t>
  </si>
  <si>
    <t>P8</t>
  </si>
  <si>
    <t>L1</t>
  </si>
  <si>
    <t>L2</t>
  </si>
  <si>
    <t>L3</t>
  </si>
  <si>
    <t>M1</t>
  </si>
  <si>
    <t>M2</t>
  </si>
  <si>
    <t>HT</t>
  </si>
  <si>
    <t>2B26-061-01</t>
  </si>
  <si>
    <t>M3</t>
  </si>
  <si>
    <t>2B26-062-04</t>
  </si>
  <si>
    <t>Color Code</t>
  </si>
  <si>
    <t>A</t>
  </si>
  <si>
    <t>Z</t>
  </si>
  <si>
    <t>Color</t>
  </si>
  <si>
    <t>M4</t>
  </si>
  <si>
    <t>7</t>
  </si>
  <si>
    <t>2</t>
  </si>
  <si>
    <t>3</t>
  </si>
  <si>
    <t>4</t>
  </si>
  <si>
    <t>6</t>
  </si>
  <si>
    <t>8</t>
  </si>
  <si>
    <t>9</t>
  </si>
  <si>
    <t>P</t>
  </si>
  <si>
    <t>WHITE</t>
  </si>
  <si>
    <t>GOLD</t>
  </si>
  <si>
    <t>YELLOW</t>
  </si>
  <si>
    <t>RED</t>
  </si>
  <si>
    <t>BLUE</t>
  </si>
  <si>
    <t>ORANGE</t>
  </si>
  <si>
    <t>BLACK</t>
  </si>
  <si>
    <t>ZINC</t>
  </si>
  <si>
    <t>SILVER</t>
  </si>
  <si>
    <t>PINK</t>
  </si>
  <si>
    <t>0V99-088-02</t>
  </si>
  <si>
    <t>2A19-090-06</t>
  </si>
  <si>
    <t>BLACK STEEL TUBE 35X30X90</t>
  </si>
  <si>
    <t>2A19-095-06</t>
  </si>
  <si>
    <t>BLACK STEEL TUBE 35X30X95</t>
  </si>
  <si>
    <t>2A19-100-06</t>
  </si>
  <si>
    <t>BLACK STEEL TUBE 35X30X100</t>
  </si>
  <si>
    <t>2A19-105-06</t>
  </si>
  <si>
    <t>BLACK STEEL TUBE 35X30X105</t>
  </si>
  <si>
    <t>2A19-110-06</t>
  </si>
  <si>
    <t>BLACK STEEL TUBE 35X30X110</t>
  </si>
  <si>
    <t>2A19-115-06</t>
  </si>
  <si>
    <t>BLACK STEEL TUBE 35X30X115</t>
  </si>
  <si>
    <t>2A19-120-06</t>
  </si>
  <si>
    <t>BLACK STEEL TUBE 35X30X120</t>
  </si>
  <si>
    <t>2A19-125-06</t>
  </si>
  <si>
    <t>BLACK STEEL TUBE 35X30X125</t>
  </si>
  <si>
    <t>2A19-130-05</t>
  </si>
  <si>
    <t>BLACK STEEL TUBE 35X30X130</t>
  </si>
  <si>
    <t>2A19-130-06</t>
  </si>
  <si>
    <t>2A19-135-05</t>
  </si>
  <si>
    <t>BLACK STEEL TUBE 35X30X135</t>
  </si>
  <si>
    <t>2A19-135-06</t>
  </si>
  <si>
    <t>2A19-140-05</t>
  </si>
  <si>
    <t>BLACK STEEL TUBE 35X30X140</t>
  </si>
  <si>
    <t>2A19-140-06</t>
  </si>
  <si>
    <t>2A19-145-05</t>
  </si>
  <si>
    <t>BLACK STEEL TUBE 35X30X145</t>
  </si>
  <si>
    <t>2A19-145-06</t>
  </si>
  <si>
    <t>2A19-150-05</t>
  </si>
  <si>
    <t>BLACK STEEL TUBE 35X30X150</t>
  </si>
  <si>
    <t>2A19-150-06</t>
  </si>
  <si>
    <t>2A19-155-05</t>
  </si>
  <si>
    <t>BLACK STEEL TUBE 35X30X155</t>
  </si>
  <si>
    <t>2A19-155-06</t>
  </si>
  <si>
    <t>2A19-160-05</t>
  </si>
  <si>
    <t>BLACK STEEL TUBE 35X30X160</t>
  </si>
  <si>
    <t>2A19-160-06</t>
  </si>
  <si>
    <t>2A19-165-06</t>
  </si>
  <si>
    <t>BLACK STEEL TUBE 35X30X165</t>
  </si>
  <si>
    <t>2A19-170-05</t>
  </si>
  <si>
    <t>BLACK STEEL TUBE 35X30X170</t>
  </si>
  <si>
    <t>2A19-170-06</t>
  </si>
  <si>
    <t>2A19-175-05</t>
  </si>
  <si>
    <t>BLACK STEEL TUBE 35X30X175</t>
  </si>
  <si>
    <t>2A19-175-06</t>
  </si>
  <si>
    <t>2A19-180-06</t>
  </si>
  <si>
    <t>BLACK STEEL TUBE 35X30X180</t>
  </si>
  <si>
    <t>2A19-185-06</t>
  </si>
  <si>
    <t>BLACK STEEL TUBE 35X30X185</t>
  </si>
  <si>
    <t>2A19-190-06</t>
  </si>
  <si>
    <t>BLACK STEEL TUBE 35X30X190</t>
  </si>
  <si>
    <t>2A19-195-06</t>
  </si>
  <si>
    <t>BLACK STEEL TUBE 35X30X195</t>
  </si>
  <si>
    <t>2A19-200-06</t>
  </si>
  <si>
    <t>BLACK STEEL TUBE 35X30X200</t>
  </si>
  <si>
    <t>2A19-205-01</t>
  </si>
  <si>
    <t>BLACK STEEL TUBE 35X30X205</t>
  </si>
  <si>
    <t>2A19-210-06</t>
  </si>
  <si>
    <t>BLACK STEEL TUBE 35X30X210</t>
  </si>
  <si>
    <t>2A19-215-06</t>
  </si>
  <si>
    <t>BLACK STEEL TUBE 35X30X215</t>
  </si>
  <si>
    <t>2A19-220-06</t>
  </si>
  <si>
    <t>BLACK STEEL TUBE 35X30X220</t>
  </si>
  <si>
    <t>2A19-240-06</t>
  </si>
  <si>
    <t>BLACK STEEL TUBE 35X30X240</t>
  </si>
  <si>
    <t>2A19-300-01</t>
  </si>
  <si>
    <t>BLACK STEEL TUBE 35X30X300</t>
  </si>
  <si>
    <t>2A19S120A00</t>
  </si>
  <si>
    <t>STEEL TUBE M35X30X120 FOR G2 PROTOTYPE</t>
  </si>
  <si>
    <t>2A19S120A04</t>
  </si>
  <si>
    <t>2A19S135A00</t>
  </si>
  <si>
    <t>STEEL TUBE M35X30X135 FOR G2 PROTOTYPE</t>
  </si>
  <si>
    <t>2A19S135A04</t>
  </si>
  <si>
    <t>2A19S145A00</t>
  </si>
  <si>
    <t>STEEL TUBE M35X30X145 FOR G2 PROTOTYPE</t>
  </si>
  <si>
    <t>2A19S145A04</t>
  </si>
  <si>
    <t>2A22-100-02</t>
  </si>
  <si>
    <t>BLACK STEEL TUBE 42X36X100</t>
  </si>
  <si>
    <t>2A22-105-02</t>
  </si>
  <si>
    <t>BLACK STEEL TUBE 42X36X105</t>
  </si>
  <si>
    <t>2A22-110-02</t>
  </si>
  <si>
    <t>BLACK STEEL TUBE 42X36X110</t>
  </si>
  <si>
    <t>2A22-115-02</t>
  </si>
  <si>
    <t>BLACK STEEL TUBE 42X36X115</t>
  </si>
  <si>
    <t>2A22-120-02</t>
  </si>
  <si>
    <t>BLACK STEEL TUBE 42X36X120</t>
  </si>
  <si>
    <t>2A22-125-02</t>
  </si>
  <si>
    <t>BLACK STEEL TUBE 42X36X125</t>
  </si>
  <si>
    <t>2A22-130-02</t>
  </si>
  <si>
    <t>BLACK STEEL TUBE 42X36X130</t>
  </si>
  <si>
    <t>2A22-135-02</t>
  </si>
  <si>
    <t>BLACK STEEL TUBE 42X36X135</t>
  </si>
  <si>
    <t>2A22-140-02</t>
  </si>
  <si>
    <t>BLACK STEEL TUBE 42X36X140</t>
  </si>
  <si>
    <t>2A22-145-02</t>
  </si>
  <si>
    <t>BLACK STEEL TUBE 42X36X145</t>
  </si>
  <si>
    <t>2A22-150-02</t>
  </si>
  <si>
    <t>BLACK STEEL TUBE 42X36X150</t>
  </si>
  <si>
    <t>2A22-155-02</t>
  </si>
  <si>
    <t>BLACK STEEL TUBE 42X36X155</t>
  </si>
  <si>
    <t>2A22-160-02</t>
  </si>
  <si>
    <t>BLACK STEEL TUBE 42X36X160</t>
  </si>
  <si>
    <t>2A22-165-02</t>
  </si>
  <si>
    <t>BLACK STEEL TUBE 42X36X165</t>
  </si>
  <si>
    <t>2A22-170-02</t>
  </si>
  <si>
    <t>BLACK STEEL TUBE 42X36X170</t>
  </si>
  <si>
    <t>2A22-175-02</t>
  </si>
  <si>
    <t>BLACK STEEL TUBE 42X36X175</t>
  </si>
  <si>
    <t>2A22-180-02</t>
  </si>
  <si>
    <t>BLACK STEEL TUBE 42X36X180</t>
  </si>
  <si>
    <t>2A22-185-02</t>
  </si>
  <si>
    <t>BLACK STEEL TUBE 42X36X185</t>
  </si>
  <si>
    <t>2A22-190-02</t>
  </si>
  <si>
    <t>BLACK STEEL TUBE 42X36X190</t>
  </si>
  <si>
    <t>2A22-195-02</t>
  </si>
  <si>
    <t>BLACK STEEL TUBE 42X36X195</t>
  </si>
  <si>
    <t>2A22-200-02</t>
  </si>
  <si>
    <t>BLACK STEEL TUBE 42X36X200</t>
  </si>
  <si>
    <t>2A22-205-02</t>
  </si>
  <si>
    <t>BLACK STEEL TUBE 42X36X205</t>
  </si>
  <si>
    <t>2A22-210-02</t>
  </si>
  <si>
    <t>BLACK STEEL TUBE 42X36X210</t>
  </si>
  <si>
    <t>2A22-215-02</t>
  </si>
  <si>
    <t>BLACK STEEL TUBE 42X36X215</t>
  </si>
  <si>
    <t>2A22-220-02</t>
  </si>
  <si>
    <t>BLACK STEEL TUBE 42X36X220</t>
  </si>
  <si>
    <t>2A22-230-00</t>
  </si>
  <si>
    <t>BLACK STEEL TUBE 42X36X230</t>
  </si>
  <si>
    <t>2A22-230A00</t>
  </si>
  <si>
    <t>BLACK STEEL TUBE M42X36X230/MTO  เกลียวยาว</t>
  </si>
  <si>
    <t>2A22-240-00</t>
  </si>
  <si>
    <t>BLACK STEEL TUBE M42X36X240</t>
  </si>
  <si>
    <t>2A22-240A00</t>
  </si>
  <si>
    <t>BLACK STEEL TUBE M42X36X240/60 MTO  เกลียวยาว</t>
  </si>
  <si>
    <t>2A22-250-02</t>
  </si>
  <si>
    <t>BLACK STEEL TUBE 42X36X250</t>
  </si>
  <si>
    <t>2A22-255-00</t>
  </si>
  <si>
    <t>BLACK STEEL TUBE 42X36X255</t>
  </si>
  <si>
    <t>2A22-260-00</t>
  </si>
  <si>
    <t>BLACK STEEL TUBE 42X36X260</t>
  </si>
  <si>
    <t>2A22-270-00</t>
  </si>
  <si>
    <t>BLACK STEEL TUBE 42X36X270</t>
  </si>
  <si>
    <t>2A22-275-02</t>
  </si>
  <si>
    <t>BLACK STEEL TUBE 42X36X275</t>
  </si>
  <si>
    <t>2A22-280-00</t>
  </si>
  <si>
    <t>BLACK STEEL TUBE 42X36X280</t>
  </si>
  <si>
    <t>2A22-280A00</t>
  </si>
  <si>
    <t>BLACK STEEL TUBE M42X36X280/MTO  เกลียวยาว</t>
  </si>
  <si>
    <t>2A22-290-00</t>
  </si>
  <si>
    <t>BLACK STEEL TUBE M42X36X290</t>
  </si>
  <si>
    <t>2A22-300-00</t>
  </si>
  <si>
    <t>BLACK STEEL TUBE M42X36X300</t>
  </si>
  <si>
    <t>2A22-310A00</t>
  </si>
  <si>
    <t>BLACK STEEL TUBE  M42X36X310</t>
  </si>
  <si>
    <t>2A22-320-00</t>
  </si>
  <si>
    <t>BLACK STEEL TUBE 42X36X320</t>
  </si>
  <si>
    <t>2A22-330-00</t>
  </si>
  <si>
    <t>BLACK STEEL TUBE 42X36X330</t>
  </si>
  <si>
    <t>2A22-340-00</t>
  </si>
  <si>
    <t>BLACK STEEL TUBE 42X36X340</t>
  </si>
  <si>
    <t>2A22-350-00</t>
  </si>
  <si>
    <t>BLACK STEEL TUBE 42X36X350</t>
  </si>
  <si>
    <t>2A23-095-02</t>
  </si>
  <si>
    <t>BLACK STEEL TUBE 56X50X95</t>
  </si>
  <si>
    <t>2A23-100-02</t>
  </si>
  <si>
    <t>BLACK STEEL TUBE 56X50X100</t>
  </si>
  <si>
    <t>2A23-105-02</t>
  </si>
  <si>
    <t>BLACK STEEL TUBE 56X50X105</t>
  </si>
  <si>
    <t>2A23-110-02</t>
  </si>
  <si>
    <t>BLACK STEEL TUBE 56X50X110</t>
  </si>
  <si>
    <t>2A23-115-02</t>
  </si>
  <si>
    <t>BLACK STEEL TUBE 56X50X115</t>
  </si>
  <si>
    <t>2A23-120-02</t>
  </si>
  <si>
    <t>BLACK STEEL TUBE 56X50X120</t>
  </si>
  <si>
    <t>2A23-125-02</t>
  </si>
  <si>
    <t>BLACK STEEL TUBE 56X50X125</t>
  </si>
  <si>
    <t>2A23-125A00</t>
  </si>
  <si>
    <t>BLACK-EDP STEEL TUBE 56X50X125/20</t>
  </si>
  <si>
    <t>2A23-130-02</t>
  </si>
  <si>
    <t>BLACK STEEL TUBE 56X50X130</t>
  </si>
  <si>
    <t>2A23-130A00</t>
  </si>
  <si>
    <t>BLACK-EDP STEEL TUBE 56X50X130/20</t>
  </si>
  <si>
    <t>2A23-135-02</t>
  </si>
  <si>
    <t>BLACK STEEL TUBE 56X50X135</t>
  </si>
  <si>
    <t>2A23-140-02</t>
  </si>
  <si>
    <t>BLACK STEEL TUBE 56X50X140</t>
  </si>
  <si>
    <t>2A23-145-02</t>
  </si>
  <si>
    <t>BLACK STEEL TUBE 56X50X145</t>
  </si>
  <si>
    <t>2A23-150-02</t>
  </si>
  <si>
    <t>BLACK STEEL TUBE 56X50X150</t>
  </si>
  <si>
    <t>2A23-155-02</t>
  </si>
  <si>
    <t>BLACK STEEL TUBE 56X50X155</t>
  </si>
  <si>
    <t>2A23-160-02</t>
  </si>
  <si>
    <t>BLACK STEEL TUBE 56X50X160</t>
  </si>
  <si>
    <t>2A23-165-02</t>
  </si>
  <si>
    <t>BLACK STEEL TUBE 56X50X165</t>
  </si>
  <si>
    <t>2A23-170-02</t>
  </si>
  <si>
    <t>BLACK STEEL TUBE 56X50X170</t>
  </si>
  <si>
    <t>2A23-175-02</t>
  </si>
  <si>
    <t>BLACK STEEL TUBE 56X50X175</t>
  </si>
  <si>
    <t>2A23-180-02</t>
  </si>
  <si>
    <t>BLACK STEEL TUBE 56X50X180</t>
  </si>
  <si>
    <t>2A23-185-02</t>
  </si>
  <si>
    <t>BLACK STEEL TUBE 56X50X185</t>
  </si>
  <si>
    <t>2A23-190-02</t>
  </si>
  <si>
    <t>BLACK STEEL TUBE 56X50X190</t>
  </si>
  <si>
    <t>2A23-195-02</t>
  </si>
  <si>
    <t>BLACK STEEL TUBE 56X50X195</t>
  </si>
  <si>
    <t>2A23-200-02</t>
  </si>
  <si>
    <t>BLACK STEEL TUBE 56X50X200</t>
  </si>
  <si>
    <t>2A23-205-02</t>
  </si>
  <si>
    <t>BLACK STEEL TUBE 56X50X205</t>
  </si>
  <si>
    <t>2A23-210-02</t>
  </si>
  <si>
    <t>BLACK STEEL TUBE 56X50X210</t>
  </si>
  <si>
    <t>2A23-215-02</t>
  </si>
  <si>
    <t>BLACK STEEL TUBE 56X50X215</t>
  </si>
  <si>
    <t>2A23-220-02</t>
  </si>
  <si>
    <t>BLACK STEEL TUBE 56X50X220</t>
  </si>
  <si>
    <t>2A23-225-00</t>
  </si>
  <si>
    <t>BLACK STEEL TUBE 56X50X225 MTO</t>
  </si>
  <si>
    <t>2A23-235-00</t>
  </si>
  <si>
    <t>BLACK STEEL TUBE 56X50X235</t>
  </si>
  <si>
    <t>2A23-240-02</t>
  </si>
  <si>
    <t>BLACK STEEL TUBE 56X50X240</t>
  </si>
  <si>
    <t>2A23-250-02</t>
  </si>
  <si>
    <t>BLACK STEEL TUBE 56X50X250</t>
  </si>
  <si>
    <t>2A23-260-00</t>
  </si>
  <si>
    <t>BLACK STEEL TUBE 56X50X260</t>
  </si>
  <si>
    <t>2A23-275-02</t>
  </si>
  <si>
    <t>BLACK STEEL TUBE 56X50X275</t>
  </si>
  <si>
    <t>2A23-285-02</t>
  </si>
  <si>
    <t>BLACK STEEL TUBE 56X50X285</t>
  </si>
  <si>
    <t>2A23A310-00</t>
  </si>
  <si>
    <t>STEEL TUBE M56X50X310 BLACK FOR AUTO</t>
  </si>
  <si>
    <t>2A23A435-00</t>
  </si>
  <si>
    <t>STEEL TUBE M56X50X435 BLACK FOR AUTO</t>
  </si>
  <si>
    <t>2A27-003-00</t>
  </si>
  <si>
    <t>BLACK STEEL SP.RETAINER COVER 68/M22X1.5</t>
  </si>
  <si>
    <t>2A28-080-01</t>
  </si>
  <si>
    <t>REBOUND NEEDLE 15.5 DEGREE</t>
  </si>
  <si>
    <t>2A28-081-02</t>
  </si>
  <si>
    <t>REBOUND NEEDLE 5 DEGREE</t>
  </si>
  <si>
    <t>2A29-001-01</t>
  </si>
  <si>
    <t>BLACK -1 EYE BASE M22X1.5X41/M12X1.25/M16.1</t>
  </si>
  <si>
    <t>2A29-002-00</t>
  </si>
  <si>
    <t>END CAP M35X1.25/40X16.5X13 HD.SOFTAIL BLACK</t>
  </si>
  <si>
    <t>2A29-020-00</t>
  </si>
  <si>
    <t>BLACK 2 CAP ADJUSTER 10.5X10/M3X0.5 BLACK ZINC/PROTYPE</t>
  </si>
  <si>
    <t>2A29-021-00</t>
  </si>
  <si>
    <t>BLACK 2 CAP ADJUSTER 10.5X12/M8X1.0 BLACK ZINC/PROTYPE</t>
  </si>
  <si>
    <t>2A2E-140-00</t>
  </si>
  <si>
    <t>STEEL TUBE 34X30X140-PROTOTYPE-M07</t>
  </si>
  <si>
    <t>2A2E-150-00</t>
  </si>
  <si>
    <t>STEEL TUBE 34X30X150-PROTOTYPE-M07</t>
  </si>
  <si>
    <t>2A2F-144-02</t>
  </si>
  <si>
    <t>STEEL TUBE-VD222-35X30X144/45/M35X1.25</t>
  </si>
  <si>
    <t>2A2F-169-02</t>
  </si>
  <si>
    <t>STEEL TUBE-VD222-35X30X169/45/M35X1.25</t>
  </si>
  <si>
    <t>2A2F-189-02</t>
  </si>
  <si>
    <t>STEEL TUBE-VD222-35X30X189/45/M35X1.25</t>
  </si>
  <si>
    <t>2A2F-204-02</t>
  </si>
  <si>
    <t>STEEL TUBE-VD222-35X30X204/45/M35X1.25</t>
  </si>
  <si>
    <t>2A2H-110-00</t>
  </si>
  <si>
    <t>STEEL TUBE M42X36X110/40 HB-YAM/JUPITER 135 MX</t>
  </si>
  <si>
    <t>2A2H-115-00</t>
  </si>
  <si>
    <t>STEEL TUBE M42X36X115/36 HB-SPARK-135</t>
  </si>
  <si>
    <t>2A2H-127-00</t>
  </si>
  <si>
    <t>STEEL TUBE M42X36X127/44 HB-CANOPY 235</t>
  </si>
  <si>
    <t>2A2H-130-00</t>
  </si>
  <si>
    <t xml:space="preserve">STEEL TUBE M42X36.5X130-กลึง </t>
  </si>
  <si>
    <t>2A2H-135-00</t>
  </si>
  <si>
    <t>STEEL TUBE M42X36X135/56 HB-SCROPIO</t>
  </si>
  <si>
    <t>2A2H-135A00</t>
  </si>
  <si>
    <t>STEEL TUBE M42X36X135/51 HB-CANOPY 245</t>
  </si>
  <si>
    <t>2A2H-142-00</t>
  </si>
  <si>
    <t>STEEL TUBE M42X36X142/47 HB-KSR</t>
  </si>
  <si>
    <t>2A2H-142A00</t>
  </si>
  <si>
    <t>STEEL TUBE M42X36X142/83 HB-TENA</t>
  </si>
  <si>
    <t>2A2H-145-01</t>
  </si>
  <si>
    <t>STEEL TUBE M42X36X145/47 HB-KSR</t>
  </si>
  <si>
    <t>2A2H-145A00</t>
  </si>
  <si>
    <t>STEEL TUBE M42X36X145/85 HB-TENA</t>
  </si>
  <si>
    <t>2A2H-145B00</t>
  </si>
  <si>
    <t>STEEL TUBE M42X36X145/40 HB-TZR-50</t>
  </si>
  <si>
    <t>2A2H-145C00</t>
  </si>
  <si>
    <t>STEEL TUBE M42X36X145/45 HB-MSX-125</t>
  </si>
  <si>
    <t>2A2H-146-00</t>
  </si>
  <si>
    <t>STEEL TUBE M42X36X146/95 HB-DASH</t>
  </si>
  <si>
    <t>2A2H-146B00</t>
  </si>
  <si>
    <t>STEEL TUBE M42X36X146/75 HB-SATRIA-120</t>
  </si>
  <si>
    <t>2A2H-148-00</t>
  </si>
  <si>
    <t>STEEL TUBE M42X36X148/46 HB-V-IXION</t>
  </si>
  <si>
    <t>2A2H-148-01</t>
  </si>
  <si>
    <t>2A2H-149B00</t>
  </si>
  <si>
    <t>STEEL TUBE M42X36X149/78 HB-AKIRA-SAPRIAL-120</t>
  </si>
  <si>
    <t>2A2H-150-00</t>
  </si>
  <si>
    <t>STEEL TUBE M42X36X150/42 HB-V-IXION</t>
  </si>
  <si>
    <t>2A2H-150A00</t>
  </si>
  <si>
    <t>STEEL TUBE M42X36X150/100 HB-DASH</t>
  </si>
  <si>
    <t>2A2H-152-00</t>
  </si>
  <si>
    <t>STEEL TUBE M42X36X152/80 HB-SONIC</t>
  </si>
  <si>
    <t>2A2H-152B00</t>
  </si>
  <si>
    <t>STEEL TUBE M42X36X152/54 HB-CBR-150</t>
  </si>
  <si>
    <t>2A2H-155-00</t>
  </si>
  <si>
    <t>STEEL TUBE M42X36X155/80 HB-SONIC</t>
  </si>
  <si>
    <t>2A2H-155-01</t>
  </si>
  <si>
    <t>2A2H-155B00</t>
  </si>
  <si>
    <t>STEEL TUBE M42X36X155/54 HB-CBR-150</t>
  </si>
  <si>
    <t>2A2H-155B01</t>
  </si>
  <si>
    <t>2A2H-155C00</t>
  </si>
  <si>
    <t>STEEL TUBE M42X36X155/57 HB-HO/NSR-R/7</t>
  </si>
  <si>
    <t>2A2H-155E00</t>
  </si>
  <si>
    <t>STEEL TUBE  SENDA-50 M42X36X155/47</t>
  </si>
  <si>
    <t>2A2H-160-00</t>
  </si>
  <si>
    <t>STEEL TUBE M42X36X160/60 HB-HON LS-125</t>
  </si>
  <si>
    <t>2A2H-160A00</t>
  </si>
  <si>
    <t>STEEL TUBE M42X36X160/50 HB-HON LS-125</t>
  </si>
  <si>
    <t>2A2H-160B00</t>
  </si>
  <si>
    <t>STEEL TUBE M42X36X160/65 HB-KAW/ZX 150</t>
  </si>
  <si>
    <t>2A2H-164-00</t>
  </si>
  <si>
    <t>STEEL TUBE M42X36X164/94 HB APE50-100</t>
  </si>
  <si>
    <t>2A2H-165-00</t>
  </si>
  <si>
    <t>STEEL TUBE HYBRID  M42X36X165/74 HB-NINJA-250</t>
  </si>
  <si>
    <t>2A2H-165A00</t>
  </si>
  <si>
    <t>STEEL TUBE  M42X36X165/53 HB-1-TECH</t>
  </si>
  <si>
    <t>2A2H-172-00</t>
  </si>
  <si>
    <t>STEEL TUBE M42X36X172/65 HB-HON CBR-250</t>
  </si>
  <si>
    <t>2A2H-172-01</t>
  </si>
  <si>
    <t>STEEL TUBE M42X36X172/75 HB-CBR-250</t>
  </si>
  <si>
    <t>2A2H-178-00</t>
  </si>
  <si>
    <t>STEEL TUBE M42X36X178/84 HB-CYCLE CROSS</t>
  </si>
  <si>
    <t>2A2H-180-00</t>
  </si>
  <si>
    <t>STEEL TUBE M42X36X180/78 HB-RAIDER-150</t>
  </si>
  <si>
    <t>2A2H-190-00</t>
  </si>
  <si>
    <t>STEEL TUBE M42X36X190/47 HB-KR-150</t>
  </si>
  <si>
    <t>2A2H-190A00</t>
  </si>
  <si>
    <t>STEEL TUBE M42X36X190/85 HB-BYSION</t>
  </si>
  <si>
    <t>2A2H-234-00</t>
  </si>
  <si>
    <t>STEEL TUBE M42X36X234/85 HB-KAW/KLX-150</t>
  </si>
  <si>
    <t>2A31-001-01</t>
  </si>
  <si>
    <t>STEEL INSERT BUSH 56X59X35 H.P.A. 506 BLACK - EDP</t>
  </si>
  <si>
    <t>2A31-002-01</t>
  </si>
  <si>
    <t>STEEL INSERT BUSH 42X47X34 H.P.A.366  BLACK - EDP</t>
  </si>
  <si>
    <t>2A31-201-00</t>
  </si>
  <si>
    <t>STEEL INSERT BUSH 50X54X35 FOR HPA.456</t>
  </si>
  <si>
    <t>2A34-002-01</t>
  </si>
  <si>
    <t>BASE VALVE CASE MONO HYBRID 30X32.8X7-PROTOTYPE</t>
  </si>
  <si>
    <t>2A34-003-00</t>
  </si>
  <si>
    <t xml:space="preserve">BASE VALVE CASE MONO HYBRIID 30X32.8X7 </t>
  </si>
  <si>
    <t>2A34-030-01</t>
  </si>
  <si>
    <t>BUSE VALVE 12/13.7X20X4.0</t>
  </si>
  <si>
    <t>2A34-038-00</t>
  </si>
  <si>
    <t>VALVE SPEED 4.5X7.85X4</t>
  </si>
  <si>
    <t>2A34-060-00</t>
  </si>
  <si>
    <t>SEAL PLATE 36 ZINC</t>
  </si>
  <si>
    <t>2A34-062-00</t>
  </si>
  <si>
    <t>SEAL PLATE 13X26.8X2 FOR 362</t>
  </si>
  <si>
    <t>2A34-070-01</t>
  </si>
  <si>
    <t>SEAT M6X1X33.5</t>
  </si>
  <si>
    <t>2A34-071-02</t>
  </si>
  <si>
    <t>SEAT M8X1.0/18</t>
  </si>
  <si>
    <t>2A34-071-03</t>
  </si>
  <si>
    <t>2A34-071-04</t>
  </si>
  <si>
    <t>2A36-003-01</t>
  </si>
  <si>
    <t>BANJO BOLT M10X1.25X22</t>
  </si>
  <si>
    <t>2A36-012-02</t>
  </si>
  <si>
    <t xml:space="preserve">BANJO BOLT M10X1.25X35 </t>
  </si>
  <si>
    <t>2A36-016-00</t>
  </si>
  <si>
    <t>O-EYE MX HOSE 4X6.5X28/10 (SUS)</t>
  </si>
  <si>
    <t>2A36-019-00</t>
  </si>
  <si>
    <t>BANJO BOLT M10X1.25X30 (SUS)</t>
  </si>
  <si>
    <t>2A36-023-00</t>
  </si>
  <si>
    <t>STEEL BOLT M16X10X20 W.ZINC</t>
  </si>
  <si>
    <t>2A36-060-00</t>
  </si>
  <si>
    <t>HEXAGON SCREW M9X1.25X70/15 (ZINC)</t>
  </si>
  <si>
    <t>2A36-070-00</t>
  </si>
  <si>
    <t>NUT M9X1.25X8 ZINC</t>
  </si>
  <si>
    <t>2A36-150-00</t>
  </si>
  <si>
    <t>CLAM BUSE 7.5X10X17 (SUS)</t>
  </si>
  <si>
    <t>2A36-151-00</t>
  </si>
  <si>
    <t>BANJO BOLT 2.5X4.0X29/10 (SUS)</t>
  </si>
  <si>
    <t>2A36-152-00</t>
  </si>
  <si>
    <t>BANJO BOLTM 10/2.5X40 (SUS)</t>
  </si>
  <si>
    <t>2A47-005-02</t>
  </si>
  <si>
    <t>STUD 53X25XM10/M12X1.25 (ZINC)</t>
  </si>
  <si>
    <t>2A47-007-01</t>
  </si>
  <si>
    <t>STUD 48/M10X1.25/M12X1.25 (SUS)</t>
  </si>
  <si>
    <t>2A47-007-02</t>
  </si>
  <si>
    <t>2A47-008-00</t>
  </si>
  <si>
    <t>STUD 57 M10X1.25X44/M16X1.0 ZINC2-PROTOTYPE</t>
  </si>
  <si>
    <t>2A47-013-01</t>
  </si>
  <si>
    <t>STUD M12/M22/70/M12 FOR SOFTAIL</t>
  </si>
  <si>
    <t>2A47-014-01</t>
  </si>
  <si>
    <t>STUD 45XM10X1.25X31/M16X1.0/FOR VG - ZINC</t>
  </si>
  <si>
    <t>2A47-016-01</t>
  </si>
  <si>
    <t>SHAFT ADJUSTER M12X1.25/M5 ZINC</t>
  </si>
  <si>
    <t>2A47-018-01</t>
  </si>
  <si>
    <t>STUD 35XM9X1.25/M12X1.25</t>
  </si>
  <si>
    <t>2A47-019-00</t>
  </si>
  <si>
    <t>STUD O-EYE 22X57.5/M16X1.0</t>
  </si>
  <si>
    <t>2A47-055-01</t>
  </si>
  <si>
    <t>STUD 53X25XM8X1.25/M12X1.25</t>
  </si>
  <si>
    <t>2A98A013-00</t>
  </si>
  <si>
    <t>SHAFT 16X380 (PROTOTYPE) FOR CAR</t>
  </si>
  <si>
    <t>2A98A014-00</t>
  </si>
  <si>
    <t>SHAFT 120X330 (PROTOTYPE) FOR CAR</t>
  </si>
  <si>
    <t>2A98A015-00</t>
  </si>
  <si>
    <t>STEEL SEAT M8XFOR CAR PROTOTYPE FOR CAR</t>
  </si>
  <si>
    <t>2A99-011-00</t>
  </si>
  <si>
    <t>GAS NEEDLE NO.2 M10/M10X1.25/50 (ZINC)</t>
  </si>
  <si>
    <t>2A99-011-01</t>
  </si>
  <si>
    <t>2B04-300-02</t>
  </si>
  <si>
    <t>ALU OUTTER TUBE M52X45X59X300 MATT BLACK(ดำด้าน)</t>
  </si>
  <si>
    <t>2B04-315-02</t>
  </si>
  <si>
    <t>ALU OUTTER TUBE M52X45X59X315 MATT BLACK(ดำด้าน)</t>
  </si>
  <si>
    <t>2B04A120-01-R</t>
  </si>
  <si>
    <t>2B04A125-01-R</t>
  </si>
  <si>
    <t>2B04A130-01-R</t>
  </si>
  <si>
    <t>2B04A135-01-R</t>
  </si>
  <si>
    <t>2B04A140-01-R</t>
  </si>
  <si>
    <t>2B04A145-01-R</t>
  </si>
  <si>
    <t>2B04A170-01-R</t>
  </si>
  <si>
    <t>2B04A175-01-R</t>
  </si>
  <si>
    <t>2B04A180-00</t>
  </si>
  <si>
    <t>2B08-332-00</t>
  </si>
  <si>
    <t>2B18-145A03</t>
  </si>
  <si>
    <t>BLACK  AL TUBE YES-I 35X30.2X145/15</t>
  </si>
  <si>
    <t>2B19-110-05</t>
  </si>
  <si>
    <t>2B19-115-05</t>
  </si>
  <si>
    <t>ALU TUBE-M35X30X115</t>
  </si>
  <si>
    <t>2B19-120-05</t>
  </si>
  <si>
    <t>2B19-125-05</t>
  </si>
  <si>
    <t>2B19-130-05</t>
  </si>
  <si>
    <t>2B19-135-05</t>
  </si>
  <si>
    <t>2B19-140-05</t>
  </si>
  <si>
    <t>2B19-145-05</t>
  </si>
  <si>
    <t>2B19-150-05</t>
  </si>
  <si>
    <t>2B19-155-05</t>
  </si>
  <si>
    <t>2B19-160-06</t>
  </si>
  <si>
    <t>2B19-165-06</t>
  </si>
  <si>
    <t>2B19-170-06</t>
  </si>
  <si>
    <t>2B19-175-06</t>
  </si>
  <si>
    <t>2B19-180-06</t>
  </si>
  <si>
    <t>2B19-185-06</t>
  </si>
  <si>
    <t>2B19-190-06</t>
  </si>
  <si>
    <t>2B19-195-06</t>
  </si>
  <si>
    <t>2B19-200-06</t>
  </si>
  <si>
    <t>2B19-205-00</t>
  </si>
  <si>
    <t>2B19-210-00</t>
  </si>
  <si>
    <t>2B19-215-00</t>
  </si>
  <si>
    <t>2B19-220-00</t>
  </si>
  <si>
    <t>2B19-225-00</t>
  </si>
  <si>
    <t>2B19-235-00</t>
  </si>
  <si>
    <t>2B19-240-00</t>
  </si>
  <si>
    <t>2B19-245-00</t>
  </si>
  <si>
    <t>2B19-250-00</t>
  </si>
  <si>
    <t>2B19A308-00</t>
  </si>
  <si>
    <t>2B19A308-01</t>
  </si>
  <si>
    <t>2B19C140-02</t>
  </si>
  <si>
    <t>ALU TUBE DTG_PLUS 220 M35X30X140X20</t>
  </si>
  <si>
    <t>2B19C145-02</t>
  </si>
  <si>
    <t>2B19C150-02</t>
  </si>
  <si>
    <t>ALU TUBE DTG_PLUS 220 M35X30X150X20</t>
  </si>
  <si>
    <t>2B19C155-02</t>
  </si>
  <si>
    <t xml:space="preserve">ALU TUBE DTG_PLUS 220 M35X30X155X22  </t>
  </si>
  <si>
    <t>2B19C160-02</t>
  </si>
  <si>
    <t xml:space="preserve">ALU TUBE DTG_PLUS 220 M35X30X160X20  </t>
  </si>
  <si>
    <t>2B19C165-02</t>
  </si>
  <si>
    <t xml:space="preserve">ALU TUBE DTG_PLUS 220 M35X30X165X20  </t>
  </si>
  <si>
    <t>2B19C170-02</t>
  </si>
  <si>
    <t xml:space="preserve">ALU TUBE DTG_PLUS 220 M35X30X170X20 </t>
  </si>
  <si>
    <t>2B19C175-02</t>
  </si>
  <si>
    <t>ALU TUBE DTG_PLUS 220 M35X30X175X20</t>
  </si>
  <si>
    <t>2B19C180-02</t>
  </si>
  <si>
    <t xml:space="preserve">ALU TUBE DTG_PLUS 220 M35X30X180X20  </t>
  </si>
  <si>
    <t>2B19C200-02</t>
  </si>
  <si>
    <t xml:space="preserve">ALU TUBE DTG_PLUS 220 M35X30X200X20  </t>
  </si>
  <si>
    <t>2B19C205-02</t>
  </si>
  <si>
    <t>2B19D145-02</t>
  </si>
  <si>
    <t>ALU TUBE DTG_PLUS 222 M35X30X31.5X145X20</t>
  </si>
  <si>
    <t>2B19D155-00</t>
  </si>
  <si>
    <t>2B19D155-02</t>
  </si>
  <si>
    <t>2B19D160-00</t>
  </si>
  <si>
    <t>2B19D160-01</t>
  </si>
  <si>
    <t>2B19D160-02</t>
  </si>
  <si>
    <t>2B19D170-00</t>
  </si>
  <si>
    <t>2B19D170-01</t>
  </si>
  <si>
    <t>2B19D170-02</t>
  </si>
  <si>
    <t xml:space="preserve">ALU TUBE DTG_PLUS 222 M35X30X31.5X170X20  </t>
  </si>
  <si>
    <t>2B19D170A01</t>
  </si>
  <si>
    <t>2B19D180-00</t>
  </si>
  <si>
    <t>2B19D180-01</t>
  </si>
  <si>
    <t>2B19D180-02</t>
  </si>
  <si>
    <t>2B20-120-00</t>
  </si>
  <si>
    <t>BLACK ALU TUBE M35X1.25/37/M33X120 / MTO</t>
  </si>
  <si>
    <t>2B20-135A00</t>
  </si>
  <si>
    <t>AL TUBE GIC M42X2.0TR/30/M35X1.25 BLACK</t>
  </si>
  <si>
    <t>2B20-135B00</t>
  </si>
  <si>
    <t>BLACK AL TUBE M37X1.5/30/M35X1.25/135</t>
  </si>
  <si>
    <t>2B24-014-00</t>
  </si>
  <si>
    <t>2B24-060-00</t>
  </si>
  <si>
    <t>RESERVOIR 46X60 FOR RACING BLACK</t>
  </si>
  <si>
    <t>2B24-065-00</t>
  </si>
  <si>
    <t>2B24-070-00</t>
  </si>
  <si>
    <t>2B24-075-00</t>
  </si>
  <si>
    <t>RESERVOIR 43X75  CHROME</t>
  </si>
  <si>
    <t>2B24-075-01</t>
  </si>
  <si>
    <t>2B24-075-02</t>
  </si>
  <si>
    <t>RESERVOIR 43X75 BLACK MTO</t>
  </si>
  <si>
    <t>2B24-075A01</t>
  </si>
  <si>
    <t>2B24-075A03</t>
  </si>
  <si>
    <t>2B24-075A04</t>
  </si>
  <si>
    <t>2B24-075B01</t>
  </si>
  <si>
    <t>2B24-075B02-R</t>
  </si>
  <si>
    <t>2B24-080-00</t>
  </si>
  <si>
    <t>2B24-080A00</t>
  </si>
  <si>
    <t>2B24-085-03</t>
  </si>
  <si>
    <t>RESERVOIR 43X85  BLACK</t>
  </si>
  <si>
    <t>2B24-085-04</t>
  </si>
  <si>
    <t>2B24-085-05</t>
  </si>
  <si>
    <t>2B24-085B00</t>
  </si>
  <si>
    <t>RESERVOIR 46X85 FOR RACING BLACK</t>
  </si>
  <si>
    <t>2B24-090-01</t>
  </si>
  <si>
    <t>2B24-090-02</t>
  </si>
  <si>
    <t>RESERVOIR 46X90 FOR NEW TOP LINE /BLACK</t>
  </si>
  <si>
    <t>2B24-090-03</t>
  </si>
  <si>
    <t>2B24-090-04</t>
  </si>
  <si>
    <t>2B24-090B01</t>
  </si>
  <si>
    <t>2B24-095-00</t>
  </si>
  <si>
    <t>RESERVOIR 28XM30X1.25X72XM8X1.0 NEW FOR 506 HPA</t>
  </si>
  <si>
    <t>2B24-100-03</t>
  </si>
  <si>
    <t>2B24-100-04</t>
  </si>
  <si>
    <t>2B24-100-05</t>
  </si>
  <si>
    <t>2B24-105-00</t>
  </si>
  <si>
    <t>2B24-105-01</t>
  </si>
  <si>
    <t>RESERVOIR 46X105 BLACK</t>
  </si>
  <si>
    <t>2B24-105-02</t>
  </si>
  <si>
    <t>2B24-105-03</t>
  </si>
  <si>
    <t>RESERVOIR 46X105</t>
  </si>
  <si>
    <t>2B24-110C00</t>
  </si>
  <si>
    <t>2B24-120-03</t>
  </si>
  <si>
    <t>2B24-120-04</t>
  </si>
  <si>
    <t>2B24-120-05</t>
  </si>
  <si>
    <t>2B24-120A01</t>
  </si>
  <si>
    <t>2B24-120A02</t>
  </si>
  <si>
    <t>2B24-120A03</t>
  </si>
  <si>
    <t>2B24-120A04</t>
  </si>
  <si>
    <t>2B24-120B02-R</t>
  </si>
  <si>
    <t>2B24-140-00-R</t>
  </si>
  <si>
    <t>2B24-160-00-R</t>
  </si>
  <si>
    <t>2B24-200-00</t>
  </si>
  <si>
    <t>2B24-200A00-R</t>
  </si>
  <si>
    <t>RESERVOIR 46X200 FOR PNEUMATIC PRELOAD 456 FULL RACING BACK</t>
  </si>
  <si>
    <t>2B24-200B00-R</t>
  </si>
  <si>
    <t>RESERVOIR-46X200-W-FREE-PISTON</t>
  </si>
  <si>
    <t>2B24-210-01</t>
  </si>
  <si>
    <t>2B24-211-00</t>
  </si>
  <si>
    <t>2B24-211-04</t>
  </si>
  <si>
    <t>2B24-211-05</t>
  </si>
  <si>
    <t>2B24-211-06</t>
  </si>
  <si>
    <t>2B24-211-07</t>
  </si>
  <si>
    <t>2B24-211-08</t>
  </si>
  <si>
    <t>2B24-211-09</t>
  </si>
  <si>
    <t>2B24-212-00</t>
  </si>
  <si>
    <t>2B24-212-04</t>
  </si>
  <si>
    <t>2B24-212-05</t>
  </si>
  <si>
    <t>2B24-212-07</t>
  </si>
  <si>
    <t>2B24-212-08</t>
  </si>
  <si>
    <t>2B24-212-09</t>
  </si>
  <si>
    <t>2B24-213-00</t>
  </si>
  <si>
    <t>2B24-213-01</t>
  </si>
  <si>
    <t>2B24-216-02</t>
  </si>
  <si>
    <t>2B24-217-01</t>
  </si>
  <si>
    <t>2B24-218-00</t>
  </si>
  <si>
    <t>2B24-219-00</t>
  </si>
  <si>
    <t>2B24-219-01</t>
  </si>
  <si>
    <t>BODY HOUSE 18/M12X1.0X200 PLATINUM GRAY</t>
  </si>
  <si>
    <t>2B24-220-00</t>
  </si>
  <si>
    <t>2B24-220-01</t>
  </si>
  <si>
    <t>2B24-220-03-R</t>
  </si>
  <si>
    <t>2B24-220B00-R</t>
  </si>
  <si>
    <t>2B24-220C00</t>
  </si>
  <si>
    <t>2B24-220C090</t>
  </si>
  <si>
    <t>2B24-221-01</t>
  </si>
  <si>
    <t>2B24-225-05</t>
  </si>
  <si>
    <t>2B24-226-00</t>
  </si>
  <si>
    <t>2B24-227-00</t>
  </si>
  <si>
    <t>2B24-228-00</t>
  </si>
  <si>
    <t>2B24-229-04</t>
  </si>
  <si>
    <t>2B24-230-01</t>
  </si>
  <si>
    <t>2B24-240-00</t>
  </si>
  <si>
    <t>2B24-240-02</t>
  </si>
  <si>
    <t>2B24-241-00</t>
  </si>
  <si>
    <t>2B24-241-02</t>
  </si>
  <si>
    <t>2B24-242-00</t>
  </si>
  <si>
    <t>2B24-243-00</t>
  </si>
  <si>
    <t>2B24-250-00</t>
  </si>
  <si>
    <t>2B24-251-00</t>
  </si>
  <si>
    <t>2B24-252-00</t>
  </si>
  <si>
    <t>2B24-300-01</t>
  </si>
  <si>
    <t>2B24A110-01</t>
  </si>
  <si>
    <t>RESERVOIR 25X110/M29X1.0 FOR FRONT FORK MATT BLACK(ดำด้าน)</t>
  </si>
  <si>
    <t>2B24B065-00</t>
  </si>
  <si>
    <t>2B24B075-00</t>
  </si>
  <si>
    <t>RESERVOIR 46X75 M48</t>
  </si>
  <si>
    <t>2B24B090-00</t>
  </si>
  <si>
    <t>2B24B105-00</t>
  </si>
  <si>
    <t>2B24B120-00</t>
  </si>
  <si>
    <t xml:space="preserve">RESERVOIR 46X120 M48 </t>
  </si>
  <si>
    <t>2B24C110-00</t>
  </si>
  <si>
    <t>2B24-C110030</t>
  </si>
  <si>
    <t xml:space="preserve">RESERVOIR-36X110-M38  </t>
  </si>
  <si>
    <t>2B24D075-00</t>
  </si>
  <si>
    <t>2B24D085-00</t>
  </si>
  <si>
    <t>2B24D100-00</t>
  </si>
  <si>
    <t>2B24D120-00</t>
  </si>
  <si>
    <t>2B24E100-00</t>
  </si>
  <si>
    <t>2B25-001-07</t>
  </si>
  <si>
    <t>O-EYE SCREW 26X18X60/M16/ANODIZED BLACK-MTO</t>
  </si>
  <si>
    <t>2B25-001-08</t>
  </si>
  <si>
    <t>2B25-002-07</t>
  </si>
  <si>
    <t>2B25-002-08</t>
  </si>
  <si>
    <t>2B25-003-07</t>
  </si>
  <si>
    <t>2B25-003-08</t>
  </si>
  <si>
    <t>2B25-004-04</t>
  </si>
  <si>
    <t>2B25-005-00</t>
  </si>
  <si>
    <t>2B25-005-01</t>
  </si>
  <si>
    <t>2B25-006-00</t>
  </si>
  <si>
    <t>2B25-006-01</t>
  </si>
  <si>
    <t>2B25-006-03</t>
  </si>
  <si>
    <t>2B25-007-00</t>
  </si>
  <si>
    <t>2B25-008-04</t>
  </si>
  <si>
    <t>2B25-009-04</t>
  </si>
  <si>
    <t>2B25-009-08</t>
  </si>
  <si>
    <t>2B25-010-07</t>
  </si>
  <si>
    <t>2B25-010-08</t>
  </si>
  <si>
    <t>2B25-010-09</t>
  </si>
  <si>
    <t>2B25-011-05</t>
  </si>
  <si>
    <t>2B25-011-06</t>
  </si>
  <si>
    <t>2B25-011-07</t>
  </si>
  <si>
    <t>2B25-012-03</t>
  </si>
  <si>
    <t>2B25-012-04</t>
  </si>
  <si>
    <t>2B25-012-05</t>
  </si>
  <si>
    <t>2B25-013-04</t>
  </si>
  <si>
    <t>2B25-013-05</t>
  </si>
  <si>
    <t>2B25-013-06</t>
  </si>
  <si>
    <t>2B25-014-01</t>
  </si>
  <si>
    <t>2B25-016-02</t>
  </si>
  <si>
    <t>O-EYE(+20) 26X18X78/M12/ANODIZED/MTO-BLACK</t>
  </si>
  <si>
    <t>2B25-017-00</t>
  </si>
  <si>
    <t>2B25-020-06</t>
  </si>
  <si>
    <t>2B25-020-07</t>
  </si>
  <si>
    <t>2B25-021-06</t>
  </si>
  <si>
    <t>2B25-021-07</t>
  </si>
  <si>
    <t>2B25-022-04</t>
  </si>
  <si>
    <t>2B25-023-05</t>
  </si>
  <si>
    <t>2B25-023-06</t>
  </si>
  <si>
    <t>2B25-023-07</t>
  </si>
  <si>
    <t>2B25-024-00</t>
  </si>
  <si>
    <t>2B25-024-01</t>
  </si>
  <si>
    <t>2B25-025-06</t>
  </si>
  <si>
    <t>2B25-025-08</t>
  </si>
  <si>
    <t>2B25-025-09</t>
  </si>
  <si>
    <t>2B25-026-00</t>
  </si>
  <si>
    <t>2B25-026-02</t>
  </si>
  <si>
    <t>2B25-029-01</t>
  </si>
  <si>
    <t>FORK W-REB 24X30X70X10MM-M16X1.5 OFFSET 3 MM</t>
  </si>
  <si>
    <t>2B25-031-01</t>
  </si>
  <si>
    <t>2B25-032-04</t>
  </si>
  <si>
    <t>O-EYE-2-OFFSET 3.5-20X18X43/M35 SILVER</t>
  </si>
  <si>
    <t>2B25-033-00</t>
  </si>
  <si>
    <t>2B25-033-05</t>
  </si>
  <si>
    <t>FORK  20X22X48XM8/M35  SILVER</t>
  </si>
  <si>
    <t>2B25-034-05</t>
  </si>
  <si>
    <t>FORK-11 20X22X48XM10/M35 SILVER</t>
  </si>
  <si>
    <t>2B25-035-03</t>
  </si>
  <si>
    <t>FORK-1-JE 20X22X52/40XM8/M35 BLACK</t>
  </si>
  <si>
    <t>2B25-036-00</t>
  </si>
  <si>
    <t>2B25-036-03</t>
  </si>
  <si>
    <t>FORK-1-JE 20X22X52/40XM10/M35 BLACK</t>
  </si>
  <si>
    <t>2B25-037-01</t>
  </si>
  <si>
    <t>O-EYE-3 20X18X45/M5 SILVER</t>
  </si>
  <si>
    <t>2B25-040-05</t>
  </si>
  <si>
    <t>2B25-040-07</t>
  </si>
  <si>
    <t>2B25-041-05</t>
  </si>
  <si>
    <t>2B25-041-06</t>
  </si>
  <si>
    <t>2B25-041-07</t>
  </si>
  <si>
    <t>2B25-042-03</t>
  </si>
  <si>
    <t>2B25-042-04</t>
  </si>
  <si>
    <t>2B25-042-05</t>
  </si>
  <si>
    <t>2B25-043-02</t>
  </si>
  <si>
    <t>2B25-044-00</t>
  </si>
  <si>
    <t>2B25-044-01</t>
  </si>
  <si>
    <t>2B25-045-00</t>
  </si>
  <si>
    <t>2B25-048-04</t>
  </si>
  <si>
    <t>2B25-049-03</t>
  </si>
  <si>
    <t>2B25-049-07</t>
  </si>
  <si>
    <t>2B25-050-04</t>
  </si>
  <si>
    <t>2B25-050-06</t>
  </si>
  <si>
    <t>2B25-051-03</t>
  </si>
  <si>
    <t>2B25-051-07</t>
  </si>
  <si>
    <t>2B25-053-03</t>
  </si>
  <si>
    <t>2B25-053-04</t>
  </si>
  <si>
    <t>2B25-053-07</t>
  </si>
  <si>
    <t>2B25-054-04</t>
  </si>
  <si>
    <t>2B25-054-06</t>
  </si>
  <si>
    <t>2B25-055-03</t>
  </si>
  <si>
    <t>2B25-056-04</t>
  </si>
  <si>
    <t>2B25-056-06</t>
  </si>
  <si>
    <t>2B25-056-08</t>
  </si>
  <si>
    <t>2B25-057-05</t>
  </si>
  <si>
    <t>2B25-057-06</t>
  </si>
  <si>
    <t>2B25-057-07</t>
  </si>
  <si>
    <t>2B25-058-00</t>
  </si>
  <si>
    <t>2B25-058-01</t>
  </si>
  <si>
    <t>2B25-060-02</t>
  </si>
  <si>
    <t>2B25-061-00</t>
  </si>
  <si>
    <t>O-EYE-1-26X18X77/M12X1.25 ADJ H.T</t>
  </si>
  <si>
    <t>2B25-061-01</t>
  </si>
  <si>
    <t>O-EYE 1 OFFSET WITH REBOUND 26X18 SILVER</t>
  </si>
  <si>
    <t>2B25-062-01</t>
  </si>
  <si>
    <t>2B25-063-01</t>
  </si>
  <si>
    <t>2B25-063-02</t>
  </si>
  <si>
    <t>2B25-063-03</t>
  </si>
  <si>
    <t>2B25-064-01</t>
  </si>
  <si>
    <t>2B25-065-00</t>
  </si>
  <si>
    <t>2B25-065-01</t>
  </si>
  <si>
    <t>2B25-066-00</t>
  </si>
  <si>
    <t>2B25-066-01</t>
  </si>
  <si>
    <t>2B25-066-04</t>
  </si>
  <si>
    <t>2B25-067-00</t>
  </si>
  <si>
    <t>BLACK  O-EYE W/SIDE REBOUND 26X18X33/M12 FOR DIG EXTRA</t>
  </si>
  <si>
    <t>2B25-068-00</t>
  </si>
  <si>
    <t xml:space="preserve">O-EYE 1 OFFSET 26X18X55/M12X1.25 </t>
  </si>
  <si>
    <t>2B25-069-00</t>
  </si>
  <si>
    <t>2B25-069-02</t>
  </si>
  <si>
    <t>2B25-069-03</t>
  </si>
  <si>
    <t>2B25-071-02</t>
  </si>
  <si>
    <t>2B25-073-06</t>
  </si>
  <si>
    <t>2B25-073-08</t>
  </si>
  <si>
    <t>2B25-074-01</t>
  </si>
  <si>
    <t>2B25-075-01</t>
  </si>
  <si>
    <t>2B25-076-01</t>
  </si>
  <si>
    <t>2B25-077-00</t>
  </si>
  <si>
    <t>2B25-077-02</t>
  </si>
  <si>
    <t>2B25-080-00</t>
  </si>
  <si>
    <t>2B25-081-00</t>
  </si>
  <si>
    <t>2B25-081-02</t>
  </si>
  <si>
    <t>2B25-082-02</t>
  </si>
  <si>
    <t>2B25-083-01</t>
  </si>
  <si>
    <t>2B25-084-02</t>
  </si>
  <si>
    <t>FORK-24-48X25/55/63X10MM/M35 SILVER</t>
  </si>
  <si>
    <t>2B25-085-00</t>
  </si>
  <si>
    <t>2B25-085-01</t>
  </si>
  <si>
    <t>FORK-29 33X25X55/50XM10X1.25 SILVER</t>
  </si>
  <si>
    <t>2B25-086-00</t>
  </si>
  <si>
    <t>2B25-087-00</t>
  </si>
  <si>
    <t>FORK 20X25X48XM8/M12X1.25 (GIC) SILVER</t>
  </si>
  <si>
    <t>2B25-088-00</t>
  </si>
  <si>
    <t>2B25-088-01</t>
  </si>
  <si>
    <t>2B25-088-02</t>
  </si>
  <si>
    <t>2B25-089-00</t>
  </si>
  <si>
    <t>2B25-089-02</t>
  </si>
  <si>
    <t>2B25-091-00</t>
  </si>
  <si>
    <t>2B25-092-00</t>
  </si>
  <si>
    <t>FORK 33X28X38XM10/HI-LOW SPEED /MTO</t>
  </si>
  <si>
    <t>2B25-092-02</t>
  </si>
  <si>
    <t>2B25-093-01</t>
  </si>
  <si>
    <t>2B25-094-00</t>
  </si>
  <si>
    <t>FORK-5-26X28X48/M8X1.25/M12X1.25</t>
  </si>
  <si>
    <t>2B25-095-00</t>
  </si>
  <si>
    <t>2B25-095-01</t>
  </si>
  <si>
    <t>2B25-096-00</t>
  </si>
  <si>
    <t>2B25-096-01</t>
  </si>
  <si>
    <t>2B25-097-01</t>
  </si>
  <si>
    <t>2B25-098-00</t>
  </si>
  <si>
    <t>2B25-099-01</t>
  </si>
  <si>
    <t>2B25-100-00</t>
  </si>
  <si>
    <t>2B25-100-01</t>
  </si>
  <si>
    <t>2B25-102-00</t>
  </si>
  <si>
    <t>2B25-104-02</t>
  </si>
  <si>
    <t>2B25-105-00</t>
  </si>
  <si>
    <t>2B25-106-01</t>
  </si>
  <si>
    <t>2B25-107-00</t>
  </si>
  <si>
    <t>2B25-108-00</t>
  </si>
  <si>
    <t>2B25-109-00</t>
  </si>
  <si>
    <t>2B25-109-01</t>
  </si>
  <si>
    <t>2B25-110-00</t>
  </si>
  <si>
    <t>2B25-112-00</t>
  </si>
  <si>
    <t>2B25-113-00</t>
  </si>
  <si>
    <t>2B25-115-00</t>
  </si>
  <si>
    <t>2B25-116-00</t>
  </si>
  <si>
    <t>2B25-117-00</t>
  </si>
  <si>
    <t>2B25-118-00</t>
  </si>
  <si>
    <t>2B25-119-00</t>
  </si>
  <si>
    <t>2B25-120-00</t>
  </si>
  <si>
    <t>2B25-120-01</t>
  </si>
  <si>
    <t>2B25-121-00</t>
  </si>
  <si>
    <t>2B25-121-01</t>
  </si>
  <si>
    <t>2B25-122-00</t>
  </si>
  <si>
    <t>2B25-123-00</t>
  </si>
  <si>
    <t>2B25-125-00</t>
  </si>
  <si>
    <t>2B25-125-01</t>
  </si>
  <si>
    <t>2B25-126-00</t>
  </si>
  <si>
    <t>2B25-128-00</t>
  </si>
  <si>
    <t>FORK W-BLACK SIDE REB 20X22X49XM10XM12 LEFT OFFSET 3MM</t>
  </si>
  <si>
    <t>2B25-129-00</t>
  </si>
  <si>
    <t>2B25-130-00</t>
  </si>
  <si>
    <t>2B25-131-00</t>
  </si>
  <si>
    <t>2B25-132-01</t>
  </si>
  <si>
    <t>2B25-134-00</t>
  </si>
  <si>
    <t>2B25-136-00</t>
  </si>
  <si>
    <t>2B25-138-00</t>
  </si>
  <si>
    <t>2B25-140-03</t>
  </si>
  <si>
    <t>2B25-141-00</t>
  </si>
  <si>
    <t>2B25-141-01</t>
  </si>
  <si>
    <t>2B25-141-02</t>
  </si>
  <si>
    <t>2B25-142-04</t>
  </si>
  <si>
    <t>2B25-142-05</t>
  </si>
  <si>
    <t>2B25-142-06</t>
  </si>
  <si>
    <t>2B25-143-00</t>
  </si>
  <si>
    <t>2B25-143-01</t>
  </si>
  <si>
    <t>2B25-144-01</t>
  </si>
  <si>
    <t>2B25-145-00</t>
  </si>
  <si>
    <t>2B25-145-02</t>
  </si>
  <si>
    <t>2B25-146-00</t>
  </si>
  <si>
    <t>2B25-147-00</t>
  </si>
  <si>
    <t>2B25-148-02</t>
  </si>
  <si>
    <t>2B25-149-00</t>
  </si>
  <si>
    <t>2B25-149-01</t>
  </si>
  <si>
    <t>2B25-150-03</t>
  </si>
  <si>
    <t>2B25-151-01</t>
  </si>
  <si>
    <t>2B25-151-03</t>
  </si>
  <si>
    <t>2B25-152-00</t>
  </si>
  <si>
    <t>2B25-152-01</t>
  </si>
  <si>
    <t>2B25-153-02</t>
  </si>
  <si>
    <t>2B25-153-04</t>
  </si>
  <si>
    <t>2B25-155-01</t>
  </si>
  <si>
    <t>2B25-155-03</t>
  </si>
  <si>
    <t>2B25-156-00</t>
  </si>
  <si>
    <t>2B25-156-01</t>
  </si>
  <si>
    <t>2B25-158-01</t>
  </si>
  <si>
    <t>2B25-158-02</t>
  </si>
  <si>
    <t>2B25-159-03</t>
  </si>
  <si>
    <t>2B25-160-03</t>
  </si>
  <si>
    <t>2B25-161-00</t>
  </si>
  <si>
    <t>2B25-162-00</t>
  </si>
  <si>
    <t>2B25-162-01</t>
  </si>
  <si>
    <t>2B25-163-00</t>
  </si>
  <si>
    <t>2B25-163-01</t>
  </si>
  <si>
    <t>2B25-163-02</t>
  </si>
  <si>
    <t>2B25-164-00</t>
  </si>
  <si>
    <t>2B25-165-00</t>
  </si>
  <si>
    <t>2B25-165-03</t>
  </si>
  <si>
    <t>2B25-167-03</t>
  </si>
  <si>
    <t>2B25-168-02</t>
  </si>
  <si>
    <t>2B25-169-02</t>
  </si>
  <si>
    <t>2B25-170-02</t>
  </si>
  <si>
    <t>2B25-171-00</t>
  </si>
  <si>
    <t>2B25-171-01</t>
  </si>
  <si>
    <t>2B25-172-01</t>
  </si>
  <si>
    <t>2B25-172-02</t>
  </si>
  <si>
    <t>2B25-173-00</t>
  </si>
  <si>
    <t>2B25-173-03</t>
  </si>
  <si>
    <t>2B25-174-03</t>
  </si>
  <si>
    <t>2B25-175-00</t>
  </si>
  <si>
    <t>2B25-176-01</t>
  </si>
  <si>
    <t>2B25-177-01</t>
  </si>
  <si>
    <t>2B25-177-02</t>
  </si>
  <si>
    <t>2B25-179-02</t>
  </si>
  <si>
    <t>2B25-179-03</t>
  </si>
  <si>
    <t>2B25-180-00</t>
  </si>
  <si>
    <t>2B25-180-01</t>
  </si>
  <si>
    <t>2B25-181-00</t>
  </si>
  <si>
    <t>2B25-181-02</t>
  </si>
  <si>
    <t>2B25-182-02</t>
  </si>
  <si>
    <t>2B25-183-02</t>
  </si>
  <si>
    <t>2B25-185-02</t>
  </si>
  <si>
    <t>2B25-186-00</t>
  </si>
  <si>
    <t>FORK W-REB 33X30X70XM10XM16</t>
  </si>
  <si>
    <t>2B25-189-00</t>
  </si>
  <si>
    <t>2B25-189-02</t>
  </si>
  <si>
    <t>2B25-191-01</t>
  </si>
  <si>
    <t>2B25-193-01</t>
  </si>
  <si>
    <t>2B25-194-00</t>
  </si>
  <si>
    <t>2B25-198-00</t>
  </si>
  <si>
    <t>2B25-199-00</t>
  </si>
  <si>
    <t>2B25-200-02</t>
  </si>
  <si>
    <t>2B25-201-00</t>
  </si>
  <si>
    <t>2B25-202-01</t>
  </si>
  <si>
    <t>2B25-203-00</t>
  </si>
  <si>
    <t>2B25-204-00</t>
  </si>
  <si>
    <t>2B25-205-00</t>
  </si>
  <si>
    <t>2B25-206-00</t>
  </si>
  <si>
    <t>2B25-207-00</t>
  </si>
  <si>
    <t>2B25-208-02</t>
  </si>
  <si>
    <t>2B25-209-00</t>
  </si>
  <si>
    <t>2B25-210-01</t>
  </si>
  <si>
    <t>2B25-211-01</t>
  </si>
  <si>
    <t>2B25-212-00</t>
  </si>
  <si>
    <t>2B25-213-00</t>
  </si>
  <si>
    <t>2B25-215-00</t>
  </si>
  <si>
    <t>2B25-218-00</t>
  </si>
  <si>
    <t>2B25-220-00</t>
  </si>
  <si>
    <t>2B25-222-00</t>
  </si>
  <si>
    <t>2B25-223-00</t>
  </si>
  <si>
    <t>2B25-225-03</t>
  </si>
  <si>
    <t>2B25-225-05</t>
  </si>
  <si>
    <t>2B25-225-07</t>
  </si>
  <si>
    <t>2B25-226-01</t>
  </si>
  <si>
    <t>2B25-227-01</t>
  </si>
  <si>
    <t>2B25-227-02</t>
  </si>
  <si>
    <t>2B25-227-03</t>
  </si>
  <si>
    <t>2B25-228-02</t>
  </si>
  <si>
    <t>O-EYE-20/23X18X43XM12X1.25 CHROME</t>
  </si>
  <si>
    <t>2B25-229-01</t>
  </si>
  <si>
    <t>O-EYE-20X18X33/M12X1.25 BLACK</t>
  </si>
  <si>
    <t>2B25-229-02</t>
  </si>
  <si>
    <t>2B25-229-03</t>
  </si>
  <si>
    <t>2B25-231-00</t>
  </si>
  <si>
    <t>2B25-232-00</t>
  </si>
  <si>
    <t>2B25-233-00</t>
  </si>
  <si>
    <t>2B25-234-00</t>
  </si>
  <si>
    <t>2B25-235-00</t>
  </si>
  <si>
    <t>2B25-236-00</t>
  </si>
  <si>
    <t>O-EYE 20/23X18X40/45.7/M12.1.25 BLACK-EDP/PROTOTYPE</t>
  </si>
  <si>
    <t>2B25-237-00</t>
  </si>
  <si>
    <t>2B25-241-00</t>
  </si>
  <si>
    <t>2B25-242-00</t>
  </si>
  <si>
    <t>2B25-244-00</t>
  </si>
  <si>
    <t>2B25-260-00</t>
  </si>
  <si>
    <t>2B25-260-01</t>
  </si>
  <si>
    <t>2B25-260-02</t>
  </si>
  <si>
    <t>2B25-261-00</t>
  </si>
  <si>
    <t>2B25-261-01</t>
  </si>
  <si>
    <t>2B25-261-02</t>
  </si>
  <si>
    <t>O-EYE WITH SIDE REBOUND 26X18X70XM16</t>
  </si>
  <si>
    <t>2B25-262-00</t>
  </si>
  <si>
    <t>2B25-262-02</t>
  </si>
  <si>
    <t>2B25-263-00</t>
  </si>
  <si>
    <t>2B25-263-01</t>
  </si>
  <si>
    <t>2B25-264-00</t>
  </si>
  <si>
    <t>2B25-265-00</t>
  </si>
  <si>
    <t>2B25-267-00</t>
  </si>
  <si>
    <t>2B25-268-00</t>
  </si>
  <si>
    <t>2B25-280-00</t>
  </si>
  <si>
    <t>2B25-281-00</t>
  </si>
  <si>
    <t>2B25-282-01</t>
  </si>
  <si>
    <t>2B25-284-00</t>
  </si>
  <si>
    <t>2B25-285-01</t>
  </si>
  <si>
    <t>2B25-286-00</t>
  </si>
  <si>
    <t>2B25-287-00</t>
  </si>
  <si>
    <t>2B25-321-00</t>
  </si>
  <si>
    <t>2B25-323-00</t>
  </si>
  <si>
    <t>2B25-325-00</t>
  </si>
  <si>
    <t>2B25-400-00</t>
  </si>
  <si>
    <t>2B25-401-00</t>
  </si>
  <si>
    <t>2B25-830-00</t>
  </si>
  <si>
    <t>AL EYE 20/23X18X40/45.7XM12</t>
  </si>
  <si>
    <t>2B25-833-00</t>
  </si>
  <si>
    <t xml:space="preserve">AL EYE 20/23X18X40/38XM10 </t>
  </si>
  <si>
    <t>2B25-833-02</t>
  </si>
  <si>
    <t>AL EYE 20X18X34.5/45.8XM12X1.25</t>
  </si>
  <si>
    <t>2B26-001-02</t>
  </si>
  <si>
    <t>2B26-001-03</t>
  </si>
  <si>
    <t>2B26-001-04</t>
  </si>
  <si>
    <t>2B26-001-05</t>
  </si>
  <si>
    <t>2B26-002-07</t>
  </si>
  <si>
    <t>2B26-002-08</t>
  </si>
  <si>
    <t>2B26-002-09</t>
  </si>
  <si>
    <t>2B26-002-0A</t>
  </si>
  <si>
    <t>2B26-003-00</t>
  </si>
  <si>
    <t>2B26-003-01</t>
  </si>
  <si>
    <t>2B26-003-02</t>
  </si>
  <si>
    <t>2B26-003-03</t>
  </si>
  <si>
    <t>2B26-003-04</t>
  </si>
  <si>
    <t>2B26-004-07</t>
  </si>
  <si>
    <t>2B26-006-01</t>
  </si>
  <si>
    <t>2B26-006-02</t>
  </si>
  <si>
    <t>2B26-006-03</t>
  </si>
  <si>
    <t>2B26-006-04</t>
  </si>
  <si>
    <t>2B26-007-00</t>
  </si>
  <si>
    <t>2B26-009-00</t>
  </si>
  <si>
    <t>2B26-009-01</t>
  </si>
  <si>
    <t>2B26-009-02</t>
  </si>
  <si>
    <t>2B26-026-01</t>
  </si>
  <si>
    <t>2B26-026-02</t>
  </si>
  <si>
    <t>2B26-026-03</t>
  </si>
  <si>
    <t>G-EYE TAPER 20X18X44XM5XM44XM35 MTO</t>
  </si>
  <si>
    <t>2B26-043-03</t>
  </si>
  <si>
    <t>2B26-043-04</t>
  </si>
  <si>
    <t>2B26-043-06</t>
  </si>
  <si>
    <t>2B26-043-07</t>
  </si>
  <si>
    <t>2B26-043-08</t>
  </si>
  <si>
    <t>2B26-045-00</t>
  </si>
  <si>
    <t>2B26-045-01</t>
  </si>
  <si>
    <t>2B26-045-02</t>
  </si>
  <si>
    <t>2B26-045-04</t>
  </si>
  <si>
    <t>2B26-046-01</t>
  </si>
  <si>
    <t>2B26-046-03</t>
  </si>
  <si>
    <t>2B26-046-04</t>
  </si>
  <si>
    <t>2B26-048-00</t>
  </si>
  <si>
    <t>2B26-049-01</t>
  </si>
  <si>
    <t>2B26-049-03</t>
  </si>
  <si>
    <t>2B26-049-04</t>
  </si>
  <si>
    <t>2B26-050-01</t>
  </si>
  <si>
    <t>2B26-050-04</t>
  </si>
  <si>
    <t>2B26-051-00</t>
  </si>
  <si>
    <t>2B26-051-01</t>
  </si>
  <si>
    <t>2B26-051-02</t>
  </si>
  <si>
    <t>2B26-051-03</t>
  </si>
  <si>
    <t>2B26-051-04</t>
  </si>
  <si>
    <t>2B26-051-05</t>
  </si>
  <si>
    <t>2B26-052-00</t>
  </si>
  <si>
    <t>2B26-052-01</t>
  </si>
  <si>
    <t>2B26-052-02</t>
  </si>
  <si>
    <t>2B26-053-01</t>
  </si>
  <si>
    <t>2B26-055-00</t>
  </si>
  <si>
    <t>2B26-055-01</t>
  </si>
  <si>
    <t>2B26-055-03</t>
  </si>
  <si>
    <t>G EYE W-COM 26X18X45XM20XM48XM42-90DEGREE</t>
  </si>
  <si>
    <t>2B26-061-04</t>
  </si>
  <si>
    <t>2B26-062-03</t>
  </si>
  <si>
    <t>2B26-063-03</t>
  </si>
  <si>
    <t>2B26-063-04</t>
  </si>
  <si>
    <t>2B26-064-03</t>
  </si>
  <si>
    <t xml:space="preserve">G NUT W-COM 45XM20XM48XM42XM16 COLOR </t>
  </si>
  <si>
    <t>2B26-065-01</t>
  </si>
  <si>
    <t>2B26-065-02</t>
  </si>
  <si>
    <t>2B26-066-01</t>
  </si>
  <si>
    <t>2B26-066-02</t>
  </si>
  <si>
    <t>2B26-066-04</t>
  </si>
  <si>
    <t>2B26-067-01</t>
  </si>
  <si>
    <t>2B26-067-02</t>
  </si>
  <si>
    <t>2B26-067-03</t>
  </si>
  <si>
    <t>2B26-067-04</t>
  </si>
  <si>
    <t>2B26-068-00</t>
  </si>
  <si>
    <t>2B26-068-01</t>
  </si>
  <si>
    <t>2B26-068-02</t>
  </si>
  <si>
    <t>2B26-068-03</t>
  </si>
  <si>
    <t>2B26-080-02</t>
  </si>
  <si>
    <t>G-EYE W-COM 20X14X45XM20XM48-M42-COLOR</t>
  </si>
  <si>
    <t>2B26-081-01</t>
  </si>
  <si>
    <t>2B26-082-00</t>
  </si>
  <si>
    <t>2B26-082-01</t>
  </si>
  <si>
    <t>2B26-083-00</t>
  </si>
  <si>
    <t>2B26-083-01</t>
  </si>
  <si>
    <t>2B26-100-06</t>
  </si>
  <si>
    <t>2B26-102-00</t>
  </si>
  <si>
    <t>2B26-102-0A</t>
  </si>
  <si>
    <t>2B26-103-04</t>
  </si>
  <si>
    <t>2B26-109-00</t>
  </si>
  <si>
    <t>2B26-110-09</t>
  </si>
  <si>
    <t>2B26-110-0A</t>
  </si>
  <si>
    <t>2B26-110-0C</t>
  </si>
  <si>
    <t>2B26-110-0D</t>
  </si>
  <si>
    <t>2B26-110-0E</t>
  </si>
  <si>
    <t>2B26-110-0F</t>
  </si>
  <si>
    <t>2B26-114-01</t>
  </si>
  <si>
    <t>2B26-115-00</t>
  </si>
  <si>
    <t>2B26-116-00</t>
  </si>
  <si>
    <t>2B26-116-01</t>
  </si>
  <si>
    <t>2B26-116-02</t>
  </si>
  <si>
    <t>2B26-116-03</t>
  </si>
  <si>
    <t>2B26-117-00</t>
  </si>
  <si>
    <t>2B26-117-01</t>
  </si>
  <si>
    <t>2B26-117-02</t>
  </si>
  <si>
    <t>2B26-118-04</t>
  </si>
  <si>
    <t>2B26-120-0A</t>
  </si>
  <si>
    <t>2B26-120-0B</t>
  </si>
  <si>
    <t>2B26-120-0C</t>
  </si>
  <si>
    <t>2B26-120-0D</t>
  </si>
  <si>
    <t>2B26-120-0E</t>
  </si>
  <si>
    <t>2B26-120-0F</t>
  </si>
  <si>
    <t>2B26-120-0G</t>
  </si>
  <si>
    <t>2B26-120-0H</t>
  </si>
  <si>
    <t>2B26-122-00</t>
  </si>
  <si>
    <t>2B26-122-02</t>
  </si>
  <si>
    <t>2B26-122-04</t>
  </si>
  <si>
    <t>2B26-122-05</t>
  </si>
  <si>
    <t>2B26-122-06</t>
  </si>
  <si>
    <t>2B26-122-07</t>
  </si>
  <si>
    <t>2B26-123-00</t>
  </si>
  <si>
    <t>2B26-123-07</t>
  </si>
  <si>
    <t>2B26-124-03</t>
  </si>
  <si>
    <t>2B26-125-07</t>
  </si>
  <si>
    <t>2B26-125-08</t>
  </si>
  <si>
    <t>2B26-126-0A</t>
  </si>
  <si>
    <t>2B26-126-0C</t>
  </si>
  <si>
    <t>2B26-126-0D</t>
  </si>
  <si>
    <t>2B26-126-0G</t>
  </si>
  <si>
    <t>2B26-126-0H</t>
  </si>
  <si>
    <t>2B26-126-0J</t>
  </si>
  <si>
    <t>2B26-127-00</t>
  </si>
  <si>
    <t>2B26-127-02</t>
  </si>
  <si>
    <t>2B26-128-00</t>
  </si>
  <si>
    <t>2B26-129-02</t>
  </si>
  <si>
    <t>2B26-129-03</t>
  </si>
  <si>
    <t>2B26-129-04</t>
  </si>
  <si>
    <t>2B26-130-04</t>
  </si>
  <si>
    <t>2B26-132-00</t>
  </si>
  <si>
    <t>2B26-132-01</t>
  </si>
  <si>
    <t>2B26-132-02</t>
  </si>
  <si>
    <t>2B26-142-01</t>
  </si>
  <si>
    <t>2B26-142-02</t>
  </si>
  <si>
    <t>2B26-142-03</t>
  </si>
  <si>
    <t>2B26-142-05</t>
  </si>
  <si>
    <t>2B26-143-00</t>
  </si>
  <si>
    <t>2B26-150-04</t>
  </si>
  <si>
    <t>2B26-150-05</t>
  </si>
  <si>
    <t>2B26-150-06</t>
  </si>
  <si>
    <t>2B26-150-07</t>
  </si>
  <si>
    <t>2B26-160-01</t>
  </si>
  <si>
    <t>2B26-162-01</t>
  </si>
  <si>
    <t>2B26-163-00</t>
  </si>
  <si>
    <t>2B26-163-02</t>
  </si>
  <si>
    <t>2B26-163-03</t>
  </si>
  <si>
    <t>2B26-172-00</t>
  </si>
  <si>
    <t>2B26-172-01</t>
  </si>
  <si>
    <t>2B26-172-02</t>
  </si>
  <si>
    <t>2B26-173-00</t>
  </si>
  <si>
    <t>2B26-173-01</t>
  </si>
  <si>
    <t>2B26-174-00</t>
  </si>
  <si>
    <t>2B26-175-01</t>
  </si>
  <si>
    <t>2B26-176-00</t>
  </si>
  <si>
    <t>2B26-200-00</t>
  </si>
  <si>
    <t>G-UPPER EYE-11 28X18/M35X1.25/M44 HI-LOW 362-366 7075</t>
  </si>
  <si>
    <t>2B26-200-01</t>
  </si>
  <si>
    <t>2B26-200-02</t>
  </si>
  <si>
    <t>2B26-201-00</t>
  </si>
  <si>
    <t>2B26-201-03</t>
  </si>
  <si>
    <t>2B26-202-00</t>
  </si>
  <si>
    <t>2B26-203-00</t>
  </si>
  <si>
    <t>G EYE H-L 26X18X50XM20XM44XM42-90DEGREE</t>
  </si>
  <si>
    <t>2B26-204-01</t>
  </si>
  <si>
    <t>2B26-204-02</t>
  </si>
  <si>
    <t>2B26-204-03</t>
  </si>
  <si>
    <t>2B26-204-05</t>
  </si>
  <si>
    <t>2B26-205-00</t>
  </si>
  <si>
    <t>2B26-205-01</t>
  </si>
  <si>
    <t>2B26-205-02</t>
  </si>
  <si>
    <t>2B26-205-03</t>
  </si>
  <si>
    <t>2B26-205-04</t>
  </si>
  <si>
    <t>2B26-207-01</t>
  </si>
  <si>
    <t>2B26-207-03</t>
  </si>
  <si>
    <t>2B26-208-02</t>
  </si>
  <si>
    <t>2B26-210-01</t>
  </si>
  <si>
    <t>2B26-210-02</t>
  </si>
  <si>
    <t>2B26-210-03</t>
  </si>
  <si>
    <t>2B26-211-01</t>
  </si>
  <si>
    <t>2B26-211-03</t>
  </si>
  <si>
    <t>2B26-213-00</t>
  </si>
  <si>
    <t>2B26-215-07</t>
  </si>
  <si>
    <t xml:space="preserve">G EYE 26X18X50XM5XM44XM35  </t>
  </si>
  <si>
    <t>2B26-216-00</t>
  </si>
  <si>
    <t>2B26-217-00</t>
  </si>
  <si>
    <t>2B26-218-00</t>
  </si>
  <si>
    <t>2B26-218-02</t>
  </si>
  <si>
    <t>2B26-218-03</t>
  </si>
  <si>
    <t>2B26-219-00</t>
  </si>
  <si>
    <t>2B26-219-03</t>
  </si>
  <si>
    <t>2B26-220-01</t>
  </si>
  <si>
    <t>2B26-220-02</t>
  </si>
  <si>
    <t>2B26-220-03</t>
  </si>
  <si>
    <t>2B26-220-04</t>
  </si>
  <si>
    <t>G-UPPER EYE  M42X26XM20/M44/W-COM 3 STEP ANODIZED BLACK MTO.</t>
  </si>
  <si>
    <t>2B26-221-00</t>
  </si>
  <si>
    <t>2B26-222-00</t>
  </si>
  <si>
    <t>BLACK G-EYE W/COM 26X18X50XM20XM44/M42X1.5 LEFT 170 DEGREE</t>
  </si>
  <si>
    <t>2B26-226-02</t>
  </si>
  <si>
    <t>G EYE W-COM 26X18X45XM20XM38-M42-190 DG COLOR</t>
  </si>
  <si>
    <t>2B26-227-02</t>
  </si>
  <si>
    <t>G EYE W-COM 26X18X45XM20XM38-M42-170 DG COLOR</t>
  </si>
  <si>
    <t>2B26-228-00</t>
  </si>
  <si>
    <t>2B26-228-01</t>
  </si>
  <si>
    <t>2B26-229-01</t>
  </si>
  <si>
    <t>2B26-229-02</t>
  </si>
  <si>
    <t>2B26-230-01</t>
  </si>
  <si>
    <t>2B26-230-02</t>
  </si>
  <si>
    <t>2B26-230-03</t>
  </si>
  <si>
    <t>G NUT 52XM5XM44XM35XM16</t>
  </si>
  <si>
    <t>2B26-231-00</t>
  </si>
  <si>
    <t>2B26-231-01</t>
  </si>
  <si>
    <t>2B26-231-02</t>
  </si>
  <si>
    <t>2B26-231-03</t>
  </si>
  <si>
    <t>2B26-231-04</t>
  </si>
  <si>
    <t>2B26-234-00</t>
  </si>
  <si>
    <t>2B26-234-01</t>
  </si>
  <si>
    <t>2B26-234-02</t>
  </si>
  <si>
    <t>2B26-234-03</t>
  </si>
  <si>
    <t>G NUT 43XM5XM48XM35XM16 BLACK</t>
  </si>
  <si>
    <t>2B26-234-04</t>
  </si>
  <si>
    <t xml:space="preserve">G NUT 43XM5XM48XM35XM16 </t>
  </si>
  <si>
    <t>2B26-235-00</t>
  </si>
  <si>
    <t>2B26-235-01</t>
  </si>
  <si>
    <t>2B26-235-02</t>
  </si>
  <si>
    <t>G-NUT 53XM5XM48X/M35X1.25/M16X1.0 BLACK</t>
  </si>
  <si>
    <t>2B26-235-03</t>
  </si>
  <si>
    <t xml:space="preserve">G NUT 53XM5XM48XM35XM16 </t>
  </si>
  <si>
    <t>2B26-240-00</t>
  </si>
  <si>
    <t>2B26-240-01</t>
  </si>
  <si>
    <t>2B26-240-02</t>
  </si>
  <si>
    <t>2B26-241-00</t>
  </si>
  <si>
    <t>2B26-241-01</t>
  </si>
  <si>
    <t>2B26-241-04</t>
  </si>
  <si>
    <t>2B26-242-00</t>
  </si>
  <si>
    <t>2B26-242-01</t>
  </si>
  <si>
    <t>2B26-243-00</t>
  </si>
  <si>
    <t>2B26-243-01</t>
  </si>
  <si>
    <t>2B26-244-00</t>
  </si>
  <si>
    <t>2B26-244-01</t>
  </si>
  <si>
    <t>2B26-244-02</t>
  </si>
  <si>
    <t>2B26-244-03</t>
  </si>
  <si>
    <t>2B26-245-00</t>
  </si>
  <si>
    <t>2B26-245-01</t>
  </si>
  <si>
    <t>2B26-245-02</t>
  </si>
  <si>
    <t>2B26-245-04</t>
  </si>
  <si>
    <t>G EYE 20X22X50XM5XM44XM35 FOR MSX</t>
  </si>
  <si>
    <t>2B26-246-01</t>
  </si>
  <si>
    <t>G EYE 23X25X50XM5XM44XM35-295DEGREE</t>
  </si>
  <si>
    <t>2B26-248-00</t>
  </si>
  <si>
    <t>2B26-250-00</t>
  </si>
  <si>
    <t>2B26-250-01</t>
  </si>
  <si>
    <t>NEW C-BOTTOM FORK M35X20/22XM8/M5/M44 CHROME</t>
  </si>
  <si>
    <t>2B26-250-02</t>
  </si>
  <si>
    <t>2B26-250-03</t>
  </si>
  <si>
    <t>2B26-250-04</t>
  </si>
  <si>
    <t>2B26-250-05</t>
  </si>
  <si>
    <t>2B26-251-00</t>
  </si>
  <si>
    <t>2B26-251-01</t>
  </si>
  <si>
    <t>2B26-251-02</t>
  </si>
  <si>
    <t>2B26-251-03</t>
  </si>
  <si>
    <t>2B26-251-04</t>
  </si>
  <si>
    <t>2B26-252-00</t>
  </si>
  <si>
    <t>NEW C FORK 20X22X53XM8XM20XM44-M35</t>
  </si>
  <si>
    <t>2B26-253-00</t>
  </si>
  <si>
    <t>2B26-254-00</t>
  </si>
  <si>
    <t>2B26-254-01</t>
  </si>
  <si>
    <t>2B26-255-00</t>
  </si>
  <si>
    <t>2B26-255-01</t>
  </si>
  <si>
    <t>2B26-255-02</t>
  </si>
  <si>
    <t>2B26-255-03</t>
  </si>
  <si>
    <t>2B26-255-04</t>
  </si>
  <si>
    <t>2B26-255-05</t>
  </si>
  <si>
    <t>2B26-255-06</t>
  </si>
  <si>
    <t>C - BOLT  29XM5XM44/M35X1.25 H.T</t>
  </si>
  <si>
    <t>2B26-256-04</t>
  </si>
  <si>
    <t>2B26-257-02</t>
  </si>
  <si>
    <t>2B26-258-00</t>
  </si>
  <si>
    <t>2B26-259-00</t>
  </si>
  <si>
    <t>C BOTTOM W-COM 21XM5XM32XM35 (COLOR)</t>
  </si>
  <si>
    <t>2B26-260-00</t>
  </si>
  <si>
    <t>2B26-260-01</t>
  </si>
  <si>
    <t>2B26-261-00</t>
  </si>
  <si>
    <t>2B26-261-01</t>
  </si>
  <si>
    <t>2B26-262-00</t>
  </si>
  <si>
    <t>2B26-263-00</t>
  </si>
  <si>
    <t>2B26-265-00</t>
  </si>
  <si>
    <t xml:space="preserve">NEW C BOTTOM FORK </t>
  </si>
  <si>
    <t>2B26-265-02</t>
  </si>
  <si>
    <t>2B26-266-00</t>
  </si>
  <si>
    <t>2B26-266-02</t>
  </si>
  <si>
    <t>2B26-267-00</t>
  </si>
  <si>
    <t>2B26-267-02</t>
  </si>
  <si>
    <t>2B26-267-03</t>
  </si>
  <si>
    <t>2B26-268-02</t>
  </si>
  <si>
    <t>2B26-268-03</t>
  </si>
  <si>
    <t>2B26-270-00</t>
  </si>
  <si>
    <t>2B26-270-01</t>
  </si>
  <si>
    <t>2B26-272-00</t>
  </si>
  <si>
    <t>2B26-272-02</t>
  </si>
  <si>
    <t>2B26-272-03</t>
  </si>
  <si>
    <t>2B26-272-04</t>
  </si>
  <si>
    <t>2B26-272-05</t>
  </si>
  <si>
    <t>G - EYE TAPER 20X18X50XM5XM44/M35X1.25 BLACK</t>
  </si>
  <si>
    <t>2B26-272-06</t>
  </si>
  <si>
    <t>2B26-273-00</t>
  </si>
  <si>
    <t>2B26-274-00</t>
  </si>
  <si>
    <t>2B26-274-01</t>
  </si>
  <si>
    <t>2B26-274-02</t>
  </si>
  <si>
    <t>2B26-274-03</t>
  </si>
  <si>
    <t>2B26-274-04</t>
  </si>
  <si>
    <t>2B26-274-05</t>
  </si>
  <si>
    <t>2B26-276-00</t>
  </si>
  <si>
    <t>2B26-276-02</t>
  </si>
  <si>
    <t>2B26-279-02</t>
  </si>
  <si>
    <t>2B26-280-00</t>
  </si>
  <si>
    <t>2B26-280-01</t>
  </si>
  <si>
    <t>2B26-280-02</t>
  </si>
  <si>
    <t>2B26-280-03</t>
  </si>
  <si>
    <t>2B26-280-04</t>
  </si>
  <si>
    <t>2B26-281-00</t>
  </si>
  <si>
    <t>2B26-281-02</t>
  </si>
  <si>
    <t>2B26-282-00</t>
  </si>
  <si>
    <t>2B26-283-00</t>
  </si>
  <si>
    <t>2B26-292-00</t>
  </si>
  <si>
    <t>2B26-293-00</t>
  </si>
  <si>
    <t>2B26-321-00</t>
  </si>
  <si>
    <t>2B26-322-02</t>
  </si>
  <si>
    <t>Z NUT 50XM50XM12 COLOR</t>
  </si>
  <si>
    <t>2B26-350-00</t>
  </si>
  <si>
    <t>2B27-001-01</t>
  </si>
  <si>
    <t>2B27-001-02</t>
  </si>
  <si>
    <t>2B27-010-03</t>
  </si>
  <si>
    <t>2B27-010-04</t>
  </si>
  <si>
    <t>SHAFT LOCK 12X14 /ANODIZED-BLACK-MTO</t>
  </si>
  <si>
    <t>2B27-010-05</t>
  </si>
  <si>
    <t>2B27-013-01</t>
  </si>
  <si>
    <t>2B27-013-02</t>
  </si>
  <si>
    <t>2B27-013-03</t>
  </si>
  <si>
    <t>2B27-013-04</t>
  </si>
  <si>
    <t>2B27-013-05</t>
  </si>
  <si>
    <t>2B27-013-06</t>
  </si>
  <si>
    <t>2B27-020-02</t>
  </si>
  <si>
    <t>SHAFT LOCK 16/24 ANODIZED/BLACK-MTO</t>
  </si>
  <si>
    <t>2B27-020-03</t>
  </si>
  <si>
    <t>2B27-021-01</t>
  </si>
  <si>
    <t>2B27-040-00</t>
  </si>
  <si>
    <t>2B27-041-00</t>
  </si>
  <si>
    <t>2B27-050-00</t>
  </si>
  <si>
    <t>2B27-052-00</t>
  </si>
  <si>
    <t>2B27-055-00</t>
  </si>
  <si>
    <t>2B27-100-01</t>
  </si>
  <si>
    <t>RETAINER 46 /ANODIZED/BLACK-PROTOTYPE</t>
  </si>
  <si>
    <t>2B27-101-03</t>
  </si>
  <si>
    <t>RETAINER 38 CHROME MTO</t>
  </si>
  <si>
    <t>2B27-101-04</t>
  </si>
  <si>
    <t>RETAINER 38  CHROME MTO.</t>
  </si>
  <si>
    <t>2B27-103-00</t>
  </si>
  <si>
    <t>2B27-104-00</t>
  </si>
  <si>
    <t>2B27-105-00</t>
  </si>
  <si>
    <t>2B27-105-01</t>
  </si>
  <si>
    <t>2B27-106-00</t>
  </si>
  <si>
    <t>2B27-107-00</t>
  </si>
  <si>
    <t>2B27-108-00</t>
  </si>
  <si>
    <t>2B27-112-04</t>
  </si>
  <si>
    <t>RETAINER 62X44X12.5/M59 SILVER</t>
  </si>
  <si>
    <t>2B27-113-02</t>
  </si>
  <si>
    <t xml:space="preserve">RETAIENR 49X33X8/3 (NEW PRO-Z) </t>
  </si>
  <si>
    <t>2B27-114-01</t>
  </si>
  <si>
    <t>2B27-115-00</t>
  </si>
  <si>
    <t>2B27-116-01</t>
  </si>
  <si>
    <t>2B27-117-03</t>
  </si>
  <si>
    <t>2B27-118-03</t>
  </si>
  <si>
    <t>2B27-119-07</t>
  </si>
  <si>
    <t>PRELOAD PRO Z 35/49X58/7 (ไม่ชุบสี)</t>
  </si>
  <si>
    <t>2B27-120-00</t>
  </si>
  <si>
    <t>RETAINER 42 BLACK</t>
  </si>
  <si>
    <t>2B27-121-01</t>
  </si>
  <si>
    <t>PRELOAD 60X46X28/M35/CHOPPER SILVER</t>
  </si>
  <si>
    <t>2B27-122-00</t>
  </si>
  <si>
    <t>2B27-123-00</t>
  </si>
  <si>
    <t>2B27-127-00</t>
  </si>
  <si>
    <t>2B27-127-01</t>
  </si>
  <si>
    <t>2B27-128-01</t>
  </si>
  <si>
    <t xml:space="preserve">RETAINER 50 (+20)  </t>
  </si>
  <si>
    <t>2B27-131-00</t>
  </si>
  <si>
    <t>SPACER RETAINER +10 60X46/35 SILVER</t>
  </si>
  <si>
    <t>2B27-132-01</t>
  </si>
  <si>
    <t>2B27-134-02</t>
  </si>
  <si>
    <t>2B27-135-00</t>
  </si>
  <si>
    <t>SPACER RETAINER +5  60X46/35 SILVER</t>
  </si>
  <si>
    <t>2B27-137-00</t>
  </si>
  <si>
    <t>2B27-141-01-R</t>
  </si>
  <si>
    <t>2B27-142-00</t>
  </si>
  <si>
    <t>ALU LOCK SPACER M76X1.0 MATT BLACK</t>
  </si>
  <si>
    <t>2B27-142-01-R</t>
  </si>
  <si>
    <t>2B27-152-00</t>
  </si>
  <si>
    <t>2B27-161-00</t>
  </si>
  <si>
    <t>SPACER RETAINER 52X47X10</t>
  </si>
  <si>
    <t>2B27-162-00</t>
  </si>
  <si>
    <t>SPACER SPRING 52X39.5X10</t>
  </si>
  <si>
    <t>2B27-200-00</t>
  </si>
  <si>
    <t>2B27-200-01</t>
  </si>
  <si>
    <t>LOCK RING M42X1.5</t>
  </si>
  <si>
    <t>2B27-210-01</t>
  </si>
  <si>
    <t>2B27-211-00</t>
  </si>
  <si>
    <t>2B27-213-00</t>
  </si>
  <si>
    <t>2B27-215-00</t>
  </si>
  <si>
    <t>2B27-216-00</t>
  </si>
  <si>
    <t>2B27-300-00</t>
  </si>
  <si>
    <t xml:space="preserve"> PRELOAD 40 M35X1.25/14/5/M6X1 SILVER</t>
  </si>
  <si>
    <t>2B27-301-00</t>
  </si>
  <si>
    <t>2B27-302-00</t>
  </si>
  <si>
    <t>2B27-303-05</t>
  </si>
  <si>
    <t>NEW PRELOAD 38 M35X1.25/14/16/M16 CHROME</t>
  </si>
  <si>
    <t>2B27-303-06</t>
  </si>
  <si>
    <t>NEW PRELOAD 38 M35X1.25/14/16/M16 SILVER.</t>
  </si>
  <si>
    <t>2B27-306-00</t>
  </si>
  <si>
    <t>PRELOAD 42-M35X13-M6</t>
  </si>
  <si>
    <t>2B27-308-03</t>
  </si>
  <si>
    <t>2B27-308-04</t>
  </si>
  <si>
    <t>NEW PRELOAD M35X1.25/13/M6/ECO/ANODIZED/MTO-BLACK</t>
  </si>
  <si>
    <t>2B27-309-00</t>
  </si>
  <si>
    <t>2B27-310-00</t>
  </si>
  <si>
    <t>2B27-310-01</t>
  </si>
  <si>
    <t>2B27-311-00</t>
  </si>
  <si>
    <t>2B27-311-01</t>
  </si>
  <si>
    <t>2B27-312-03</t>
  </si>
  <si>
    <t>2B27-312-04</t>
  </si>
  <si>
    <t>2B27-313-00</t>
  </si>
  <si>
    <t>2B27-313-01</t>
  </si>
  <si>
    <t>2B27-314-01</t>
  </si>
  <si>
    <t>2B27-314-02</t>
  </si>
  <si>
    <t>2B27-315-00</t>
  </si>
  <si>
    <t>2B27-315-01</t>
  </si>
  <si>
    <t>2B27-316-01</t>
  </si>
  <si>
    <t>2B27-317-00</t>
  </si>
  <si>
    <t>NEW PRELOAD M42X1.5/46/59/M6/BLACK</t>
  </si>
  <si>
    <t>2B27-323-03</t>
  </si>
  <si>
    <t>2B27-324-00</t>
  </si>
  <si>
    <t>2B27-324-01</t>
  </si>
  <si>
    <t>2B27-324-02</t>
  </si>
  <si>
    <t>2B27-330-00</t>
  </si>
  <si>
    <t>2B27-332-00</t>
  </si>
  <si>
    <t>NEW STEP PRELOAD 34X30/46 BLACK EDP/PROTOTYPE</t>
  </si>
  <si>
    <t>2B27-333-00</t>
  </si>
  <si>
    <t>NEW STEP PRELOAD 32X30/46 BLACK EDP/PROTOTYPE</t>
  </si>
  <si>
    <t>2B27-404-03</t>
  </si>
  <si>
    <t>PRELOAD M35X1.25X46X58/13 SILVER</t>
  </si>
  <si>
    <t>2B27-420-00</t>
  </si>
  <si>
    <t>PERLOAD M40X2 TR/46 BLACK-EDP PROTOTYPE</t>
  </si>
  <si>
    <t>2B27-422-00</t>
  </si>
  <si>
    <t>2B27-454-00</t>
  </si>
  <si>
    <t>2B27-455-00</t>
  </si>
  <si>
    <t>2B27-458-01</t>
  </si>
  <si>
    <t>2B27-459-00</t>
  </si>
  <si>
    <t>2B28-001-01</t>
  </si>
  <si>
    <t>NEEDLE 3 STEP FOR SHAFT 12 MM.12X33 HOLE 0.5 ORANGE</t>
  </si>
  <si>
    <t>2B28-001-02</t>
  </si>
  <si>
    <t>2B28-001-03</t>
  </si>
  <si>
    <t>2B28-002-00</t>
  </si>
  <si>
    <t>2B28-002-01</t>
  </si>
  <si>
    <t>2B28-010-00</t>
  </si>
  <si>
    <t>REBOUND NEEDLE 8X12X30/M8</t>
  </si>
  <si>
    <t>2B28-017-00</t>
  </si>
  <si>
    <t>BASS VADJUSTER NEEDLE 6X8X27.5 FOR STEELRING DAMPER</t>
  </si>
  <si>
    <t>2B28-018-00</t>
  </si>
  <si>
    <t>BASS VADJUSTER NEEDLE M5X0.5X17/15 DEGREE. FOR STEELRING DAMPER</t>
  </si>
  <si>
    <t>2B28-021-00</t>
  </si>
  <si>
    <t>NEEDLE ADJUSTER M6X1/31 AUTO/PROTOTYPE</t>
  </si>
  <si>
    <t>2B28-101-00</t>
  </si>
  <si>
    <t xml:space="preserve">COMPRESSION NEEDLE M12X1X2 </t>
  </si>
  <si>
    <t>2B28-102-00</t>
  </si>
  <si>
    <t>COMPRESSION NEEDLE M12X1</t>
  </si>
  <si>
    <t>2B28-102-01</t>
  </si>
  <si>
    <t>COMPRESSION NEEDLE M12X1.0X35 LOW SPEED</t>
  </si>
  <si>
    <t>NEEDLE 9 DEGREE 4.0X104.5</t>
  </si>
  <si>
    <t>2B28-105-00</t>
  </si>
  <si>
    <t>REBOUND NEEDLE M8X1X21.5</t>
  </si>
  <si>
    <t>NEEDLE 9 DEGREE 4.0X109.5</t>
  </si>
  <si>
    <t>2B28-109-02</t>
  </si>
  <si>
    <t>NEEDLE 9 DEGREE 4.0X114.5</t>
  </si>
  <si>
    <t>NEEDLE 9 DEGREE 4.0X119.5</t>
  </si>
  <si>
    <t>2B28-119-02</t>
  </si>
  <si>
    <t>2B28-120-00</t>
  </si>
  <si>
    <t>NEEDLE 9 DEGREE 4.0X120</t>
  </si>
  <si>
    <t>2B28-124-02</t>
  </si>
  <si>
    <t>NEEDLE 9 DEGREE 4.0X124.5</t>
  </si>
  <si>
    <t>2B28-125-00</t>
  </si>
  <si>
    <t>NEEDLE 9 DEGREE 4.0X125</t>
  </si>
  <si>
    <t>2B28-126-00</t>
  </si>
  <si>
    <t>NEEDLE 9 DEGREE 4.0X126.5</t>
  </si>
  <si>
    <t>2B28-126A00</t>
  </si>
  <si>
    <t>NEEDLE 15 DEGREE 4.0X126.5</t>
  </si>
  <si>
    <t>2B28-127-00</t>
  </si>
  <si>
    <t>NEEDLE 9 DEGREE 4.0X127</t>
  </si>
  <si>
    <t>2B28-130-00</t>
  </si>
  <si>
    <t>NEEDLE 9 DEGREE 4.0X130</t>
  </si>
  <si>
    <t>2B28-133-00</t>
  </si>
  <si>
    <t>NEEDLE 9 DEGREE 4.0X133</t>
  </si>
  <si>
    <t>NEEDLE 9 DEGREE 4.0X134.5</t>
  </si>
  <si>
    <t>2B28-134-02</t>
  </si>
  <si>
    <t>2B28-135-00</t>
  </si>
  <si>
    <t>NEEDLE 9 DEGREE 4.0X135</t>
  </si>
  <si>
    <t>2B28-137-00</t>
  </si>
  <si>
    <t>NEEDLE 9 DEGREE 4.0X137</t>
  </si>
  <si>
    <t>NEEDLE 9 DEGREE 4.0X139.5</t>
  </si>
  <si>
    <t>2B28-140-00</t>
  </si>
  <si>
    <t>NEEDLE 9 DEGREE 4.0X140</t>
  </si>
  <si>
    <t>NEEDLE 9 DEGREE 4.0X149.5</t>
  </si>
  <si>
    <t>NEEDLE 9 DEGREE 4.0X174.5</t>
  </si>
  <si>
    <t>2B28-179-02</t>
  </si>
  <si>
    <t>NEEDLE 9 DEGREE 4.0X179.5</t>
  </si>
  <si>
    <t>2B28-184-02</t>
  </si>
  <si>
    <t>NEEDLE 9 DEGREE 4.0X184.5</t>
  </si>
  <si>
    <t>2B28-302-02</t>
  </si>
  <si>
    <t>NEEDLE 9 DEGREE 4.0X302.5</t>
  </si>
  <si>
    <t>2B28A117-00</t>
  </si>
  <si>
    <t>2B28A127-00</t>
  </si>
  <si>
    <t>NEEDLE 15 DEGREE 4.0X127</t>
  </si>
  <si>
    <t>2B28A129-00</t>
  </si>
  <si>
    <t>NEEDLE 15 DEGREE 4.0X129</t>
  </si>
  <si>
    <t>2B28A132-00</t>
  </si>
  <si>
    <t>NEEDLE 15 DEGREE 4.0X132</t>
  </si>
  <si>
    <t>2B28A137-00</t>
  </si>
  <si>
    <t>NEEDLE 15 DEGREE 4.0X137</t>
  </si>
  <si>
    <t>2B28A140-00</t>
  </si>
  <si>
    <t>NEEDLE 15 DEGREE 4.0X140</t>
  </si>
  <si>
    <t>2B28A142-00</t>
  </si>
  <si>
    <t>NEEDLE 15 DEGREE 4.0X142</t>
  </si>
  <si>
    <t>2B28A150-00</t>
  </si>
  <si>
    <t>NEEDLE 15 DEGREE 4.0X150</t>
  </si>
  <si>
    <t>2B28A152-00</t>
  </si>
  <si>
    <t>NEEDLE 15 DEGREE 4.0X152</t>
  </si>
  <si>
    <t>2B28A172-00</t>
  </si>
  <si>
    <t>NEEDLE 15 DEGREE 4.0X172</t>
  </si>
  <si>
    <t>2B28F134-00</t>
  </si>
  <si>
    <t>NEEDLE 1.5 DEGREE 4.0X134X1.5</t>
  </si>
  <si>
    <t>2B28G082-00</t>
  </si>
  <si>
    <t>NEEDLE 4.0X82.5</t>
  </si>
  <si>
    <t>2B28G087-00</t>
  </si>
  <si>
    <t>NEEDLE 4.0X87.5</t>
  </si>
  <si>
    <t>2B28G092-00</t>
  </si>
  <si>
    <t>NEEDLE 4.0X92.5</t>
  </si>
  <si>
    <t>2B28G097-00</t>
  </si>
  <si>
    <t>NEEDLE 4.0X97.5</t>
  </si>
  <si>
    <t>2B28G098-00</t>
  </si>
  <si>
    <t>NEEDLE 4.0X98.5</t>
  </si>
  <si>
    <t>2B28G100-00</t>
  </si>
  <si>
    <t>NEEDLE 4.0X100.5</t>
  </si>
  <si>
    <t>2B28G102-00</t>
  </si>
  <si>
    <t>NEEDLE 4.0X102.5</t>
  </si>
  <si>
    <t>2B28G103-00</t>
  </si>
  <si>
    <t>NEEDLE 4.0X103.5</t>
  </si>
  <si>
    <t>2B28G105-00</t>
  </si>
  <si>
    <t>NEEDLE 4.0X105.5</t>
  </si>
  <si>
    <t>2B28G106-00</t>
  </si>
  <si>
    <t>NEEDLE 4.0X106.5</t>
  </si>
  <si>
    <t>2B28G107-00</t>
  </si>
  <si>
    <t>NEEDLE 4.0X107.5</t>
  </si>
  <si>
    <t>2B28G109-00</t>
  </si>
  <si>
    <t>NEEDLE 4.0X109</t>
  </si>
  <si>
    <t>2B28G112-00</t>
  </si>
  <si>
    <t>NEEDLE 4.0X112.5</t>
  </si>
  <si>
    <t>2B28G117-00</t>
  </si>
  <si>
    <t>NEEDLE 4.0X117.5</t>
  </si>
  <si>
    <t>2B28G119-00</t>
  </si>
  <si>
    <t>NEEDLE 4.0X119</t>
  </si>
  <si>
    <t>2B28G122-00</t>
  </si>
  <si>
    <t>NEEDLE 4.0X122.5</t>
  </si>
  <si>
    <t>2B28G123-00</t>
  </si>
  <si>
    <t>NEEDLE 4.0X123.5</t>
  </si>
  <si>
    <t>2B28G124-00</t>
  </si>
  <si>
    <t>NEEDLE 4.0X124</t>
  </si>
  <si>
    <t>2B28G125-00</t>
  </si>
  <si>
    <t>NEEDLE 4.0X125.5</t>
  </si>
  <si>
    <t>2B28G127-00</t>
  </si>
  <si>
    <t>NEEDLE 4.0X127.5</t>
  </si>
  <si>
    <t>2B28G130-00</t>
  </si>
  <si>
    <t>NEEDLE 4.0X130.5</t>
  </si>
  <si>
    <t>2B28G132-00</t>
  </si>
  <si>
    <t>NEEDLE 4.0X132.5</t>
  </si>
  <si>
    <t>2B28G135-00</t>
  </si>
  <si>
    <t>NEEDLE 4.0X135.5</t>
  </si>
  <si>
    <t>2B28G137-00</t>
  </si>
  <si>
    <t>NEEDLE 4.0X137.5</t>
  </si>
  <si>
    <t>2B28G142-00</t>
  </si>
  <si>
    <t>NEEDLE 4.0X142.5</t>
  </si>
  <si>
    <t>2B28G145-00</t>
  </si>
  <si>
    <t>NEEDLE 4.0X145.5</t>
  </si>
  <si>
    <t>2B28G147-00</t>
  </si>
  <si>
    <t>NEEDLE 4.0X147.5</t>
  </si>
  <si>
    <t>2B28G152-00</t>
  </si>
  <si>
    <t>NEEDLE 4.0X152.5</t>
  </si>
  <si>
    <t>2B28G157-00</t>
  </si>
  <si>
    <t>NEEDLE 4.0X157.5</t>
  </si>
  <si>
    <t>2B28G162-00</t>
  </si>
  <si>
    <t>NEEDLE 4.0X162.5</t>
  </si>
  <si>
    <t>2B28G167-00</t>
  </si>
  <si>
    <t>NEEDLE 4.0X167.5</t>
  </si>
  <si>
    <t>2B28G168-00</t>
  </si>
  <si>
    <t>NEEDLE 4.0X168.5</t>
  </si>
  <si>
    <t>2B28G172-00</t>
  </si>
  <si>
    <t>NEEDLE 4.0X172.5</t>
  </si>
  <si>
    <t>2B28G177-00</t>
  </si>
  <si>
    <t>NEEDLE 4.0X177.5</t>
  </si>
  <si>
    <t>2B28G178-00</t>
  </si>
  <si>
    <t>NEEDLE 4.0X178.5</t>
  </si>
  <si>
    <t>2B28G182-00</t>
  </si>
  <si>
    <t>NEEDLE 4.0X182.5</t>
  </si>
  <si>
    <t>2B28G183-00</t>
  </si>
  <si>
    <t>NEEDLE 4.0X183.5</t>
  </si>
  <si>
    <t>2B28G185-00</t>
  </si>
  <si>
    <t>NEEDLE 4.0X185.5</t>
  </si>
  <si>
    <t>2B28G187-00</t>
  </si>
  <si>
    <t>NEEDLE 4.0X187.5</t>
  </si>
  <si>
    <t>2B28G192-00</t>
  </si>
  <si>
    <t>NEEDLE 4.0X192.5</t>
  </si>
  <si>
    <t>2B28G207-00</t>
  </si>
  <si>
    <t>NEEDLE 4.0X207.5</t>
  </si>
  <si>
    <t>2B28G210-00</t>
  </si>
  <si>
    <t>NEEDLE 4.0X210.5</t>
  </si>
  <si>
    <t>2B28G262-00</t>
  </si>
  <si>
    <t>NEEDLE 4.0X262.5</t>
  </si>
  <si>
    <t>2B28I084A00</t>
  </si>
  <si>
    <t>NEEDLE 1 DEGREE 4.0X84</t>
  </si>
  <si>
    <t>2B28I085-00</t>
  </si>
  <si>
    <t>NEEDLE 1 DEGREE 4.0X85</t>
  </si>
  <si>
    <t>2B28I086-00</t>
  </si>
  <si>
    <t>NEEDLE 1 DEGREE 4.0X86 FOR W-SIDE</t>
  </si>
  <si>
    <t>2B28I089-00</t>
  </si>
  <si>
    <t>NEEDLE 1 DEGREE 4.0X89.5</t>
  </si>
  <si>
    <t>2B28I089A00</t>
  </si>
  <si>
    <t>NEEDLE 1 DEGREE 4.0X89</t>
  </si>
  <si>
    <t>2B28I090-00</t>
  </si>
  <si>
    <t>NEEDLE 1 DEGREE 4.0X90</t>
  </si>
  <si>
    <t>2B28I094A00</t>
  </si>
  <si>
    <t>NEEDLE 1 DEGREE 4.0X94</t>
  </si>
  <si>
    <t>2B28I095-00</t>
  </si>
  <si>
    <t>NEEDLE 1 DEGREE 4.0X95</t>
  </si>
  <si>
    <t>2B28I099-00</t>
  </si>
  <si>
    <t>NEEDLE 1 DEGREE 4.0X99.5</t>
  </si>
  <si>
    <t>2B28I099A00</t>
  </si>
  <si>
    <t>NEEDLE 1 DEGREE 4.0X99</t>
  </si>
  <si>
    <t>2B28I100-00</t>
  </si>
  <si>
    <t>NEEDLE 1 DEGREE 4.0X100</t>
  </si>
  <si>
    <t>2B28I104A00</t>
  </si>
  <si>
    <t>NEEDLE 1 DEGREE 4.0X104</t>
  </si>
  <si>
    <t>2B28I109A00</t>
  </si>
  <si>
    <t>NEEDLE 1 DEGREE 4.0X109</t>
  </si>
  <si>
    <t>2B28I110-00</t>
  </si>
  <si>
    <t>NEEDLE 1 DEGREE 4.0X110</t>
  </si>
  <si>
    <t>2B28I114A00</t>
  </si>
  <si>
    <t>NEEDLE 1 DEGREE 4.0X114</t>
  </si>
  <si>
    <t>2B28I115-00</t>
  </si>
  <si>
    <t>NEEDLE 1 DEGREE 4.0X115</t>
  </si>
  <si>
    <t>2B28I134-00</t>
  </si>
  <si>
    <t>NEEDLE 1 DEGREE 4.0X134.5</t>
  </si>
  <si>
    <t>2B28I134A00</t>
  </si>
  <si>
    <t>NEEDLE 1 DEGREE 4.0X134</t>
  </si>
  <si>
    <t>2B28I135-00</t>
  </si>
  <si>
    <t>NEEDLE 1 DEGREE 4.0X135</t>
  </si>
  <si>
    <t>2B28I144-00</t>
  </si>
  <si>
    <t>NEEDLE 1 DEGREE 4.0X144.5</t>
  </si>
  <si>
    <t>2B29-002-00</t>
  </si>
  <si>
    <t>2B29-003-00</t>
  </si>
  <si>
    <t>BASS END CAP ADJUSTER HOUSE 5XM12/M9X9 FOR STEELRING DAMPER</t>
  </si>
  <si>
    <t>2B29-004-00</t>
  </si>
  <si>
    <t>BASS BLEED CAP M12X6/M8 FOR STEELRING DAMPER</t>
  </si>
  <si>
    <t>2B29-005-00</t>
  </si>
  <si>
    <t>BLACK ALU SEAL CAP M21X1.0X5 FOR STEELRING DAMPER</t>
  </si>
  <si>
    <t>2B29-005-01</t>
  </si>
  <si>
    <t>2B29-005-02</t>
  </si>
  <si>
    <t>2B29-006-00</t>
  </si>
  <si>
    <t>2B29-006-01</t>
  </si>
  <si>
    <t>2B29-007-00</t>
  </si>
  <si>
    <t>2B29-008-00</t>
  </si>
  <si>
    <t>2B29-008-01</t>
  </si>
  <si>
    <t>2B29-012-00</t>
  </si>
  <si>
    <t>2B29-013-01</t>
  </si>
  <si>
    <t>2B29-020-03</t>
  </si>
  <si>
    <t>2B29-020-05</t>
  </si>
  <si>
    <t>2B29-021-01</t>
  </si>
  <si>
    <t>2B29-021-02</t>
  </si>
  <si>
    <t>2B29-021-03</t>
  </si>
  <si>
    <t>2B29-021-04</t>
  </si>
  <si>
    <t>2B29-022-00</t>
  </si>
  <si>
    <t>2B29-023-00</t>
  </si>
  <si>
    <t>2B29-023-01</t>
  </si>
  <si>
    <t>2B29-024-00</t>
  </si>
  <si>
    <t>2B29-026-00</t>
  </si>
  <si>
    <t>2B29-030-01</t>
  </si>
  <si>
    <t>2B29-030-03</t>
  </si>
  <si>
    <t>2B29-050-00</t>
  </si>
  <si>
    <t>2B29-050-02</t>
  </si>
  <si>
    <t>SEAL BLOCK 32X18X22 HD SOFTTAIL</t>
  </si>
  <si>
    <t>2B29-060-00</t>
  </si>
  <si>
    <t>2B29-060-01</t>
  </si>
  <si>
    <t>2B29-060-02</t>
  </si>
  <si>
    <t>2B29-061-00</t>
  </si>
  <si>
    <t>2B29-061-01</t>
  </si>
  <si>
    <t>2B29-061-02</t>
  </si>
  <si>
    <t>2B29-062-00</t>
  </si>
  <si>
    <t>2B29-062-01</t>
  </si>
  <si>
    <t>2B29-062-02</t>
  </si>
  <si>
    <t>2B29-062-03</t>
  </si>
  <si>
    <t>2B29-120-03</t>
  </si>
  <si>
    <t>2B29-120-04</t>
  </si>
  <si>
    <t>CAP 36  ANODIZED/BLACK-PROTOTYPE.</t>
  </si>
  <si>
    <t>2B29-121-01</t>
  </si>
  <si>
    <t>2B29-121-02</t>
  </si>
  <si>
    <t>2B29-125-00</t>
  </si>
  <si>
    <t>END CAP M16X1.0/8 WITH REBOUND BLACK</t>
  </si>
  <si>
    <t>2B29-129-03</t>
  </si>
  <si>
    <t>2B29-130-01</t>
  </si>
  <si>
    <t>2B29-131-00</t>
  </si>
  <si>
    <t>2B29-143-02</t>
  </si>
  <si>
    <t>2B29-146-02</t>
  </si>
  <si>
    <t>2B29-160-00</t>
  </si>
  <si>
    <t>2B29-200-00</t>
  </si>
  <si>
    <t>2B29-201-00</t>
  </si>
  <si>
    <t>2B29-220-02</t>
  </si>
  <si>
    <t>2B29-220-03</t>
  </si>
  <si>
    <t>2B29-220-04</t>
  </si>
  <si>
    <t>2B29-221-01</t>
  </si>
  <si>
    <t>2B29-221-02</t>
  </si>
  <si>
    <t>2B29-231-00</t>
  </si>
  <si>
    <t>2B29-260-02</t>
  </si>
  <si>
    <t>2B29-260-03</t>
  </si>
  <si>
    <t>2B29-260-04</t>
  </si>
  <si>
    <t>2B29-260-05</t>
  </si>
  <si>
    <t>2B29-261-00</t>
  </si>
  <si>
    <t>2B29-270-00</t>
  </si>
  <si>
    <t>2B29-270-01</t>
  </si>
  <si>
    <t>2B29-272-00</t>
  </si>
  <si>
    <t>2B29-300-01</t>
  </si>
  <si>
    <t>2B29-311-00</t>
  </si>
  <si>
    <t>2B29-312-00</t>
  </si>
  <si>
    <t>2B29-330-04</t>
  </si>
  <si>
    <t>2B29-331-02</t>
  </si>
  <si>
    <t>RESERVOIR CAP 46X14</t>
  </si>
  <si>
    <t>2B29-335-00</t>
  </si>
  <si>
    <t>RESERVOIR CAP 60X15XM5 ANODIZED BLACK</t>
  </si>
  <si>
    <t>2B29-336-00</t>
  </si>
  <si>
    <t>2B29-340-02</t>
  </si>
  <si>
    <t>2B29-341-01</t>
  </si>
  <si>
    <t>2B29-342-01</t>
  </si>
  <si>
    <t>2B29-343-02</t>
  </si>
  <si>
    <t>2B29-344-02</t>
  </si>
  <si>
    <t>2B29-370-00</t>
  </si>
  <si>
    <t>2B29-400-00</t>
  </si>
  <si>
    <t>2B29-401-00</t>
  </si>
  <si>
    <t>2B29-402-00</t>
  </si>
  <si>
    <t>2B29-412-01</t>
  </si>
  <si>
    <t>2B29-420-01</t>
  </si>
  <si>
    <t>2B29-421-00</t>
  </si>
  <si>
    <t>RESERVOIR TOP M48 W-COM 30 CLICK</t>
  </si>
  <si>
    <t>2B29-424-00-R</t>
  </si>
  <si>
    <t>2B29-425-02</t>
  </si>
  <si>
    <t>2B29-427-01</t>
  </si>
  <si>
    <t>RESERVOIR TOP H-L M48XM20X10</t>
  </si>
  <si>
    <t>2B29-428-03</t>
  </si>
  <si>
    <t>2B29-429-00</t>
  </si>
  <si>
    <t>2B29-430-02</t>
  </si>
  <si>
    <t>2B29-431-01</t>
  </si>
  <si>
    <t>2B29-432-01</t>
  </si>
  <si>
    <t>2B29-433-00</t>
  </si>
  <si>
    <t>2B30-001-01</t>
  </si>
  <si>
    <t>2B30-002-01</t>
  </si>
  <si>
    <t>COMPRESSION HOUSE RW-LOW-SPEED M20X1.0/M12X1.0 BLACK</t>
  </si>
  <si>
    <t>2B30-003-00</t>
  </si>
  <si>
    <t>2B30-003-01</t>
  </si>
  <si>
    <t>2B30-003-02</t>
  </si>
  <si>
    <t>2B30-003-03</t>
  </si>
  <si>
    <t>OIL-RETURN HOUSE RW HI-LOW SPEED 4.4X18/M12X1.0 (BASS)</t>
  </si>
  <si>
    <t>2B30-004-00</t>
  </si>
  <si>
    <t>OIL RETUEN HOUSE FOR MID SPEED AUTO</t>
  </si>
  <si>
    <t>2B30-005-01</t>
  </si>
  <si>
    <t>2B30-006-01</t>
  </si>
  <si>
    <t>COMPRESSION HOUSE M20X1.0/M12 BLACK</t>
  </si>
  <si>
    <t>2B30-006-02</t>
  </si>
  <si>
    <t>2B30-007-00</t>
  </si>
  <si>
    <t>2B30-008-00</t>
  </si>
  <si>
    <t>2B30-011-00</t>
  </si>
  <si>
    <t>COMPRESSION CAP 3 STEP M20  BLACK</t>
  </si>
  <si>
    <t>2B30-013-01</t>
  </si>
  <si>
    <t>COMPRESSION HOUSE M20X1.0XM16X1.0X27 FOR FRONT FORK MATT BLACK(ดำด้าน)</t>
  </si>
  <si>
    <t>2B30-014-01</t>
  </si>
  <si>
    <t>2B30-014-02</t>
  </si>
  <si>
    <t>2B30-016-00</t>
  </si>
  <si>
    <t>2B30-020-00</t>
  </si>
  <si>
    <t>2B30-021-04</t>
  </si>
  <si>
    <t>2B30-022-00</t>
  </si>
  <si>
    <t>2B30-023-02</t>
  </si>
  <si>
    <t>2B30-023-03</t>
  </si>
  <si>
    <t>2B30-024-02</t>
  </si>
  <si>
    <t>2B30-026-00</t>
  </si>
  <si>
    <t>2B30-028-00</t>
  </si>
  <si>
    <t>2B30-029-00</t>
  </si>
  <si>
    <t>2B30-032-00</t>
  </si>
  <si>
    <t>COMPRESSION HOUSE M28X1.0/M20X1.0/26</t>
  </si>
  <si>
    <t>2B30-040-00</t>
  </si>
  <si>
    <t>ADJUSTER HOUSE 2.0X10X41</t>
  </si>
  <si>
    <t>2B30-041-00</t>
  </si>
  <si>
    <t>ADJUSTER HOUSE 2.5X10X36 W-HOLE 1.5X2 FOR STEELRING DAMPER</t>
  </si>
  <si>
    <t>2B31-003-03</t>
  </si>
  <si>
    <t>AL HALF BUSH FOR BEARING 8X24</t>
  </si>
  <si>
    <t>2B31-004-03</t>
  </si>
  <si>
    <t>AL HALF BUSH FOR BEARING 14X22</t>
  </si>
  <si>
    <t>2B31-005-01</t>
  </si>
  <si>
    <t>ALU HALF BUSH FOR MOUNTING 14X22</t>
  </si>
  <si>
    <t>2B31-010-03</t>
  </si>
  <si>
    <t>AL HALF BUSH FOR BEARING 10X20</t>
  </si>
  <si>
    <t>2B31-011-03</t>
  </si>
  <si>
    <t>AL HALF BUSH FOR BEARING 10X22</t>
  </si>
  <si>
    <t>2B31-012-03</t>
  </si>
  <si>
    <t>AL HALF BUSH FOR BEARING 10X24</t>
  </si>
  <si>
    <t>2B31-014-03</t>
  </si>
  <si>
    <t>AL HALF BUSH FOR BEARING 10X26</t>
  </si>
  <si>
    <t>2B31-015-03</t>
  </si>
  <si>
    <t>AL HALF BUSH FOR BEARING 10X28</t>
  </si>
  <si>
    <t>2B31-016-03</t>
  </si>
  <si>
    <t>AL HALF BUSH FOR BEARING 10X30</t>
  </si>
  <si>
    <t>2B31-017-03</t>
  </si>
  <si>
    <t>AL HALF BUSH FOR BEARING 10X32</t>
  </si>
  <si>
    <t>2B31-018-03</t>
  </si>
  <si>
    <t>AL HALF BUSH FOR BEARING 10X34</t>
  </si>
  <si>
    <t>2B31-019-03</t>
  </si>
  <si>
    <t>AL HALF BUSH FOR BEARING 10X40</t>
  </si>
  <si>
    <t>2B31-020-03</t>
  </si>
  <si>
    <t>AL HALF BUSH FOR BEARING 10X50</t>
  </si>
  <si>
    <t>2B31-021-03</t>
  </si>
  <si>
    <t>AL HALF BUSH FOR BEARNG 10X19</t>
  </si>
  <si>
    <t>2B31-022-03</t>
  </si>
  <si>
    <t>AL HALF BUSH FOR BEARNG 10X56</t>
  </si>
  <si>
    <t>2B31-023-01</t>
  </si>
  <si>
    <t>AL HALF BUSH FOR BEARNG 10X36</t>
  </si>
  <si>
    <t>2B31-024-01</t>
  </si>
  <si>
    <t>AL HALF BUSH FOR BEARNG 10X44</t>
  </si>
  <si>
    <t>2B31-025-01</t>
  </si>
  <si>
    <t>AL HALF BUSH FOR BEARNG 10X46</t>
  </si>
  <si>
    <t>2B31-030-03</t>
  </si>
  <si>
    <t>AL HALF BUSH FOR BEARING 12X20</t>
  </si>
  <si>
    <t>2B31-031-03</t>
  </si>
  <si>
    <t>AL HALF BUSH FOR BEARING 12X22</t>
  </si>
  <si>
    <t>2B31-032-03</t>
  </si>
  <si>
    <t>AL HALF BUSH FOR BEARING 12X24</t>
  </si>
  <si>
    <t>2B31-034-03</t>
  </si>
  <si>
    <t>AL HALF BUSH FOR BEARING 12X26</t>
  </si>
  <si>
    <t>2B31-035-03</t>
  </si>
  <si>
    <t>AL HALF BUSH FOR BEARING 12X28</t>
  </si>
  <si>
    <t>2B31-036-03</t>
  </si>
  <si>
    <t>AL HALF BUSH FOR BEARING 12X30</t>
  </si>
  <si>
    <t>2B31-037-03</t>
  </si>
  <si>
    <t>AL HALF BUSH FOR BEARING 12X32</t>
  </si>
  <si>
    <t>2B31-038-03</t>
  </si>
  <si>
    <t>AL HALF BUSH FOR BEARING 12X34</t>
  </si>
  <si>
    <t>2B31-039-03</t>
  </si>
  <si>
    <t>AL HALF BUSH FOR BEARING 12X40</t>
  </si>
  <si>
    <t>2B31-040-03</t>
  </si>
  <si>
    <t>AL HALF BUSH FOR BEARING 12X50</t>
  </si>
  <si>
    <t>2B31-041-03</t>
  </si>
  <si>
    <t>AL HALF BUSH FOR BEARNG 14X20</t>
  </si>
  <si>
    <t>2B31-042-03</t>
  </si>
  <si>
    <t>AL HALF BUSH FOR BEARING 8X20</t>
  </si>
  <si>
    <t>2B31-044-03</t>
  </si>
  <si>
    <t>AL HALF BUSH FOR BEARNG 12X36</t>
  </si>
  <si>
    <t>2B31-045-03</t>
  </si>
  <si>
    <t>AL HALF BUSH FOR BEARNG 12X54</t>
  </si>
  <si>
    <t>2B31-046-01</t>
  </si>
  <si>
    <t>AL HALF BUSH FOR BEARNG 12X60</t>
  </si>
  <si>
    <t>2B31-047-01</t>
  </si>
  <si>
    <t>AL HALF BUSH FOR BEARNG 12X46</t>
  </si>
  <si>
    <t>2B31-048-01</t>
  </si>
  <si>
    <t>AL HALF BUSH FOR BEARNG 12X48</t>
  </si>
  <si>
    <t>2B31-049-03</t>
  </si>
  <si>
    <t>AL HALF BUSH FOR BEARNG 12X56</t>
  </si>
  <si>
    <t>2B31-050-03</t>
  </si>
  <si>
    <t>AL HALF BUSH FOR BEARNG 12.7X24 (MTO)</t>
  </si>
  <si>
    <t>2B31-051-03</t>
  </si>
  <si>
    <t>AL HALF BUSH FOR BEARNG 12.7X32 (MTO)</t>
  </si>
  <si>
    <t>2B31-052-03</t>
  </si>
  <si>
    <t>AL HALF BUSH FOR BEARNG 10X38</t>
  </si>
  <si>
    <t>2B31-054-03</t>
  </si>
  <si>
    <t>AL HALF BUSH FOR BEARNG 12.7X40 (MTO)</t>
  </si>
  <si>
    <t>2B31-060-03</t>
  </si>
  <si>
    <t>AL HALF BUSH FOR BEARING 14X24</t>
  </si>
  <si>
    <t>2B31-061-03</t>
  </si>
  <si>
    <t>AL HALF BUSH FOR BEARING 10X48</t>
  </si>
  <si>
    <t>2B31-064-01</t>
  </si>
  <si>
    <t>AL HALF BUSH FOR BEARNG 12X44</t>
  </si>
  <si>
    <t>2B31-065-01</t>
  </si>
  <si>
    <t>AL HALF BUSH FOR BEARNG 12X38</t>
  </si>
  <si>
    <t>2B31-066-01</t>
  </si>
  <si>
    <t>AL HALF BUSH FOR BEARNG 12X84</t>
  </si>
  <si>
    <t>2B31-067-00</t>
  </si>
  <si>
    <t>AL HALF BUSH FOR BEARNG 12X42 (MTO)</t>
  </si>
  <si>
    <t>2B31-070-01</t>
  </si>
  <si>
    <t>AL HALF BUSH FOR BEARNG 14X36</t>
  </si>
  <si>
    <t>2B31-071-01</t>
  </si>
  <si>
    <t>AL HALF BUSH FOR BEARNG 14X38</t>
  </si>
  <si>
    <t>2B31-072-01</t>
  </si>
  <si>
    <t>AL HALF BUSH FOR BEARNG 14X30</t>
  </si>
  <si>
    <t>2B31-103-01</t>
  </si>
  <si>
    <t>ALU HALF BUSH FOR MOUNTING 8X24</t>
  </si>
  <si>
    <t>2B31-112-01</t>
  </si>
  <si>
    <t>ALU HALF BUSH FOR MOUNTING 10X24</t>
  </si>
  <si>
    <t>2B31-113-01</t>
  </si>
  <si>
    <t>ALU HALF BUSH FOR MOUNTING 10X22</t>
  </si>
  <si>
    <t>2B31-131-00</t>
  </si>
  <si>
    <t>ALU HALF BUSH FOR MOUNTING 12X56</t>
  </si>
  <si>
    <t>2B31-132-01</t>
  </si>
  <si>
    <t>ALU HALF BUSH FOR MOUNTING 12X24</t>
  </si>
  <si>
    <t>2B31-133-01</t>
  </si>
  <si>
    <t>ALU HALF BUSH FOR MOUNTING 12X22</t>
  </si>
  <si>
    <t>2B31-151-01</t>
  </si>
  <si>
    <t>ALU HALF BUSH FOR MOUNTING 12.9X22</t>
  </si>
  <si>
    <t>2B31-153-01</t>
  </si>
  <si>
    <t>ALU HALF BUSH FOR MOUNTING 12.9X26</t>
  </si>
  <si>
    <t>2B31-160-01</t>
  </si>
  <si>
    <t>ALU HALF BUSH FOR MOUNTING 14X24</t>
  </si>
  <si>
    <t>2B31-161-01</t>
  </si>
  <si>
    <t>ALU HALF BUSH FOR MOUNTING 15X22</t>
  </si>
  <si>
    <t>2B31-171-01</t>
  </si>
  <si>
    <t>ALU HALF BUSH FOR MOUNTING 10X26</t>
  </si>
  <si>
    <t>2B31-172-01</t>
  </si>
  <si>
    <t>ALU HALF BUSH FOR MOUNTING 12X26</t>
  </si>
  <si>
    <t>2B31-173-01</t>
  </si>
  <si>
    <t>ALU HALF BUSH FOR MOUNTING 10X28</t>
  </si>
  <si>
    <t>2B31-174-01</t>
  </si>
  <si>
    <t>ALU HALF BUSH FOR MOUNTING 12X28</t>
  </si>
  <si>
    <t>2B31-175-01</t>
  </si>
  <si>
    <t>ALU HALF BUSH FOR MOUNTING 10X30</t>
  </si>
  <si>
    <t>2B31-176-01</t>
  </si>
  <si>
    <t>2B31-177-01</t>
  </si>
  <si>
    <t>ALU HALF BUSH FOR MOUNTING 10X32</t>
  </si>
  <si>
    <t>2B31-178-01</t>
  </si>
  <si>
    <t>ALU HALF BUSH FOR MOUNTING 12X32</t>
  </si>
  <si>
    <t>2B31-179-01</t>
  </si>
  <si>
    <t>ALU HALF BUSH FOR MOUNTING 10X34</t>
  </si>
  <si>
    <t>2B31-180-01</t>
  </si>
  <si>
    <t>ALU HALF BUSH FOR MOUNTING  10X36</t>
  </si>
  <si>
    <t>2B31-182-01</t>
  </si>
  <si>
    <t>ALU HALF BUSH FOR MOUNTING 12X34</t>
  </si>
  <si>
    <t>2B31-183-01</t>
  </si>
  <si>
    <t>ALU HALF BUSH FOR MOUNTING 10X40</t>
  </si>
  <si>
    <t>2B31-184-01</t>
  </si>
  <si>
    <t>ALU HALF BUSH FOR MOUNTING 12X40</t>
  </si>
  <si>
    <t>2B31-188-00</t>
  </si>
  <si>
    <t>ALU HALF BUSH FOR MOUNTING 14X40</t>
  </si>
  <si>
    <t>2B31-190-00</t>
  </si>
  <si>
    <t>AL HALF BUSH FOR BEARNG 14X40</t>
  </si>
  <si>
    <t>2B31-221-00</t>
  </si>
  <si>
    <t>2B31-235-00</t>
  </si>
  <si>
    <t>SPACER BUSH 27X33X8.5</t>
  </si>
  <si>
    <t>2B31-237-00</t>
  </si>
  <si>
    <t>SPACER BUSH 17X28.50X10</t>
  </si>
  <si>
    <t>2B31-238-00</t>
  </si>
  <si>
    <t>2B31-238-01</t>
  </si>
  <si>
    <t>2B31-239-00</t>
  </si>
  <si>
    <t>2B31-450-00</t>
  </si>
  <si>
    <t>2B34-002-00</t>
  </si>
  <si>
    <t>BASE VALVE CASE MONO HYBRID 30X32.8X7</t>
  </si>
  <si>
    <t>2B34-004-00</t>
  </si>
  <si>
    <t>ALU WASHER 28.0X15X1.75</t>
  </si>
  <si>
    <t>2B34-005-00</t>
  </si>
  <si>
    <t>ALU WASHER 10X28X1.5 H.P.A. BLACK</t>
  </si>
  <si>
    <t>2B34-006-00</t>
  </si>
  <si>
    <t>AL WASHER 12.8X28X4</t>
  </si>
  <si>
    <t>2B34-007-00</t>
  </si>
  <si>
    <t>AL WASHER RETAINER M10/33/6</t>
  </si>
  <si>
    <t>2B34-009-00</t>
  </si>
  <si>
    <t>AL WASHER 12X28X3 MTO.</t>
  </si>
  <si>
    <t>2B34-010-00</t>
  </si>
  <si>
    <t>SEAL PLATE 17X26.2X2.5</t>
  </si>
  <si>
    <t>2B34-013-01</t>
  </si>
  <si>
    <t>2B34-030-00</t>
  </si>
  <si>
    <t>SPACER 12X28X3</t>
  </si>
  <si>
    <t>2B34-031-00</t>
  </si>
  <si>
    <t>SPACER 12.8X28X5</t>
  </si>
  <si>
    <t>2B36-021-00</t>
  </si>
  <si>
    <t>GAS SCREW M10X1.25/M5/ANODIZED/BLACK/MTO.</t>
  </si>
  <si>
    <t>2B36-021-01</t>
  </si>
  <si>
    <t>2B37-002-00</t>
  </si>
  <si>
    <t>2B37-002-01</t>
  </si>
  <si>
    <t>2B37-003-00</t>
  </si>
  <si>
    <t>BASS FLOW PISTON 5X4.5 FOR STEELRING DAMPER</t>
  </si>
  <si>
    <t>2B37-004-00</t>
  </si>
  <si>
    <t>ALU PISTON HOUSE 6X10X27/M8X1.0 FOR STEELRING DAMPER</t>
  </si>
  <si>
    <t>2B37-005-01</t>
  </si>
  <si>
    <t>FLOATING PISTON 36X14</t>
  </si>
  <si>
    <t>2B37-006-01</t>
  </si>
  <si>
    <t>2B37-007-01</t>
  </si>
  <si>
    <t>2B37-008-01</t>
  </si>
  <si>
    <t>FLOATING PISTON 30X25X13.5/M5X0.8 HD.SOFTAIL</t>
  </si>
  <si>
    <t>2B37-010-00</t>
  </si>
  <si>
    <t>2B37-011-00</t>
  </si>
  <si>
    <t>BRASS PISTON 8X18X6 FOR STEELRING DAMPER..</t>
  </si>
  <si>
    <t>2B37-013-00</t>
  </si>
  <si>
    <t>PISTON HYDRAULIC PRELOAD 28X10/M12</t>
  </si>
  <si>
    <t>2B37-015-00</t>
  </si>
  <si>
    <t>2B37-024-00</t>
  </si>
  <si>
    <t xml:space="preserve">PISTON HYDRAULIC PRELOAD 28X22XM12 HPA.456 FOR BMW </t>
  </si>
  <si>
    <t>2B47-001-00</t>
  </si>
  <si>
    <t xml:space="preserve">TUBE COVER M40X1.25X32.6X30/25/17 BLACK  </t>
  </si>
  <si>
    <t>2B47-106-00</t>
  </si>
  <si>
    <t>2B48-002-00</t>
  </si>
  <si>
    <t>2B48-004-00</t>
  </si>
  <si>
    <t>RESERVOIR CLAMP 43 HOLE 20 BLACK</t>
  </si>
  <si>
    <t>2B48-005-00</t>
  </si>
  <si>
    <t>RESERVOIR CLAMP 43</t>
  </si>
  <si>
    <t>2B48-006-00</t>
  </si>
  <si>
    <t>2B48-007-00</t>
  </si>
  <si>
    <t xml:space="preserve">RESERVOIR CLAMP 43 HOLE 18 BLACK </t>
  </si>
  <si>
    <t>2B48-008-00</t>
  </si>
  <si>
    <t xml:space="preserve">RESERVOIR CLAMP 43 HOLE 5 BLACK </t>
  </si>
  <si>
    <t>2B48-009-00</t>
  </si>
  <si>
    <t>RESERVOIR CLAMP 43 HOLE 8 MM BLACK</t>
  </si>
  <si>
    <t>2B48-009-01</t>
  </si>
  <si>
    <t>RESERVOIR CLAMP 43 HOLE 8 MM. BLACK</t>
  </si>
  <si>
    <t>2B48-011-00</t>
  </si>
  <si>
    <t>MAIN HOUSE 425 BLACK</t>
  </si>
  <si>
    <t>2B48-012-00</t>
  </si>
  <si>
    <t>2B48-013-00</t>
  </si>
  <si>
    <t>MAIN HOUSE 175 BLACK</t>
  </si>
  <si>
    <t>2B48-014-00</t>
  </si>
  <si>
    <t>MAIN REBOUND PALTE 175 BLACK</t>
  </si>
  <si>
    <t>2B48-015-00</t>
  </si>
  <si>
    <t>MAIN HOUSE 238 BLACK</t>
  </si>
  <si>
    <t>2B48-016-00</t>
  </si>
  <si>
    <t>MAIN REBOUND PALTE 238 BLACK</t>
  </si>
  <si>
    <t>2B48-017-00</t>
  </si>
  <si>
    <t>MAIN HOUSE 265 BLACK</t>
  </si>
  <si>
    <t>2B48-018-00</t>
  </si>
  <si>
    <t>MAIN REBOUND PALTE 265 BLACK</t>
  </si>
  <si>
    <t>2B48-019-00</t>
  </si>
  <si>
    <t>2B48-020-00</t>
  </si>
  <si>
    <t>MAIN REBOUND PALTE 290 BLACK</t>
  </si>
  <si>
    <t>2B48-021-00</t>
  </si>
  <si>
    <t>MAIN HOUSE 310 BLACK</t>
  </si>
  <si>
    <t>2B48-022-02</t>
  </si>
  <si>
    <t>2B48-023-00</t>
  </si>
  <si>
    <t>MAIN HOUSE 335 BLACK</t>
  </si>
  <si>
    <t>2B48-024-00</t>
  </si>
  <si>
    <t>MAIN REBOUND PALTE 335 BLACK</t>
  </si>
  <si>
    <t>2B48-025-00</t>
  </si>
  <si>
    <t>MAIN HOUSE 360 BLACK</t>
  </si>
  <si>
    <t>2B48-026-00</t>
  </si>
  <si>
    <t>2B48-027-01</t>
  </si>
  <si>
    <t>COMPRESSION VALVE 9.5X3.0 BLACK</t>
  </si>
  <si>
    <t>2B48-028-01</t>
  </si>
  <si>
    <t>COMPRESSION VALVE 13.5X3.0 BLACK</t>
  </si>
  <si>
    <t>2B48-029-01</t>
  </si>
  <si>
    <t>COMPRESSION VALVE 16.0X3.0 BLACK</t>
  </si>
  <si>
    <t>2B48-030-01</t>
  </si>
  <si>
    <t>COMPRESSION VALVE 17X3.0 BLACK</t>
  </si>
  <si>
    <t>2B48-031-00</t>
  </si>
  <si>
    <t>2B48-032-00</t>
  </si>
  <si>
    <t>2B48-032-01</t>
  </si>
  <si>
    <t>2B48-033-00</t>
  </si>
  <si>
    <t>2B48-034-03</t>
  </si>
  <si>
    <t>2B48-035-00</t>
  </si>
  <si>
    <t>MAIN REBOUND 238 FOR PCX 150i</t>
  </si>
  <si>
    <t>2B48-036-01</t>
  </si>
  <si>
    <t>2B48-050-00</t>
  </si>
  <si>
    <t>STOPPER NEEDEL LOW SPEED</t>
  </si>
  <si>
    <t>2B48-050-01</t>
  </si>
  <si>
    <t>STOPPER NEEDEL LOW SPEED 3X5.3X13/4.5</t>
  </si>
  <si>
    <t>2B48-050-02</t>
  </si>
  <si>
    <t>2B48-051-00</t>
  </si>
  <si>
    <t>2B48-051-01</t>
  </si>
  <si>
    <t>2B48-052-00</t>
  </si>
  <si>
    <t>2B48-052-02</t>
  </si>
  <si>
    <t>2B48-052-03</t>
  </si>
  <si>
    <t>2B48-053-00</t>
  </si>
  <si>
    <t>SUPPORT  NEEDLE 8X7 AUTO</t>
  </si>
  <si>
    <t>2B48-054-01</t>
  </si>
  <si>
    <t>2B48-060-00</t>
  </si>
  <si>
    <t>2B48-061-00</t>
  </si>
  <si>
    <t>2B48-063-01</t>
  </si>
  <si>
    <t>2B48-064-02</t>
  </si>
  <si>
    <t>BLACK ADJUSTER KNOB 27X28XM3X0.5X14</t>
  </si>
  <si>
    <t>2B48-066-00</t>
  </si>
  <si>
    <t>ADJUSTER KNOB 8X22XM3X0.5X7 FOR HI-LOW SPEEDS RACING BLACK ALL NEW</t>
  </si>
  <si>
    <t>2B48-066-01</t>
  </si>
  <si>
    <t>2B48-067-00</t>
  </si>
  <si>
    <t>2B48-067-01</t>
  </si>
  <si>
    <t>2B48-068-00</t>
  </si>
  <si>
    <t>2B48-069-00</t>
  </si>
  <si>
    <t>COMPRESSION KNOB 8X22X7.5 MATT BLACK/ดำด้าน</t>
  </si>
  <si>
    <t>2B48-104-00</t>
  </si>
  <si>
    <t>2B48-105-00</t>
  </si>
  <si>
    <t>SPACER 12X28X10</t>
  </si>
  <si>
    <t>2B48-106-00</t>
  </si>
  <si>
    <t>SPACER 36X24.3 PD360 -TRI-BONNEVILLE</t>
  </si>
  <si>
    <t>2B48-106-02</t>
  </si>
  <si>
    <t>SPACER 36X24.3 PD.360 FOR TRI/SCRAMBLER</t>
  </si>
  <si>
    <t>2B48-107-00</t>
  </si>
  <si>
    <t>SPACER 118X30X11 FOR FORK VALVE 290</t>
  </si>
  <si>
    <t>2B48-107-01</t>
  </si>
  <si>
    <t>ADTEPTER 18X30X11 FOR PD FORK VALVE 290 FOR CBR-300R</t>
  </si>
  <si>
    <t>2B48-165-01</t>
  </si>
  <si>
    <t>SPACER 36X26 PD360 YAM T-MAX 530</t>
  </si>
  <si>
    <t>2B48-200-02</t>
  </si>
  <si>
    <t>2B48-201-00</t>
  </si>
  <si>
    <t>ALU CLAMP FOR RESERVOIR</t>
  </si>
  <si>
    <t>2B48-201-01</t>
  </si>
  <si>
    <t>2B48-201-02</t>
  </si>
  <si>
    <t>2B48-202-00</t>
  </si>
  <si>
    <t>ALU MOUNTING CLAMP FOR HP.</t>
  </si>
  <si>
    <t>2B48-202-01</t>
  </si>
  <si>
    <t>2B48-203-00</t>
  </si>
  <si>
    <t>2B48-203-01</t>
  </si>
  <si>
    <t>2B48-203-02</t>
  </si>
  <si>
    <t>2B48-204-00</t>
  </si>
  <si>
    <t>RESERVOIR CLAMP 43XM5 FOR HPA</t>
  </si>
  <si>
    <t>2B48-205-00</t>
  </si>
  <si>
    <t>2B48-207-00</t>
  </si>
  <si>
    <t>2B48-208-00</t>
  </si>
  <si>
    <t>2B48-210-00</t>
  </si>
  <si>
    <t>2B48-211-00</t>
  </si>
  <si>
    <t>2B48-212-01</t>
  </si>
  <si>
    <t>2B48-213-00</t>
  </si>
  <si>
    <t>2B48-230-00</t>
  </si>
  <si>
    <t>2B48-250-00</t>
  </si>
  <si>
    <t>2B48-250-01</t>
  </si>
  <si>
    <t>2B48-252-00</t>
  </si>
  <si>
    <t>2B48-300-00</t>
  </si>
  <si>
    <t>2B48-500-00</t>
  </si>
  <si>
    <t>2B48-500-02</t>
  </si>
  <si>
    <t>2B48-530-01</t>
  </si>
  <si>
    <t>2B48-730-00</t>
  </si>
  <si>
    <t>2B48-731-00</t>
  </si>
  <si>
    <t>2B51-207-00</t>
  </si>
  <si>
    <t>ALU TUBE M22X20X207</t>
  </si>
  <si>
    <t>2B51-215-01</t>
  </si>
  <si>
    <t>2B51-260-00</t>
  </si>
  <si>
    <t>2B51-260-01</t>
  </si>
  <si>
    <t>2B51-350-00</t>
  </si>
  <si>
    <t>2B52-253-00</t>
  </si>
  <si>
    <t>2B52-253-02</t>
  </si>
  <si>
    <t>2B52-253-03</t>
  </si>
  <si>
    <t>2B52-275-00</t>
  </si>
  <si>
    <t>2B52-283-01</t>
  </si>
  <si>
    <t>2B53-400-01</t>
  </si>
  <si>
    <t>2B53-400-02</t>
  </si>
  <si>
    <t>2B54-095-00</t>
  </si>
  <si>
    <t>ALU TUBE M36X30X95 END CAP HARD BLACK</t>
  </si>
  <si>
    <t>2B54-215-00</t>
  </si>
  <si>
    <t>ALU TUBE M36X30X215 END CAP HARD BLACK</t>
  </si>
  <si>
    <t>2B55-095-00</t>
  </si>
  <si>
    <t>2B55-120-00</t>
  </si>
  <si>
    <t>ALU TUBE M51X45X120 HARD BLACK</t>
  </si>
  <si>
    <t>2B55-205-00</t>
  </si>
  <si>
    <t>2B55-285-00</t>
  </si>
  <si>
    <t>ALU TUBE M51X45X285 HARD BLACK</t>
  </si>
  <si>
    <t>O-EYE-W-SIDE-REBOUND-(+5)26X18X50-M12</t>
  </si>
  <si>
    <t>2B69A001-00</t>
  </si>
  <si>
    <t>O-EYE-34X30X55-M10-BLACK</t>
  </si>
  <si>
    <t>2B69A002-00</t>
  </si>
  <si>
    <t>O-EYE-34X30X110-M10-BLACK</t>
  </si>
  <si>
    <t>2B69M080-00</t>
  </si>
  <si>
    <t>2B69M086-00</t>
  </si>
  <si>
    <t>2B69M087-00</t>
  </si>
  <si>
    <t>2B69M089-00</t>
  </si>
  <si>
    <t>2B88-002-01</t>
  </si>
  <si>
    <t>2B88-006-04</t>
  </si>
  <si>
    <t>2B88-007-04</t>
  </si>
  <si>
    <t>Z-EYE (2B26-120-8E) 26X18X45XM10/M42X1.5 W-O-RING 40X2 SET BLACK</t>
  </si>
  <si>
    <t>2B88-007-05</t>
  </si>
  <si>
    <t>Z-EYE (2B26-120-8F) 26X18X45XM10/M42X1.5 W-O-RING 40X2 SET BLACK</t>
  </si>
  <si>
    <t>2B88-007-06</t>
  </si>
  <si>
    <t>2B88-013-05</t>
  </si>
  <si>
    <t>2B88-016-03</t>
  </si>
  <si>
    <t>2B88-017-06</t>
  </si>
  <si>
    <t>2B88-019-03</t>
  </si>
  <si>
    <t>2B88-019-04</t>
  </si>
  <si>
    <t>2B88-020-03</t>
  </si>
  <si>
    <t>2B88-042-03</t>
  </si>
  <si>
    <t>2B88-042-04</t>
  </si>
  <si>
    <t>2B88-048-04</t>
  </si>
  <si>
    <t>2B88-049-02</t>
  </si>
  <si>
    <t>2B88-049-03</t>
  </si>
  <si>
    <t>2B88-050-04</t>
  </si>
  <si>
    <t>2B88-052-01</t>
  </si>
  <si>
    <t>2B88-055-01</t>
  </si>
  <si>
    <t>2B88-063-02</t>
  </si>
  <si>
    <t>2B88-064-02</t>
  </si>
  <si>
    <t>2B88-065-00</t>
  </si>
  <si>
    <t>2B88-104-04</t>
  </si>
  <si>
    <t>2B88-130-05</t>
  </si>
  <si>
    <t>2B88-141-05</t>
  </si>
  <si>
    <t>2B88-144-02</t>
  </si>
  <si>
    <t>2B88-151-01</t>
  </si>
  <si>
    <t>2B88-211-04</t>
  </si>
  <si>
    <t>2B88-226-00</t>
  </si>
  <si>
    <t>G-EYE W-COM 26X18X45XM20XM38/M42X1.5 190 DEGREE LEFT SET/BLACK</t>
  </si>
  <si>
    <t>2B88-227-00</t>
  </si>
  <si>
    <t>2B88-228-00</t>
  </si>
  <si>
    <t>2B88-229-00</t>
  </si>
  <si>
    <t>2B88-229-01</t>
  </si>
  <si>
    <t>2B88-235-02</t>
  </si>
  <si>
    <t>2B88-250-04</t>
  </si>
  <si>
    <t>2B88-251-04</t>
  </si>
  <si>
    <t>2B88-255-05</t>
  </si>
  <si>
    <t>2B88-257-00</t>
  </si>
  <si>
    <t>2B88-259-00</t>
  </si>
  <si>
    <t>2B88-259-01</t>
  </si>
  <si>
    <t>2B88-260-00</t>
  </si>
  <si>
    <t>2B88-260-01</t>
  </si>
  <si>
    <t>2B88-262-02</t>
  </si>
  <si>
    <t>2B88-265-04</t>
  </si>
  <si>
    <t>2B88-266-04</t>
  </si>
  <si>
    <t>2B88-270-00</t>
  </si>
  <si>
    <t>2B88-272-05</t>
  </si>
  <si>
    <t>2B88-274-04</t>
  </si>
  <si>
    <t>2B88-275-03</t>
  </si>
  <si>
    <t>2B88-277-02</t>
  </si>
  <si>
    <t>2B88-321-00</t>
  </si>
  <si>
    <t>2B88-321-02</t>
  </si>
  <si>
    <t>2B88-322-01</t>
  </si>
  <si>
    <t>2B88-324-00</t>
  </si>
  <si>
    <t>2B88-350-00</t>
  </si>
  <si>
    <t>2B91-005-00</t>
  </si>
  <si>
    <t>2B91-015-01</t>
  </si>
  <si>
    <t>2B91-015A01</t>
  </si>
  <si>
    <t>2B91-016-01</t>
  </si>
  <si>
    <t>2B91-016A01</t>
  </si>
  <si>
    <t>2B91-017-02</t>
  </si>
  <si>
    <t>2B91-018-02</t>
  </si>
  <si>
    <t>2B91-019-02</t>
  </si>
  <si>
    <t>2B91-020-02</t>
  </si>
  <si>
    <t>2B91-021-02</t>
  </si>
  <si>
    <t>2B91-022-02</t>
  </si>
  <si>
    <t>2B91-025-02</t>
  </si>
  <si>
    <t>2B91-027-02</t>
  </si>
  <si>
    <t>2B91-029-03</t>
  </si>
  <si>
    <t>2B91-032-02</t>
  </si>
  <si>
    <t>2B91-033-02</t>
  </si>
  <si>
    <t>2B91-043-02</t>
  </si>
  <si>
    <t>2B91-044-02</t>
  </si>
  <si>
    <t>2B91-052-01</t>
  </si>
  <si>
    <t>2B91-053-01</t>
  </si>
  <si>
    <t>2B91-066-03</t>
  </si>
  <si>
    <t>2B91-068-04</t>
  </si>
  <si>
    <t>2B91-073-00</t>
  </si>
  <si>
    <t>2B91-074-00</t>
  </si>
  <si>
    <t>2B91-076-00-R</t>
  </si>
  <si>
    <t>2B91-077-00-R</t>
  </si>
  <si>
    <t>2B91-080-02</t>
  </si>
  <si>
    <t>2B91-081-02</t>
  </si>
  <si>
    <t>2B91-082-02</t>
  </si>
  <si>
    <t>2B91-084-03</t>
  </si>
  <si>
    <t>2B91-085-03</t>
  </si>
  <si>
    <t>2B91-087-02</t>
  </si>
  <si>
    <t>2B91-089-02</t>
  </si>
  <si>
    <t>2B91-090-02</t>
  </si>
  <si>
    <t>2B91-091-02</t>
  </si>
  <si>
    <t>2B91-092-02</t>
  </si>
  <si>
    <t>2B91-094-01</t>
  </si>
  <si>
    <t>2B91-095-01</t>
  </si>
  <si>
    <t>2B91-106-01</t>
  </si>
  <si>
    <t>2B91-116-01</t>
  </si>
  <si>
    <t>2B91-141-02</t>
  </si>
  <si>
    <t>2B91-142-02</t>
  </si>
  <si>
    <t>2B91-146A01</t>
  </si>
  <si>
    <t>2B91-147-01</t>
  </si>
  <si>
    <t>2B91-147A01</t>
  </si>
  <si>
    <t>2B91-177-02</t>
  </si>
  <si>
    <t>2B91-187-02</t>
  </si>
  <si>
    <t>2B91-189-02</t>
  </si>
  <si>
    <t>2B91-190-01</t>
  </si>
  <si>
    <t>2B91-194-01</t>
  </si>
  <si>
    <t>2B91-195-00</t>
  </si>
  <si>
    <t>2B91-215-01</t>
  </si>
  <si>
    <t>2B91-216-01</t>
  </si>
  <si>
    <t>2B91-217-01</t>
  </si>
  <si>
    <t>2B91-241-01</t>
  </si>
  <si>
    <t>2B91-244-00</t>
  </si>
  <si>
    <t>2B94-030-01</t>
  </si>
  <si>
    <t>2B94-041-00</t>
  </si>
  <si>
    <t>2B94-055-01</t>
  </si>
  <si>
    <t>2B94-074-01</t>
  </si>
  <si>
    <t>2B94-092-02</t>
  </si>
  <si>
    <t>2B94-093-00</t>
  </si>
  <si>
    <t>2B94-150-01</t>
  </si>
  <si>
    <t>2B94-150-02</t>
  </si>
  <si>
    <t>2B94-151-01</t>
  </si>
  <si>
    <t>2B94-151-02</t>
  </si>
  <si>
    <t>2B94-153-01</t>
  </si>
  <si>
    <t>2B94-154-01</t>
  </si>
  <si>
    <t>2B94-154-02</t>
  </si>
  <si>
    <t>2B94-155-02</t>
  </si>
  <si>
    <t>2B98A070-00</t>
  </si>
  <si>
    <t>O-EYE 24.5X24X42.5XM16X1.5</t>
  </si>
  <si>
    <t>2B98M058-00</t>
  </si>
  <si>
    <t>2B98M059-00</t>
  </si>
  <si>
    <t>2B98M119-00</t>
  </si>
  <si>
    <t>2B98M203-00</t>
  </si>
  <si>
    <t>PRELOAD M50X1.5X32X65</t>
  </si>
  <si>
    <t>2B98M525-00</t>
  </si>
  <si>
    <t>2B98M531-00</t>
  </si>
  <si>
    <t>2B98M532-01</t>
  </si>
  <si>
    <t>2B98M596-00</t>
  </si>
  <si>
    <t>ALU TUBE-M35X175</t>
  </si>
  <si>
    <t>2B98M628-00</t>
  </si>
  <si>
    <t>2B98M691-00</t>
  </si>
  <si>
    <t>2B99-002-00</t>
  </si>
  <si>
    <t>2B99-014-00</t>
  </si>
  <si>
    <t>OIL TICKNES MEASSURE TOOL</t>
  </si>
  <si>
    <t>2B99-015-00</t>
  </si>
  <si>
    <t>2B99-016-00</t>
  </si>
  <si>
    <t>2B99-017-00</t>
  </si>
  <si>
    <t>6ZD4A188-00</t>
  </si>
  <si>
    <t>6ZD4A189-00</t>
  </si>
  <si>
    <t>6ZD4A192-00</t>
  </si>
  <si>
    <t>6ZD4A193-00</t>
  </si>
  <si>
    <t xml:space="preserve">FORK TOP CAP SPANNER 36/17 </t>
  </si>
  <si>
    <t xml:space="preserve">ALU TUBE M50X45X120 </t>
  </si>
  <si>
    <t xml:space="preserve">ALU TUBE M50X45X125 </t>
  </si>
  <si>
    <t xml:space="preserve">ALU TUBE M50X45X130 </t>
  </si>
  <si>
    <t xml:space="preserve">ALU TUBE M50X45X135 </t>
  </si>
  <si>
    <t xml:space="preserve">ALU TUBE M50X45X140 </t>
  </si>
  <si>
    <t xml:space="preserve">ALU TUBE M50X45X145 </t>
  </si>
  <si>
    <t xml:space="preserve">ALU TUBE M50X45X170 </t>
  </si>
  <si>
    <t xml:space="preserve">ALU TUBE M50X45X175 </t>
  </si>
  <si>
    <t xml:space="preserve">ALU TUBE M50X45X180 FOR 456 T-MAX </t>
  </si>
  <si>
    <t xml:space="preserve">SHAFT 10/M10X1.25X288X332 </t>
  </si>
  <si>
    <t xml:space="preserve">TUBE M35X30X35X308 FOR FRONT FORK </t>
  </si>
  <si>
    <t xml:space="preserve">TUBE M35X30X35X308 </t>
  </si>
  <si>
    <t xml:space="preserve">CAP M48X1.5 FOR AUTO 5022 </t>
  </si>
  <si>
    <t xml:space="preserve">RESERVOIR 43X120 </t>
  </si>
  <si>
    <t xml:space="preserve">RESERVOIR 46X120 </t>
  </si>
  <si>
    <t xml:space="preserve">RESERVOIR M60X200 AUTO </t>
  </si>
  <si>
    <t xml:space="preserve">RESERVOIR OFFSET 28XM32X1.5X93 H.P.A. 456 </t>
  </si>
  <si>
    <t xml:space="preserve">ALU BODY HOUSE 50XM76 FOR PNEUMATIC PRELOAD 456 FULL RACING </t>
  </si>
  <si>
    <t xml:space="preserve">BODY HOUSE 63X75X30XM8 </t>
  </si>
  <si>
    <t>BODY HOUSE 54X67X28XM5 LEFT FOR 456 SERIES HPA.</t>
  </si>
  <si>
    <t xml:space="preserve">BODY HOUSE 63X75X30XM10 </t>
  </si>
  <si>
    <t xml:space="preserve">BODY HOUSE PRELOAD ADJUSTER M65X1.0 LEFT </t>
  </si>
  <si>
    <t xml:space="preserve">HOUSE PRELOAD ADJUSTER M65X1.0 LEFT SIDE </t>
  </si>
  <si>
    <t xml:space="preserve">BODY HOUSE PRELOAD ADJUSTER M65X1.0/32 LEFT </t>
  </si>
  <si>
    <t xml:space="preserve">RESERVOIR M60X250 AUTO </t>
  </si>
  <si>
    <t xml:space="preserve">HOUSING COMPRESSION M31X1.0X213/M51X1.5 </t>
  </si>
  <si>
    <t xml:space="preserve">O-EYE SCREW (+20)26X18X80/M16X1.0 </t>
  </si>
  <si>
    <t xml:space="preserve">FORK 22X28X48/M10/M12 </t>
  </si>
  <si>
    <t xml:space="preserve">O-EYE SCREW (+30)26X18X90/M16X1.0 </t>
  </si>
  <si>
    <t xml:space="preserve">O-EYE (+40) SCREW 26X18X90/M16 </t>
  </si>
  <si>
    <t xml:space="preserve">O-EYE SCREW (+40) 26X18X100/M16X1.0 </t>
  </si>
  <si>
    <t xml:space="preserve">FORK 28X28X48XM10/M12X1.25 </t>
  </si>
  <si>
    <t>O-EYE W/REBOUND 26X18X115 /M16</t>
  </si>
  <si>
    <t xml:space="preserve">O-EYE W-REB (+65) 26X18X115/M16X1.5 </t>
  </si>
  <si>
    <t>FORK 20X28X48X10MM/M12/</t>
  </si>
  <si>
    <t>O-EYE 20X22X58/M12  FOR YZF/R 25</t>
  </si>
  <si>
    <t xml:space="preserve"> FORK SCREW 28X28X63X8MM/M16X1.0</t>
  </si>
  <si>
    <t xml:space="preserve">O-EYE W/REBOUND 26X18X48/M12X1.25 </t>
  </si>
  <si>
    <t xml:space="preserve">O-EYE W/REBOUND 26X18X48/M12 </t>
  </si>
  <si>
    <t>FORK W/REBOUND 20X24X63XM8/M12  FOR PCX</t>
  </si>
  <si>
    <t xml:space="preserve">FORK W/REBOUND 20X28X68XM8/M12 </t>
  </si>
  <si>
    <t xml:space="preserve">FORK W/REB 20X28X68XM8/M12X1.25 </t>
  </si>
  <si>
    <t xml:space="preserve">FORK W-REB 20X28X68XM8/M12X1.25 </t>
  </si>
  <si>
    <t xml:space="preserve"> O-EYE W-REB (+10) 26X18X60/M16X1.5 OFFSET 3 MM. FOR 456 SERIES</t>
  </si>
  <si>
    <t xml:space="preserve">O-EYE W-REB (+10) 26X18X60/M16X1.5 OFSET 3 MM. </t>
  </si>
  <si>
    <t xml:space="preserve">O-EYE 26X18X28/38 </t>
  </si>
  <si>
    <t xml:space="preserve">FORK W/REBOUND 22X30X70XM10/M16 </t>
  </si>
  <si>
    <t xml:space="preserve">FORK W/REBOUND 30X30X70XM10/M16 </t>
  </si>
  <si>
    <t xml:space="preserve">FORK W/REBOUND 30X30X70XM10/M16X1.5 </t>
  </si>
  <si>
    <t xml:space="preserve">FORK SCREW 40X45X88X10/M16 </t>
  </si>
  <si>
    <t xml:space="preserve">FORK SCREW 40X45X88X10MM/M16X1.0 </t>
  </si>
  <si>
    <t xml:space="preserve">FORK-42-W/REBOUND 40X30X70X10/M16X1.0 </t>
  </si>
  <si>
    <t xml:space="preserve">FORK W/REBOUND 26X30X70X8MM/M16 </t>
  </si>
  <si>
    <t xml:space="preserve">FORK W/REBOUND 30X30X70X12MM/M16 </t>
  </si>
  <si>
    <t xml:space="preserve">FORK 22X28X48XM8/M12 </t>
  </si>
  <si>
    <t xml:space="preserve">FORK SCREW 22X28X63/M8/M16 </t>
  </si>
  <si>
    <t xml:space="preserve">FORK W-REB 26X28X68XM8/M12X1.25 </t>
  </si>
  <si>
    <t xml:space="preserve">FORK W-REBOUND 32X28X68X10MM/M12X1.25 </t>
  </si>
  <si>
    <t xml:space="preserve">FORK W-REB 22X28X68XM10/M12X1.25 </t>
  </si>
  <si>
    <t>FORK SCREW 22X28X63XM10/M16/</t>
  </si>
  <si>
    <t xml:space="preserve">FORK-15-26X28X48/M10X1.25/M12X1.25 </t>
  </si>
  <si>
    <t xml:space="preserve">FORK SCREW 30X28X63XM10/M16 </t>
  </si>
  <si>
    <t xml:space="preserve">FORK SCREW 30X28X63XM10/M16X1.0 </t>
  </si>
  <si>
    <t xml:space="preserve">O-EYE (+5) 26X18X30/38 </t>
  </si>
  <si>
    <t xml:space="preserve">O-EYE 11 OFFSET W/SIDE REBOUND </t>
  </si>
  <si>
    <t xml:space="preserve">O-EYE OFFSET W/SIDE REBOUND 26X18X52/M16 </t>
  </si>
  <si>
    <t xml:space="preserve">O-EYE W-SIDE REB 26X18X52/M16X1.5 OFFSET </t>
  </si>
  <si>
    <t xml:space="preserve">FORK  33X28X48XM10/M12X1.25 OFFSET 5 MM./ </t>
  </si>
  <si>
    <t xml:space="preserve">FORK SCREW 48X28X63XM10XM16 </t>
  </si>
  <si>
    <t>FORK SCREW 19X28X63XM10/M16//MTO</t>
  </si>
  <si>
    <t xml:space="preserve">FORK W/REBOUND 32X30X70X10/M16X1.5 </t>
  </si>
  <si>
    <t xml:space="preserve">FORK W/REBOUND 32X30X70X12MM/M16X1.5 </t>
  </si>
  <si>
    <t xml:space="preserve">FORK W/REBOUND 30X45X90X10/M16 </t>
  </si>
  <si>
    <t xml:space="preserve">FORK W/REBOUND 40X30X70X12/M16 </t>
  </si>
  <si>
    <t xml:space="preserve">FORK W/REBOUND 34X30X70X12/M16 </t>
  </si>
  <si>
    <t xml:space="preserve">FORK 33X28X48X12MM/M12X1.25 </t>
  </si>
  <si>
    <t xml:space="preserve">FORK 48X28X48X8/M12X1.25 </t>
  </si>
  <si>
    <t xml:space="preserve">FORK 28X28X48X8/M12X1.25 </t>
  </si>
  <si>
    <t xml:space="preserve">FORK SCREW 32X28X63XM10X1.25 </t>
  </si>
  <si>
    <t xml:space="preserve">FORK SCREW 32X28X63XM10/M16X1.0 </t>
  </si>
  <si>
    <t xml:space="preserve">FORK W/REBOUND 26X30X70X12MM/M16 </t>
  </si>
  <si>
    <t>FORK 1 20X20X30/M8X1.5  HI-LOW SP</t>
  </si>
  <si>
    <t xml:space="preserve">FORK-NUT-26X28X38/M8/M16X1.0 </t>
  </si>
  <si>
    <t xml:space="preserve">FORK-NUT-26X28X38/M10/M16X1.0 </t>
  </si>
  <si>
    <t xml:space="preserve">FORK-NUT-33X28X46/M10/M16 </t>
  </si>
  <si>
    <t xml:space="preserve">FORK-NUT-36X28X38/M10/M16X1.0 </t>
  </si>
  <si>
    <t xml:space="preserve">FORK-NUT-48X28X46/M10/M16 </t>
  </si>
  <si>
    <t xml:space="preserve">FORK-NUT 20X28X38/M8/M16 </t>
  </si>
  <si>
    <t xml:space="preserve">FORK-NUT 20X28X46/M8/M16 </t>
  </si>
  <si>
    <t xml:space="preserve">FORK 30X28X48XM12/M12X1.25 </t>
  </si>
  <si>
    <t xml:space="preserve">FORK SCREW 36X28X35X10MM./M16X1.0  </t>
  </si>
  <si>
    <t>FORK LONG 26X35X88XM8/</t>
  </si>
  <si>
    <t xml:space="preserve">FORK LONG 26X35X88/M10 </t>
  </si>
  <si>
    <t xml:space="preserve">FORK LONG OFFSET 4 MM. 26X35X88XM10 </t>
  </si>
  <si>
    <t xml:space="preserve">FORK 20X28X43XM8/M12 </t>
  </si>
  <si>
    <t>FORK 30X28X48X10/M12/</t>
  </si>
  <si>
    <t xml:space="preserve">FORK H-L 33X28X38XM10 </t>
  </si>
  <si>
    <t xml:space="preserve">FORK W-REB 30X45X90XM10/M16X1.5 </t>
  </si>
  <si>
    <t xml:space="preserve">FORK 20X25X43XM8/M12X1.25 </t>
  </si>
  <si>
    <t xml:space="preserve">FORK NUT 20X28X46XM10/16 OFFSET 4 MM. </t>
  </si>
  <si>
    <t xml:space="preserve">FORK W-BLACK SIDE REB. 20X22X39/M8/M12X1.25 LEFT  </t>
  </si>
  <si>
    <t xml:space="preserve">FORK W-BLACK SIDE REB. 20X55X90X10MM/M16X1.5 </t>
  </si>
  <si>
    <t xml:space="preserve">FORK W-BLACK SIDE REB. 22X48X10MM/M16X1.5 </t>
  </si>
  <si>
    <t xml:space="preserve">FORK W-BLACK SIDE REB. 30X30X75XM10/M16X1.5 </t>
  </si>
  <si>
    <t xml:space="preserve">FORK W-BLACK SIDE REB. 32.6X28X65XM12/M16X1.5 </t>
  </si>
  <si>
    <t xml:space="preserve">FORK 28X28X48X12/M12X1.25 </t>
  </si>
  <si>
    <t xml:space="preserve">FORK 30X28X48X12/M12X1.25 </t>
  </si>
  <si>
    <t xml:space="preserve">FORK (+40) 20X35X88XM10/M12X1.25 </t>
  </si>
  <si>
    <t>FORK SCREW 24X28X63X8/M16 /MTO.</t>
  </si>
  <si>
    <t xml:space="preserve">FORK SCREW 24X28X63X8/M16X1.0 </t>
  </si>
  <si>
    <t>FORK SCREW 20X28X63XM8/M16//MTO</t>
  </si>
  <si>
    <t>FORK SCREW 25X28X63X12/M16X1.0  MODIFY</t>
  </si>
  <si>
    <t xml:space="preserve">FORK SCREW 26X28X63X12MM/M16X1.0 </t>
  </si>
  <si>
    <t xml:space="preserve">FORK SCREW 20X28X63X8/M16 </t>
  </si>
  <si>
    <t xml:space="preserve">FORK W/REBOUND 40X45X95X12MM/M16  </t>
  </si>
  <si>
    <t>FORK W/REBOUND 22X30X70X10 MM/M16/MTO.</t>
  </si>
  <si>
    <t xml:space="preserve">FORK W/REB 30X30X70X10MM/M16X1.5 </t>
  </si>
  <si>
    <t xml:space="preserve">FORK SCREW 26X28X63X10MM/M16 </t>
  </si>
  <si>
    <t>FORK SCREW-LEFT 26X28X63XM10/M16/OFFSET 4 MM./</t>
  </si>
  <si>
    <t xml:space="preserve">FORK SCREW 26X28X63XM10/M16 </t>
  </si>
  <si>
    <t xml:space="preserve">FORK W/REBOUND 40X45X95X10MM/M16  </t>
  </si>
  <si>
    <t xml:space="preserve">FORK W/REBOUND 30X30X70X12/M16  </t>
  </si>
  <si>
    <t>FORK W/REBOUND 30X55X95X10MM/M16/</t>
  </si>
  <si>
    <t xml:space="preserve">FORK W/REBOUND 30X55X95X10MM/M16X1.5 </t>
  </si>
  <si>
    <t xml:space="preserve">FORK SCREW 26X28X63XM10X10MM/M16X1.0 </t>
  </si>
  <si>
    <t xml:space="preserve">FORK W/REBOUND 26X30X70X10MM/M16 </t>
  </si>
  <si>
    <t xml:space="preserve">FORK-13 OFFSET 22X25X48XM10/M12 </t>
  </si>
  <si>
    <t xml:space="preserve">FORK W/REBOUND 26X28X68X8MM/M12 </t>
  </si>
  <si>
    <t xml:space="preserve"> FORK SCREW 30X28X63X10MM/M16X1.0 </t>
  </si>
  <si>
    <t xml:space="preserve">FORK W/REB 30X30X70X15MM/M16X1.5  </t>
  </si>
  <si>
    <t xml:space="preserve">FORK W/REBOUND 30X45X90X15MM/M16  </t>
  </si>
  <si>
    <t xml:space="preserve">FORK SCREW 30X28X63/12MM/M16 </t>
  </si>
  <si>
    <t xml:space="preserve"> FORK 30X28X63X12MM./M16X1.0</t>
  </si>
  <si>
    <t xml:space="preserve">FORK W/REBOUND 26X28X68X10MM/M12 </t>
  </si>
  <si>
    <t>FORK SCREW 32X28X63X10MM/M16//MODIFY</t>
  </si>
  <si>
    <t xml:space="preserve">FORK SCREW 26X28X63X10MM SPECIAL 22 DEGREE </t>
  </si>
  <si>
    <t xml:space="preserve"> FORK SCREW 40X45X88X12MM/M16X1.0 </t>
  </si>
  <si>
    <t>FORK W/REBOUND 37X30X70X12/M16  MODIFY</t>
  </si>
  <si>
    <t xml:space="preserve">FORK W/REBOUND 37X30X70X12/M16  </t>
  </si>
  <si>
    <t xml:space="preserve">FORK W/REBOUND 26X30X70XM10/M16 </t>
  </si>
  <si>
    <t xml:space="preserve">FORK W/REBOUND 26X30X70XM10/M16X1.5 </t>
  </si>
  <si>
    <t xml:space="preserve">FORK W-REB 30X30X70X8MM/M16X1.5 </t>
  </si>
  <si>
    <t xml:space="preserve">FORK SCREW 30X28X63XM10/15MM/M16X1.0 </t>
  </si>
  <si>
    <t xml:space="preserve">FORK SCREW (+10) 20X40X73XM8/M16X1.0 </t>
  </si>
  <si>
    <t xml:space="preserve">FORK W-BLACK SIDE REB. 20X22X49XM10/M12X1.25 LEFT </t>
  </si>
  <si>
    <t xml:space="preserve">FORK W-REB. 25X30X70X10MM/M16X1.5 </t>
  </si>
  <si>
    <t>O-EYE 26X18X54 FOR G-HI-LO SPEED/ MTO</t>
  </si>
  <si>
    <t>O-EYE SCREW 27X18X60/M16/MODIFY</t>
  </si>
  <si>
    <t>O-EYE (+5) 26X18X29 FOR HI-LOW SPEED  /PROTOTYPE</t>
  </si>
  <si>
    <t xml:space="preserve">O-EYE SCREW 20 TAPER 18X38/M16 </t>
  </si>
  <si>
    <t xml:space="preserve">O-EYE  (+20 )SCREW 20 TAPER 18X58/M16 </t>
  </si>
  <si>
    <t xml:space="preserve">O-EYE  (+15 ) 26X18X39 FOR HI-LOW SPEEDS </t>
  </si>
  <si>
    <t xml:space="preserve">O-EYE 16X6X23/M8X1.25  </t>
  </si>
  <si>
    <t xml:space="preserve"> O-EYE H-L (+15) 26X18X39/32</t>
  </si>
  <si>
    <t>O-EYE SCREW (+10) 20 TAPER X14X48/M16X1.0 FOR NEW G-PLUS</t>
  </si>
  <si>
    <t xml:space="preserve">O-EYE SCREW (+10) 26X18X70/M16X1.0 </t>
  </si>
  <si>
    <t xml:space="preserve">O-EYE -20/23X18X43XM12X1.25 OFFSET </t>
  </si>
  <si>
    <t xml:space="preserve">FORK 20X28X48XM8/M12 OFFSET 8 MM  LEFT   </t>
  </si>
  <si>
    <t xml:space="preserve">O-EYE W-REB (+5) 26X18X55/M16X1.5 </t>
  </si>
  <si>
    <t xml:space="preserve">O-EYE W-REB (+5) 26X18X50/M16X1.5 </t>
  </si>
  <si>
    <t xml:space="preserve">O-EYE W/REBOUND 26X18X53/M12 OFFSET 8 MM. </t>
  </si>
  <si>
    <t xml:space="preserve">O-EYE-20/23X14X43XM12X1.25 </t>
  </si>
  <si>
    <t xml:space="preserve">O-EYE TAPER 20X18X58/M12X1.25 FOR ALL NEW 302 </t>
  </si>
  <si>
    <t xml:space="preserve">O-EYE W-REB 30X18X53/M12X1.25 </t>
  </si>
  <si>
    <t xml:space="preserve">O-EYE 26X18X38/M12X1.25 </t>
  </si>
  <si>
    <t xml:space="preserve">O-EYE LONG W-SIDE REB 26X18X115/M16X1.5 </t>
  </si>
  <si>
    <t xml:space="preserve">O-EYE W-SIDE REB 26X18X70/M16X1.5 </t>
  </si>
  <si>
    <t xml:space="preserve">O-EYE W-REB 26X18X70/M16X1.5/45 DEGREE  </t>
  </si>
  <si>
    <t xml:space="preserve">O-EYE W-SIDE REB 26X18X50/M16X1.5 45 DEGREE </t>
  </si>
  <si>
    <t xml:space="preserve">O-EYE WITH SIDE REBOUND 26X18X75/M16 </t>
  </si>
  <si>
    <t xml:space="preserve">O-EYE WITH SIDE REBOUND 26X18X85/M16 </t>
  </si>
  <si>
    <t xml:space="preserve">O-EYE W-BLACK SIDE REB. 34X30X103/M16X1.5 FOR 456 AUTO </t>
  </si>
  <si>
    <t xml:space="preserve">O-EYE W-BLACK SIDE REB. 34X30X68/M16X1.5 FOR 456 AUTO </t>
  </si>
  <si>
    <t xml:space="preserve">O-EYE W-REB 26X18X53/M12X1.25 OFFSET 4 MM. </t>
  </si>
  <si>
    <t xml:space="preserve">O-EYE W-BLACK SIDE REB. 34X30X58/M16X1.5 </t>
  </si>
  <si>
    <t xml:space="preserve">O-EYE W-BLACK SIDE REB. 34X30X133/M16X1.5  </t>
  </si>
  <si>
    <t xml:space="preserve">O-EYE W-BLACK SIDE REB. 48X34X133/M16X1.5 </t>
  </si>
  <si>
    <t xml:space="preserve">FORK (+45) 30X35X93X12/M12X1.25 </t>
  </si>
  <si>
    <t>X-UPPER EYE M35X20/22XM10/LONG/</t>
  </si>
  <si>
    <t>X-UPPER EYE M35X20/20XM10/LONG/</t>
  </si>
  <si>
    <t xml:space="preserve">Z-UPPER EYE M35X26XM10 </t>
  </si>
  <si>
    <t xml:space="preserve">Z-EYE 26X18X50XM10/M35X1.25 </t>
  </si>
  <si>
    <t xml:space="preserve">Z-NUT 53XM10/M50X1.5/M16X1.0  FOR 456 SERIES </t>
  </si>
  <si>
    <t xml:space="preserve">Z-NUT 48XM10/M50X1.5/M16X1.0   </t>
  </si>
  <si>
    <t xml:space="preserve">X-UPPER EYE M42X20/18XM10 </t>
  </si>
  <si>
    <t xml:space="preserve">X-UPPER EYE20X18X38XM10/M42X1.5 </t>
  </si>
  <si>
    <t xml:space="preserve">X-UPPER EYE M35X20/18X38/4XM10 </t>
  </si>
  <si>
    <t xml:space="preserve">Z-UPPER EYE M35X26XM5/LONG </t>
  </si>
  <si>
    <t xml:space="preserve">Z-EYE (+20) 26X18X65XM5/M35X1.25 </t>
  </si>
  <si>
    <t xml:space="preserve">Z-UPPER  NUT M35XM12XM5 </t>
  </si>
  <si>
    <t xml:space="preserve">Z - NUT 33XM5/M35X1.25/M12X1.25 </t>
  </si>
  <si>
    <t xml:space="preserve">Z-EYE 26X18X50XM5/M35X1.25 OFFSET 8 MM. </t>
  </si>
  <si>
    <t xml:space="preserve">B-UPPER EYE M42X20/40 </t>
  </si>
  <si>
    <t>Z-UPPER NUT M42XM12XM5/</t>
  </si>
  <si>
    <t xml:space="preserve">Z-NUT 35XM5/M42X1.5/M12X1.25 </t>
  </si>
  <si>
    <t xml:space="preserve">Z-UPPER EYE M42X26XM5/OFFSET </t>
  </si>
  <si>
    <t xml:space="preserve">Z-EYE 26X18X51.5XM5/M42X1.5 OFFSET </t>
  </si>
  <si>
    <t xml:space="preserve">Z-UPPER NUT M42XM16XM10 </t>
  </si>
  <si>
    <t xml:space="preserve">Z-NUT 43XM10/M42X1.5/M16X1.0 </t>
  </si>
  <si>
    <t xml:space="preserve">Z-FORK 20X28X65X10MM/M35X1.25 </t>
  </si>
  <si>
    <t xml:space="preserve">Z - EYE 30X18X45XM10/M42X1.5 </t>
  </si>
  <si>
    <t xml:space="preserve">G-EYE W-COM 26X18X45XM20XM48/M42X1.5 90 DEGREE </t>
  </si>
  <si>
    <t xml:space="preserve">G-NUT W-COM 40XM20XM48/M42X1.5/M16X1.0 </t>
  </si>
  <si>
    <t xml:space="preserve">IDOL EYE H-L 26X18X45XM5/M50X1.5 LEFT </t>
  </si>
  <si>
    <t xml:space="preserve">IDOL EYE H-L 26X18X45XM5/M42X1.5 LEFT FOR 362,366 </t>
  </si>
  <si>
    <t xml:space="preserve">IDOL EYE H-L 26X18X45XM5/M42X1.5 LEFT  </t>
  </si>
  <si>
    <t xml:space="preserve">G-H-L 30XM5XM28XM60/M51X1.5 </t>
  </si>
  <si>
    <t xml:space="preserve">G-UPPER EYE ADJUSTER-M12/38/M35/M44 </t>
  </si>
  <si>
    <t xml:space="preserve">Z-UPPER EYE M35X26XM5 </t>
  </si>
  <si>
    <t xml:space="preserve">G-BOTTOM EYE W/COM -M35X1.25/M44 </t>
  </si>
  <si>
    <t xml:space="preserve">Z-UPPER EYE M35X20_TAPERXM5 </t>
  </si>
  <si>
    <t xml:space="preserve">Z-UPPER EYE M35X20 TAPERXM5 OFFSET 8 MM </t>
  </si>
  <si>
    <t xml:space="preserve">Z-UPPER EYE M35X20 TAPERXM5/OFFSET 8 MM </t>
  </si>
  <si>
    <t xml:space="preserve"> Z-EYE 26X18X50XM10/M50X1.5  FOR 456 SERIES </t>
  </si>
  <si>
    <t xml:space="preserve"> Z-EYE 26X18X45XM10/M50X1.5  FOR 456 SERIES </t>
  </si>
  <si>
    <t xml:space="preserve"> Z-EYE 26X18X45XM10/M50X1.5 </t>
  </si>
  <si>
    <t xml:space="preserve"> Z-EYE(+30) 26X18X80XM10/M50X1.5 FOR 456 SERIES </t>
  </si>
  <si>
    <t xml:space="preserve">Z EYE (+5) 26X18X5XM10/M50X1.5 </t>
  </si>
  <si>
    <t xml:space="preserve">Z-UPPER EYE M42X1.5X26XM10/LONG </t>
  </si>
  <si>
    <t xml:space="preserve">Z-EYE (+25) 26X18X80XM10/M56X1.5X15.5 </t>
  </si>
  <si>
    <t>Z-EYE (+10) 26X18X55XM10/M50X1.5 ON TOP M10 SP.</t>
  </si>
  <si>
    <t xml:space="preserve">Z-EYE 26X18X55XM10/M56X1.5 </t>
  </si>
  <si>
    <t xml:space="preserve">Z-EYE 26X18X52XM10/M50X1.5 MTO SP. </t>
  </si>
  <si>
    <t xml:space="preserve">Z-UPPER EYE M35X20/14XM5 </t>
  </si>
  <si>
    <t>Z- EYE TAPER 20X14X50/M35X1.25 MTO</t>
  </si>
  <si>
    <t xml:space="preserve">Z- EYE TAPER 20X14X45XM5/M35X1.25 </t>
  </si>
  <si>
    <t xml:space="preserve">IDOL NUT H-L M16X1.0X48XM5/M42X1.5 LEFT </t>
  </si>
  <si>
    <t xml:space="preserve">IDOL UPPER EYE M56+1.5/38/M10X1.25 </t>
  </si>
  <si>
    <t xml:space="preserve">IDOL UPPER EYE M56X10XM10 </t>
  </si>
  <si>
    <t xml:space="preserve">IDOL UPPER EYE M42X10XM10 </t>
  </si>
  <si>
    <t xml:space="preserve"> IDOL UPPER EYE M50X1.5 </t>
  </si>
  <si>
    <t xml:space="preserve"> IDOL EYE H-L 26X18X50XM10/M50X1.5 FOR 456 SERIES</t>
  </si>
  <si>
    <t>G-HI-LOW SPEED M42X26XM20/M44  6061</t>
  </si>
  <si>
    <t xml:space="preserve">G-HI-LOW SPEED M42X26XM20/M44  </t>
  </si>
  <si>
    <t>G-HI-LOW SPEED M42X26XM20/M44/MTO    6061</t>
  </si>
  <si>
    <t xml:space="preserve">G EYE H-L  26X18X50XM20XM44/M42X1.5    </t>
  </si>
  <si>
    <t xml:space="preserve">G - EYE H-L 26X18X45XM20/M48/M42X1.5 </t>
  </si>
  <si>
    <t xml:space="preserve">G-HI-LOW SPEED M56X26XM20/M44 </t>
  </si>
  <si>
    <t xml:space="preserve">G H-L 28XM5XM20XM48/M50X1.5 FOR 456 SERIES ALL NEW </t>
  </si>
  <si>
    <t xml:space="preserve">G H-L 28XM5XM20XM48/M50X1.5 </t>
  </si>
  <si>
    <t xml:space="preserve">G H-L MX-28XM5XM20XM48/M50X1.5/74 </t>
  </si>
  <si>
    <t xml:space="preserve">G-UPPER EYE -1 W/COM 3 STEP 26X18  </t>
  </si>
  <si>
    <t xml:space="preserve">G-UPPER EYE M35X26XM20/M44/W/COM 3 STEP </t>
  </si>
  <si>
    <t>G-UPPER EYE M42X26XM20/M44/W-COM 3 STEP/OFFSET 3 MM. FOR PCX</t>
  </si>
  <si>
    <t>G-UPPER EYE W/COM M35X20/23X14/M20/M5/M44 /MTO</t>
  </si>
  <si>
    <t xml:space="preserve">G-EYE W-COM 30 CLICK 28XM5XM20XM48/M50X1.5 </t>
  </si>
  <si>
    <t xml:space="preserve">G  W-COM 30 CLICK 28XM5XM20XM48/M50X1.5 </t>
  </si>
  <si>
    <t xml:space="preserve">G-UPPER EYE -11 W/COM 3 STEP 26X18  </t>
  </si>
  <si>
    <t xml:space="preserve">G-UPPER EYE M42X26XM20/M44/W/COM 3 STEP </t>
  </si>
  <si>
    <t xml:space="preserve">G-UPPER EYE  M42X26XM20/M44/W/COM 3 STEP </t>
  </si>
  <si>
    <t xml:space="preserve">G-UPPER NUT M35XM16XM5X47.5/M44 </t>
  </si>
  <si>
    <t xml:space="preserve">G - NUT 48XM5/M44/M35X1.25/M16X1.0 </t>
  </si>
  <si>
    <t xml:space="preserve">G-NUT 43XM5XM48/M35X1.25/M16X1.0 FOR ALL NEW G PLUS ALL NEW </t>
  </si>
  <si>
    <t xml:space="preserve">G-NUT 53XM5XM48/M35X1.25/M16X1.0 </t>
  </si>
  <si>
    <t xml:space="preserve">G-NUT 53XM5XM48X/M35X1.25/M16X1.0 </t>
  </si>
  <si>
    <t xml:space="preserve">G-UPPER EYE-2-20X14X50/M35X1.25/M44 </t>
  </si>
  <si>
    <t xml:space="preserve">G-UPPER EYE -3 20X22X50/M35X1.25/M44 </t>
  </si>
  <si>
    <t xml:space="preserve">G-UPPER EYE M35X20/22XM5/M44/90 DEGREE  </t>
  </si>
  <si>
    <t xml:space="preserve">G - EYE 20X22X50XM5XM44/M35X1.25 90 DEGREE   </t>
  </si>
  <si>
    <t xml:space="preserve">G-UPPER EYE M42X26XM20/M44/90 DEGREE </t>
  </si>
  <si>
    <t xml:space="preserve">G-UPPER EYE M42X26XM5/M44 </t>
  </si>
  <si>
    <t>G-UPPER  EYE M35X45XM5/M35/OFFSET 4 MM./</t>
  </si>
  <si>
    <t>G-UPPER  EYE 20X14X45XM5XM48/M35X1.25/</t>
  </si>
  <si>
    <t xml:space="preserve">G-UPPER EYE M35X20/22XM5/M44 </t>
  </si>
  <si>
    <t xml:space="preserve">G-UPPER EYE M35X20/20XM5/M44 </t>
  </si>
  <si>
    <t xml:space="preserve">G EYE H-L 26X18X55XM20XM44/M50X1.5 </t>
  </si>
  <si>
    <t xml:space="preserve">NEW C-BOTTOM FORK-1-20X22X53/M8/M35/M44 </t>
  </si>
  <si>
    <t xml:space="preserve"> C-FORK 20X22X53XM8XM5XM44/M35X1.25  </t>
  </si>
  <si>
    <t xml:space="preserve">NEW C-BOTTOM BOLT W-COM 3 STEP M35XM10/M44 </t>
  </si>
  <si>
    <t xml:space="preserve">NEW C-BOTTOM STUD M16/M35/M44 </t>
  </si>
  <si>
    <t xml:space="preserve">NEW C-BOTTOM  BOLT M35XM16XM5/M44 </t>
  </si>
  <si>
    <t xml:space="preserve">C-BOLT 29XM5XM44/M35X1.25/M10X1.25 </t>
  </si>
  <si>
    <t xml:space="preserve">C-BOTTOM 21XM5XM32/M35X1.25 </t>
  </si>
  <si>
    <t xml:space="preserve">C BOTTOM EYE 21XM5XM32XM35 </t>
  </si>
  <si>
    <t xml:space="preserve"> Z-FORK 24X25X60X10MM/M50X1.5 OFFSET 3 MM.  FOR 456 SERIES </t>
  </si>
  <si>
    <t>NEW C-BOTTOM FORK  M35X20X53XM8/M44/OFFSET/ MTO</t>
  </si>
  <si>
    <t xml:space="preserve">NEW C-BOTTOM FORK LEFT M35X20X53X8/M44/OFFSET 4 MM </t>
  </si>
  <si>
    <t xml:space="preserve">NEW C-BOTTOM FORK  M35X20X53X8/M44/OFFSET 4 MM /LEFT/ </t>
  </si>
  <si>
    <t xml:space="preserve"> C-FORK 20X22X53X8MMXM5XM44/M35X1.25 OFFSET 4 MM. LEFT.</t>
  </si>
  <si>
    <t xml:space="preserve"> C-FORK 20X22X53X8MMXM5XM44/M35X1.25 OFFSET 4 MM. RIG</t>
  </si>
  <si>
    <t xml:space="preserve">C-EYE W-COM 16X28X40X55XM32/M35X1.25 90 DEGREE </t>
  </si>
  <si>
    <t xml:space="preserve">G - EYE TAPER 20X18X50XM5XM44/M35X1.25  </t>
  </si>
  <si>
    <t xml:space="preserve">NEW C-BOTTOM EYE M35X20 TAPERXM5/M44 </t>
  </si>
  <si>
    <t xml:space="preserve">NEW C-BOTTOM EYE M35X20X27XM5/M44 </t>
  </si>
  <si>
    <t xml:space="preserve">C- EYE 20X27X50XM5XM44/M35X1.25 </t>
  </si>
  <si>
    <t xml:space="preserve">G-UPPER EYE M35X20 TAPER XM5/M44/OFF-SET 3 MM. </t>
  </si>
  <si>
    <t xml:space="preserve">C EYE 16x28x50xM5xM44/M35x1.25 225 DEGREE </t>
  </si>
  <si>
    <t xml:space="preserve"> G-EYE TAPER 20X18X45XM5XM48/M35X1.25 </t>
  </si>
  <si>
    <t xml:space="preserve"> NEW G-EYE TAPER 20X18X45XM5XM48/M35X1.25 </t>
  </si>
  <si>
    <t xml:space="preserve">SHAFT  LOCK WITH  PRELOAD 16X30/M42X1.5 FOR SEROW 225  </t>
  </si>
  <si>
    <t xml:space="preserve">SHAFT LOCK 12X14 </t>
  </si>
  <si>
    <t xml:space="preserve">ALU SHAFT LOCK 12 W/PRELOAD  </t>
  </si>
  <si>
    <t xml:space="preserve">ALU SHAFT LOCK 12 W/PRELOAD ADJUSTER M42X1.5 </t>
  </si>
  <si>
    <t xml:space="preserve"> ALU SHAFT LOCK W-PRELOAD ADJUSTER 12/M42X1.5 </t>
  </si>
  <si>
    <t xml:space="preserve">ALU SHAFT  LOCK W-PRELOAD ADJUSTER 12/M42X1.5 </t>
  </si>
  <si>
    <t>SHAFT LOCK 16X24 FOR R15 RACING  MODEL R15</t>
  </si>
  <si>
    <t xml:space="preserve">SPRING GUIDE RETAINER 50X60X51 </t>
  </si>
  <si>
    <t xml:space="preserve">RETAINER 40 </t>
  </si>
  <si>
    <t xml:space="preserve">RETAINER 38X6XM10 </t>
  </si>
  <si>
    <t xml:space="preserve"> RETAINER 56 (+7.5) FOR 456 SERIES</t>
  </si>
  <si>
    <t xml:space="preserve"> RETAINER 56 FOR 456 SERIES</t>
  </si>
  <si>
    <t xml:space="preserve"> RETAINER 56 (-7.5) FOR 456 SERIES</t>
  </si>
  <si>
    <t xml:space="preserve"> RETAINER 56 (STD)  FOR RACING 456 SERIES</t>
  </si>
  <si>
    <t xml:space="preserve">RETAINER 60 (STD) </t>
  </si>
  <si>
    <t xml:space="preserve">LOCK RING M42X1.5 </t>
  </si>
  <si>
    <t xml:space="preserve">LOCK RING 50X8/M4X0.7 </t>
  </si>
  <si>
    <t xml:space="preserve">LOCK RING M56X1.5 </t>
  </si>
  <si>
    <t xml:space="preserve"> PRELOAD MX-60/M50X1.5X20XM6 FOR 456 SERIES </t>
  </si>
  <si>
    <t xml:space="preserve">NEW PRELOAD M35X1.25X16/6/M6X1.0  </t>
  </si>
  <si>
    <t xml:space="preserve"> PRELOAD 56/M50X1.5X17.5XM6 FOR 456 SERIES</t>
  </si>
  <si>
    <t xml:space="preserve"> PRELOAD 56/M50X1.5X17.5  FOR RACING 456 SERIES</t>
  </si>
  <si>
    <t xml:space="preserve"> PRELOAD 56/M50X1.5X17XM6 FOR 456 SERIES  </t>
  </si>
  <si>
    <t xml:space="preserve">NEW PRELOAD M56X1.5X60/6/M6X1 </t>
  </si>
  <si>
    <t xml:space="preserve">PRELOAD MONO M42X1.5/55 </t>
  </si>
  <si>
    <t xml:space="preserve">PRELOAD 55/M42X1.5XM6 </t>
  </si>
  <si>
    <t xml:space="preserve">RETAINER 53/70 </t>
  </si>
  <si>
    <t xml:space="preserve">NEW PRELOAD +10/M42X1.5/24/M6X1.0 </t>
  </si>
  <si>
    <t xml:space="preserve">NEW PRELOAD +10 M42X1.5-24-M6X1.0 </t>
  </si>
  <si>
    <t xml:space="preserve">NEW PRELOAD M44X1.5/19/M6 </t>
  </si>
  <si>
    <t xml:space="preserve">PRELOAD LOCK M50X1.5X10 W-HOLE 8.0 FOR 456 AUTO </t>
  </si>
  <si>
    <t xml:space="preserve">PRELOAD LOCK M50X1.5X8 </t>
  </si>
  <si>
    <t xml:space="preserve"> END CAP 45 FOR 456 SERIES</t>
  </si>
  <si>
    <t>END CAP SHAFT M8X1.25  FOR STEELRING DAMPER</t>
  </si>
  <si>
    <t xml:space="preserve">END CAP SHAFT M8X1.25  </t>
  </si>
  <si>
    <t>END CAP PISTON 8XM13X1.0/3  FOR STEELRING DAMPER</t>
  </si>
  <si>
    <t xml:space="preserve">END CAP 302 </t>
  </si>
  <si>
    <t xml:space="preserve">END CAP M32X1.5XM12X1.25X12 </t>
  </si>
  <si>
    <t xml:space="preserve">SEAL BLOCK C362 </t>
  </si>
  <si>
    <t xml:space="preserve"> SEAL BLOCK 45X16.5 FOR 456 SERIES</t>
  </si>
  <si>
    <t>SEAL BLOCK 362/21  FOR PCX-150</t>
  </si>
  <si>
    <t>SEAL BLOCK 362/21  FOR PCX-151</t>
  </si>
  <si>
    <t>SEAL BLOCK 302 W/CAP M33  FOR FORZA 302 SERIES</t>
  </si>
  <si>
    <t xml:space="preserve">NEW SEAL BLOCK 366/23 </t>
  </si>
  <si>
    <t xml:space="preserve">SEAL BLOCK 50 </t>
  </si>
  <si>
    <t xml:space="preserve">SEAL BLOCK 32X18X22 HD.SOFITAIL </t>
  </si>
  <si>
    <t xml:space="preserve">SEAL BLOCK 506 </t>
  </si>
  <si>
    <t xml:space="preserve">SEAL BLOCK SOFITAIL 32X18X22 </t>
  </si>
  <si>
    <t xml:space="preserve">SEAL BLOCK HD SOFITAIL 32X18X22 </t>
  </si>
  <si>
    <t xml:space="preserve">SEAL BLOCK 32X18X22 HD.SOFTTAIL  </t>
  </si>
  <si>
    <t xml:space="preserve">SPACER CAP M24X1.0X18X75 </t>
  </si>
  <si>
    <t xml:space="preserve">END CAP 5022 </t>
  </si>
  <si>
    <t xml:space="preserve">SPACER CAP M24X1.0X18X90 </t>
  </si>
  <si>
    <t xml:space="preserve">CAP PRELOAD ADJUSTER M65X1.0X51/5.5 </t>
  </si>
  <si>
    <t xml:space="preserve">EYE BASE FOR IDOL 49/M16X1.0/M10X1.5 </t>
  </si>
  <si>
    <t xml:space="preserve"> REBOUND BASE  40 M12X1.25/M16 </t>
  </si>
  <si>
    <t xml:space="preserve">SHORT REBOUND BASE  40/M12X1.25/M16X1.0 </t>
  </si>
  <si>
    <t xml:space="preserve">AL EYE BASE M12X1.25/M16X1.0  </t>
  </si>
  <si>
    <t xml:space="preserve">EYE BASE M16X1.0/43XM12X1.25 </t>
  </si>
  <si>
    <t xml:space="preserve">RESERVOIR CAP 43X15  </t>
  </si>
  <si>
    <t xml:space="preserve">SPACER CAP M24X1.0X18X110 </t>
  </si>
  <si>
    <t xml:space="preserve">SPACER CAP M24X1.0X18X80 </t>
  </si>
  <si>
    <t xml:space="preserve">SPACER CAP M24X1.0X35X45 </t>
  </si>
  <si>
    <t xml:space="preserve">SPACER CAP M24X1.0X18X95 </t>
  </si>
  <si>
    <t xml:space="preserve">SPACER CAP M24X1.0X18X80/24 </t>
  </si>
  <si>
    <t xml:space="preserve">RESERVOIR  TOP TRI ADJUST M60X1.0 AUTO </t>
  </si>
  <si>
    <t xml:space="preserve">RESERVOIR TOP M48X44.3X45.5 FOR PNEUMATIC PRELOAD 456 </t>
  </si>
  <si>
    <t xml:space="preserve">IDOL HI-LOW SPEED RESERVOIR TOP M44/10 </t>
  </si>
  <si>
    <t xml:space="preserve">RESERVOIR TOP IDOL H-L M48XM20X12 </t>
  </si>
  <si>
    <t xml:space="preserve">RESERVOIR TOP M48 W-COM 30 CLICK ALL NEW TOP LINE </t>
  </si>
  <si>
    <t xml:space="preserve">RESERVOIR TOP IDOL 30 CLICK M48/M20X12 </t>
  </si>
  <si>
    <t xml:space="preserve">RESERVOIR TOP M48 W-COM 30 CLICK FOR AUTO RACING </t>
  </si>
  <si>
    <t xml:space="preserve">COMPRESSION VALVE 32X12X14.5/M6X1.0 </t>
  </si>
  <si>
    <t xml:space="preserve">OIL-RETURN HOUSE RW.HI-LOW SPEED 4.4X18/M12X1.1 </t>
  </si>
  <si>
    <t xml:space="preserve">OIL-RETURN HOUSE RW 4.4X18/M12X1.0 </t>
  </si>
  <si>
    <t>MOVING BUSE 50X60X39 FOR 456 SERIES HPA.</t>
  </si>
  <si>
    <t xml:space="preserve">MOVING BUSH 50X60X31 </t>
  </si>
  <si>
    <t xml:space="preserve">ALU SWING BUSH 10X18/28X15 H.P.A. </t>
  </si>
  <si>
    <t xml:space="preserve">ALU MOVING BUSH 59X76X25.5 H.P.A. 506 </t>
  </si>
  <si>
    <t>SWING BUSH 10X18X28X15 HPA. 456 FOR BMW.</t>
  </si>
  <si>
    <t xml:space="preserve">MOVING BUSH 53X72X25 </t>
  </si>
  <si>
    <t xml:space="preserve">SPACER BUSH 48X51X13 </t>
  </si>
  <si>
    <t xml:space="preserve">SPACER BUSH FOR SHAFT 16X22X28X65 </t>
  </si>
  <si>
    <t xml:space="preserve">SPACER BUSH FOR 12X22X35 FOR VESPA </t>
  </si>
  <si>
    <t xml:space="preserve">AL BUSH FOR RUBBER 10X20 </t>
  </si>
  <si>
    <t xml:space="preserve">RING SUPORT 60X95.5/15 </t>
  </si>
  <si>
    <t xml:space="preserve">GAS SCREW M10X1.25/M5 </t>
  </si>
  <si>
    <t>FREE PISTON 36X18  AUTO</t>
  </si>
  <si>
    <t>ALU PISTON 8X18X8  FOR STEELRING DAMPER</t>
  </si>
  <si>
    <t xml:space="preserve"> PISTON 45 FOR 456 SERIES</t>
  </si>
  <si>
    <t xml:space="preserve">ALU TUBE M22X20X25X350 </t>
  </si>
  <si>
    <t xml:space="preserve">RESERVOIR CLAMP 46X18 FOR 456 AUTO </t>
  </si>
  <si>
    <t xml:space="preserve">MAIN REBOUND PALTE 425 </t>
  </si>
  <si>
    <t xml:space="preserve">MAIN REBOUND PLATE 290 29X26.5 </t>
  </si>
  <si>
    <t xml:space="preserve">MAIN REBOUND PALTE 310 </t>
  </si>
  <si>
    <t xml:space="preserve">MAIN REBOUND PALTE 360 </t>
  </si>
  <si>
    <t xml:space="preserve">BUSH CLAMP LOCK 13X60 </t>
  </si>
  <si>
    <t xml:space="preserve">PLATE CLAMP LOCK 15X21X15 </t>
  </si>
  <si>
    <t xml:space="preserve">PLATE CLAMP LOCK  RESERVOIR 15X21X15 </t>
  </si>
  <si>
    <t xml:space="preserve">STEERING DAMPER CLAMP 16 TYPE A </t>
  </si>
  <si>
    <t xml:space="preserve">STEERING DAMPER CLAMP 16 TYPE B </t>
  </si>
  <si>
    <t xml:space="preserve">MONUTING BLOCK 15X15X30/M5  </t>
  </si>
  <si>
    <t xml:space="preserve">SPACE MOUNTING FOR IDOL UPPER EYE 39.5/M10X1.25 OFFSET 4.5 MM. </t>
  </si>
  <si>
    <t xml:space="preserve">SPACER MOUTING FOR IDOL UPPER EYE 38.8/M10X1.25 OFFSET 3.5 MM. FOR 366 </t>
  </si>
  <si>
    <t xml:space="preserve">SPACE MOUNTING FOR IDOL UPPER EYE 27.5/M10X1.25 </t>
  </si>
  <si>
    <t>ADJUSTER KNOB ALU 18XM3X0.5/5.5  FOR STEELRING DAMPER</t>
  </si>
  <si>
    <t>SPACER 14X28X5  PROTOTYPE</t>
  </si>
  <si>
    <t xml:space="preserve">ALU CLAMP FOR RESERVOIR </t>
  </si>
  <si>
    <t xml:space="preserve">ALU CLAMP FOR RESERVOIR BMW I.D.20 </t>
  </si>
  <si>
    <t xml:space="preserve">ALU MOUNTING CLAMP FOR HP. </t>
  </si>
  <si>
    <t xml:space="preserve">RESERVOIR CLAMP 46XM5/M5 </t>
  </si>
  <si>
    <t xml:space="preserve">CLAMP FOR RESERVOIR BMW I.D.2 </t>
  </si>
  <si>
    <t xml:space="preserve">RESERVOIR CLAMP 43 HOLE 8 </t>
  </si>
  <si>
    <t xml:space="preserve">SPACER PLATE 37X125X15/M10X1.25 </t>
  </si>
  <si>
    <t>GUIDE BUSH 10X19X15  FOR STEELRING DAMPER</t>
  </si>
  <si>
    <t xml:space="preserve">SPRING GUIDE BUSH 50X56X17 </t>
  </si>
  <si>
    <t xml:space="preserve">TOP RING M5X0.8X7 </t>
  </si>
  <si>
    <t xml:space="preserve">LOW SPEED ADJUSTER COVER 18.5X26X24 </t>
  </si>
  <si>
    <t xml:space="preserve">LOW SPEED ADJUSTER COVER 18.5X25.6X33 </t>
  </si>
  <si>
    <t xml:space="preserve">ALU TUBE  M29X1.0X31X400/M27X1.0 </t>
  </si>
  <si>
    <t xml:space="preserve">ALU TUBE  M31X1.0X31X400/M27X1.0 </t>
  </si>
  <si>
    <t xml:space="preserve">Z-EYE  26X18X45XM10/M42X1.5 W-O-RING 40X2 SET </t>
  </si>
  <si>
    <t>Z-EYE (2B26-043-95) (+20) 26X18X65XM5/M35X1.25 SET/</t>
  </si>
  <si>
    <t xml:space="preserve">X-EYE (2B26-001-95) 20X22X48XM10/M35X1.25 SET/ </t>
  </si>
  <si>
    <t xml:space="preserve">Z-EYE (2B26-002-98) 26X18X50XM10/M35X1.25 SET </t>
  </si>
  <si>
    <t xml:space="preserve">Z-EYE 26X18X50XM10/M35X1.25 SET </t>
  </si>
  <si>
    <t xml:space="preserve"> Z-NUT(2B26-045-92) 33XM5/M35X1.25/M12X1.25 ALL NEW SET </t>
  </si>
  <si>
    <t xml:space="preserve">Z-EYE (2B26-122-92) 26X18X45XM10/M50X1.5 FOR 456 SERIES W-RONG 48X2 SET  </t>
  </si>
  <si>
    <t xml:space="preserve">Z-EYE (2B26-122-93) 26X18X45XM10/M50X1.5 FOR 456 SERIES W-RONG 48X2 SET  </t>
  </si>
  <si>
    <t xml:space="preserve"> Z NUT ( 2B26-051-91 )43XM10/M42X1.5/M16X1.0 </t>
  </si>
  <si>
    <t>Z-FORK (2B26-052-90) 20X28X65X10MM/M35X1.25 SET/</t>
  </si>
  <si>
    <t xml:space="preserve">G-NUT W-COM (2B26-065-90)40XM20XM48/M42X1.5/M16X1.0 SET </t>
  </si>
  <si>
    <t xml:space="preserve"> G EYE (2B26-241-94) 20X22X50XM5XM44/M35X1.25 90 DEGREE SET </t>
  </si>
  <si>
    <t xml:space="preserve">C FORK (2B26-250-93) 20X22X53XM8XM5XM44/M35X1.25 SET </t>
  </si>
  <si>
    <t xml:space="preserve">C-BOLT (2B26-255-94 ) 29XM5XM44/M35X1.25/M10X1.25 SET </t>
  </si>
  <si>
    <t xml:space="preserve">C-BOLT (2B26-257-90 ) 29XM5XM32/M35X1.25/M10X1.25 SET </t>
  </si>
  <si>
    <t>C-BOTTOM W-COM(2B26-259-90 ) 28XM5XM32/M35X1.25 W-O-RING SET/</t>
  </si>
  <si>
    <t>C-BOTTOM W-COM 21XM5XM32/M35X1.25 W-O-RING SET/</t>
  </si>
  <si>
    <t>C-BOTTOM(2B26-260-90)28XM5XM32/M35X1.25 W-O-RING SET/</t>
  </si>
  <si>
    <t>C-BOTTOM 28XM5XM32/M35X1.25 W-O-RING SET/</t>
  </si>
  <si>
    <t xml:space="preserve">C-EYE W-COM (2B26-270-90) 16X28X40X55XM32/M35X1.25 90 DEGREE/SET  </t>
  </si>
  <si>
    <t xml:space="preserve"> C-EYE  (2B26-274-93) 20X27X50XM5XM44/M35X1.25 SET/</t>
  </si>
  <si>
    <t>Z-NUT (2B26-003-91) 48XM10/M50X1.5/M16X1.0 SET/</t>
  </si>
  <si>
    <t xml:space="preserve">Z-NUT 26X22X65/M50X1.5 W-O-RING 48X2 SET </t>
  </si>
  <si>
    <t xml:space="preserve">Z-NUT 34X22X65/M50X1.5 W-O-RING 48X2.0 SET </t>
  </si>
  <si>
    <t xml:space="preserve">Z-NUT 50/M50X1.5/M12X1.25 W-O-RING 48X2 SET </t>
  </si>
  <si>
    <t>C-BOLT W-COM(2B26-350-90) 29XM5XM32/M35X1.25/M10X1.25 SET/</t>
  </si>
  <si>
    <t xml:space="preserve">O-EYE SCREW(2B25-002-88)(+10)26X18X70/M16X1.0 SET </t>
  </si>
  <si>
    <t xml:space="preserve"> O-EYE SCREW(2B25-003-88) (+20) 26X18X80/M16X1.0 SET </t>
  </si>
  <si>
    <t xml:space="preserve">FORK SCREW (2B25-142-96) 20X28X63XM8/M16 </t>
  </si>
  <si>
    <t xml:space="preserve">FORK SCREW (2B25-050-96) 22X28X63XM8/M16X1.0 </t>
  </si>
  <si>
    <t xml:space="preserve"> FORK SCREW(2B25-042-95) 32X30X70X10MM/M16X1.5 SET/ </t>
  </si>
  <si>
    <t>FORK SCREW (2B25-073-98) 48X28X63XM10/M16X1.0 SET/</t>
  </si>
  <si>
    <t>O-EYE SCREW (2B25-005-91)(+30) 26X18X90/M16X1.0 SET/</t>
  </si>
  <si>
    <t>O-EYE SCREW (2B25-006-91)(+40) 26X18X100/M16X1.0 MTO /SET/</t>
  </si>
  <si>
    <t xml:space="preserve">FORK SCREW (+5) 30X33X68X10/M16X1.0 SET </t>
  </si>
  <si>
    <t xml:space="preserve"> FORK SCREW 32X28X63X10MM/M16X1.0 SET </t>
  </si>
  <si>
    <t xml:space="preserve"> FORK SCREW 30X28X63X10MM/M16X1.0 SET </t>
  </si>
  <si>
    <t xml:space="preserve">FORK SCREW (2B25-088-92) 32X28X63XM10X1.25/M16X1.0 SET </t>
  </si>
  <si>
    <t xml:space="preserve">FORK SCREW (2B25-175-91) 32X28X63X10MM./M16X1.0 SET </t>
  </si>
  <si>
    <t xml:space="preserve">FORK SCREW (2B25-182-92) 27X28X63X12MM./M16X1.0 SET </t>
  </si>
  <si>
    <t>FORK SCREW(2B25-183-92) 20X28X63X10MM/M16X1.0 SET.</t>
  </si>
  <si>
    <t>FORK  SCREW (2B25-192-90) 30X28X63XM10X1.5/SET/</t>
  </si>
  <si>
    <t>FORK SCREW (2B25-193-91)30X28X63X12 MM/12MM/M16X1.0 SET/</t>
  </si>
  <si>
    <t xml:space="preserve">O-EYE SCREW(2B25-203-90)  27X15X60/M16X1.0 SET </t>
  </si>
  <si>
    <t xml:space="preserve"> FORK SCREW(2B25-116-90) 25X21X53X12MM/M16X1.0 GSX 1100S (SP) SET.</t>
  </si>
  <si>
    <t xml:space="preserve"> FORK SCREW(2B25-159-92) 30X28X63X8MM/M16X1.0 SET </t>
  </si>
  <si>
    <t xml:space="preserve">   FORK SCREW (2B25-147-90)   (+10) 20X40X73XM8/M16X1.0  BLACK HALF NUT </t>
  </si>
  <si>
    <t xml:space="preserve"> FORK SCREW (2B25-177-92) 26X28X63X10MM.SPECIAL 22 DEGREE SET </t>
  </si>
  <si>
    <t xml:space="preserve">FORK SCREW(2B25-187-92) 25X28X63XM10X1.5/M16X1.0 SET </t>
  </si>
  <si>
    <t>FORK SCREW (2B25-189-92)36X28X63X10/M16X1.0 SET/</t>
  </si>
  <si>
    <t xml:space="preserve">FORK SCREW (+10) 20X40X73XM8/M16X1.0 SET </t>
  </si>
  <si>
    <t xml:space="preserve">FORK SCREW 25X28X63XM12X1.75/M16X1.0 SET </t>
  </si>
  <si>
    <t xml:space="preserve">O-EYE SCREW TAPER (2B25-241-90) 20X14X38/M16X1.0 SET </t>
  </si>
  <si>
    <t xml:space="preserve"> O-EYE SCREW (2B25-244-90) 30X18X42.5/M16X1.0 </t>
  </si>
  <si>
    <t xml:space="preserve">PRELOAD 55/M42X1.5XM6 SET  </t>
  </si>
  <si>
    <t>PRELOAD MX-56/M42X1.5X20XM6 SET/(2A36-173-00 HEXAGON M6X1.0X20 SUS ไม่เคยสั่งมาประกอบ)</t>
  </si>
  <si>
    <t xml:space="preserve">SHAFT LOCK (2B27-001-92)W-PRELOAD 16X30/M42X1.5 SET/ </t>
  </si>
  <si>
    <t xml:space="preserve">ALU SHAFT LOCK (2B27-013-96)W-PRELOAD 12/M42X1.5 SET/ </t>
  </si>
  <si>
    <t>SPACER LOCK (2B31-238-91)16X22X28X65 SET/</t>
  </si>
  <si>
    <t xml:space="preserve">GAS NEEDLE NO.1 TOOL </t>
  </si>
  <si>
    <t>RESERVOIR M56X1.25  FOR OIL LEVEL</t>
  </si>
  <si>
    <t>STOPPER PLATE 12X54X8/M  FOR OIL LEVEL</t>
  </si>
  <si>
    <t>RESERVOIR CAP M46X1.25  FOR OIL LEVEL</t>
  </si>
  <si>
    <t xml:space="preserve">ALU  HAFT NUT M24X1.0 </t>
  </si>
  <si>
    <t xml:space="preserve">ALU TUBE 20XM24X1.0XLENG  FOR  SHELF TOKYO (400MM) </t>
  </si>
  <si>
    <t xml:space="preserve">ALU TUBE 20XM24X1.0XLENG  FOR  SHELF TOKYO (700MM) </t>
  </si>
  <si>
    <t xml:space="preserve">SUPPORT EYE M24X1.0 </t>
  </si>
  <si>
    <t xml:space="preserve">RESERVOIR OFFSET 28XM32X1.5X93 HPA 506 </t>
  </si>
  <si>
    <t>BODY HOUSE 54X67X28XM5 RIG FOR 456 SERIES HPA.</t>
  </si>
  <si>
    <t xml:space="preserve">BODY HOUSE PRELOAD ADJUSTER M65X1.0 RIG </t>
  </si>
  <si>
    <t xml:space="preserve">BODY HOUSE PRELOAD ADJUSTER M65X1.0/32 RIG </t>
  </si>
  <si>
    <t xml:space="preserve">O-EYE SCREW (+10)26X18X70/M16X1.0 </t>
  </si>
  <si>
    <t xml:space="preserve">FORK SCREW 20X28X63XM10/M16X1.0 </t>
  </si>
  <si>
    <t xml:space="preserve">FORK-W-REB-30X30X70X20MM-M16X1.5 </t>
  </si>
  <si>
    <t xml:space="preserve">FORK W-REB 30X30X70X12MM/15MM./M16X1.5 </t>
  </si>
  <si>
    <t xml:space="preserve">FORK W-BLACK SIDE REB.  20X22X39/M8/M12X1.25 RIG  </t>
  </si>
  <si>
    <t xml:space="preserve">FORK WITH SIDE REBOUND 22X48X95XM16X1.0-M16 </t>
  </si>
  <si>
    <t xml:space="preserve">FORK SCREW 36X28X363X10MM/M16X1.0 </t>
  </si>
  <si>
    <t>FORK-SCREW 30X28X63X12MM-M17-M16X1.0</t>
  </si>
  <si>
    <t xml:space="preserve">O-EYE SCREW TAPER (+10) 20X18X48/M16X1.0 </t>
  </si>
  <si>
    <t xml:space="preserve">O-EYE 20X18X33-M12X1.25 </t>
  </si>
  <si>
    <t xml:space="preserve">O-EYE-SCREW TAPER 30X18X42.5XM16 SET </t>
  </si>
  <si>
    <t xml:space="preserve">O EYE 22X16X42W-BLACK SIDE REBOUND M12X1.25 </t>
  </si>
  <si>
    <t xml:space="preserve">Z EYE (+20) 26X18X65XM5XM35X1.25 </t>
  </si>
  <si>
    <t xml:space="preserve">Z NUT 43XM10XM42XM16X1.0  </t>
  </si>
  <si>
    <t xml:space="preserve">Z EYE 30X18X45XM10XM42X1.5 </t>
  </si>
  <si>
    <t xml:space="preserve">IDOL EYE H-L 26X18X45XM5/M50X1.5 </t>
  </si>
  <si>
    <t xml:space="preserve">IDOL EYE H-L 26X18X45XM5/M50X1.5 RIG </t>
  </si>
  <si>
    <t xml:space="preserve">Z EYE TAPER 20X18X50XM5XM35X1.25 </t>
  </si>
  <si>
    <t xml:space="preserve">Z EYE 23X25X45XM5XM35X1.25  </t>
  </si>
  <si>
    <t xml:space="preserve"> Z-EYE(+30) 26X18X75XM10/M50X1.5  </t>
  </si>
  <si>
    <t xml:space="preserve">IDOL EYE H-L M16X1.0X48XM5XM50X1.5 LEFT </t>
  </si>
  <si>
    <t xml:space="preserve">IDOL NUT H-L M16X1.0X48XM5/M50X1.5 RIG / </t>
  </si>
  <si>
    <t xml:space="preserve">IDOL EYE H-L M16X1.0X48XM5XM50X1.5 RIG </t>
  </si>
  <si>
    <t>BLACK G-EYE W/COM 26X18X50XM20XM44/M42X1.5 RIG 170 DEGREE</t>
  </si>
  <si>
    <t xml:space="preserve">G - EYE TAPER20X14X50XM44/M35X1.25 </t>
  </si>
  <si>
    <t xml:space="preserve"> C-FORK 20X22X53XM8XM5XM44/M35X1.25 RIG</t>
  </si>
  <si>
    <t xml:space="preserve">C-FORK 20X22X53XM8XM5XM44/M35X1.25 RIG  </t>
  </si>
  <si>
    <t xml:space="preserve">C-EYE-TAPER-20X18X50XM5XM44XM35X1.25 </t>
  </si>
  <si>
    <t xml:space="preserve">RETAINER SUPPORT SPRING ID.67 65XM48X1.5-26 </t>
  </si>
  <si>
    <t xml:space="preserve">RETAINER SUPPORT SPRING 56X90X37.5 </t>
  </si>
  <si>
    <t xml:space="preserve">SPACER PRELOAD 50X78X19.5-56 </t>
  </si>
  <si>
    <t xml:space="preserve">LOCK RING M35X1.25 </t>
  </si>
  <si>
    <t xml:space="preserve">LOCK RING M51X1.5X8 </t>
  </si>
  <si>
    <t xml:space="preserve"> PRELOAD MX -56/M50X1.5X20XM6 </t>
  </si>
  <si>
    <t xml:space="preserve">PRELOAD  M42X1.5/60 </t>
  </si>
  <si>
    <t xml:space="preserve">PRELOAD 64-M50X1.0X30 </t>
  </si>
  <si>
    <t xml:space="preserve">PRELOAD LOCK M51X1.5X12 </t>
  </si>
  <si>
    <t xml:space="preserve">PRELOAD LOCK FOR HPA M50X1.5X15.5XM6 </t>
  </si>
  <si>
    <t xml:space="preserve">G BASE IDOL-H-L 25-M16X1.0 </t>
  </si>
  <si>
    <t xml:space="preserve">RESERVOIR CAP M60X1-63X15.5 </t>
  </si>
  <si>
    <t xml:space="preserve">TOP CAP M44X1.0X20 </t>
  </si>
  <si>
    <t xml:space="preserve">AL MOVING BUSH 45X61X25.5 HPA 366 </t>
  </si>
  <si>
    <t xml:space="preserve">SPACER MOUNTING FOR IDOL UPPER EYE 38.8-M10X1.25 OFFSET 3.5 MM FOR 366 </t>
  </si>
  <si>
    <t xml:space="preserve">LOCK RING M52X1.5X8 </t>
  </si>
  <si>
    <t xml:space="preserve">IDOL EYE H-L 26X18X45XM5XM50X1.5 LEFT </t>
  </si>
  <si>
    <t xml:space="preserve">Z-EYE TAPER (2B26-142-93) 20X14X45/M35X1.25 WITH O-RING 32X2 </t>
  </si>
  <si>
    <t xml:space="preserve">Z-UPPER EYE (2B26-055-90) 30X18X45XM10/M42X1.5 </t>
  </si>
  <si>
    <t>G-EYE W-COM 26X18X45XM20XM38/M42X1.5 170 DEGREE RIG SET/BLACK</t>
  </si>
  <si>
    <t xml:space="preserve">G-EYE TAPER 20X18X45XM5/M35/M35X1.25 190 DEGREE LEFT SET/ET </t>
  </si>
  <si>
    <t xml:space="preserve">G-EYE TAPER 20X18X45XM5/M35/M35X1.25 170 DEGREE RIG SET/ET </t>
  </si>
  <si>
    <t xml:space="preserve">C FORK (2B26-251-93) 20X22X53XM8XM5XM44/M35X1.25 RIG  </t>
  </si>
  <si>
    <t>Z FORK (2B26-262-91)24x25x55x10MM/M50x1.5 OFFSET 3 MM. SET/</t>
  </si>
  <si>
    <t xml:space="preserve"> C - FORK(2B26-265-93) 20X22X53XM8XM5XM44/M35X1.25/OFFSET/SET </t>
  </si>
  <si>
    <t>C - FORK(2B26-266-93) 20X22X53XM8XM5XM44/M35X1.25 RIG/OFFSET/</t>
  </si>
  <si>
    <t xml:space="preserve">IDOL HI-LO SPEED RESERVOIR TOP M44X1.0-10-36 </t>
  </si>
  <si>
    <t xml:space="preserve">RESERVOIR M29X1.0X203-62 </t>
  </si>
  <si>
    <t xml:space="preserve">O-EYE-1 SCREW 26X18X70/M16X1.0 </t>
  </si>
  <si>
    <t xml:space="preserve">O-EYE-1 +30 SCREW 26X18X90  </t>
  </si>
  <si>
    <t xml:space="preserve">O-EYE-3 SCREW 20X22X59/M16X1.0 </t>
  </si>
  <si>
    <t>FORK 33X28X48XM10/M12 X1.25</t>
  </si>
  <si>
    <t xml:space="preserve">FORK-17-W/R 30X28X68XM10/M12 </t>
  </si>
  <si>
    <t xml:space="preserve">FORK W-REB  30X28X68XM10/M12X1.25 </t>
  </si>
  <si>
    <t xml:space="preserve">O-EYE W/REBOUND 26X18X53/M12X1.25 </t>
  </si>
  <si>
    <t xml:space="preserve">O-EYE W-REB 26X18X53/M12X1.25 </t>
  </si>
  <si>
    <t xml:space="preserve">O-EYE-11 W/REBOUND 26X18X50/M16 </t>
  </si>
  <si>
    <t xml:space="preserve">FORK 20X28X48XM10/M12 </t>
  </si>
  <si>
    <t xml:space="preserve">FORK -11 20X25X48XM10/M12 </t>
  </si>
  <si>
    <t xml:space="preserve">FORK 1 20X28X48XM8/M12 </t>
  </si>
  <si>
    <t xml:space="preserve">O-EYE 26X18X32/M16X1.0 </t>
  </si>
  <si>
    <t xml:space="preserve">O-EYE-1(-20) 26X18X38/M12X1.25 </t>
  </si>
  <si>
    <t xml:space="preserve">FORK-3-W/R 22X28X68/M8/M12 </t>
  </si>
  <si>
    <t xml:space="preserve">FORK W-REB 22X28X68XM8/M12X1.25 </t>
  </si>
  <si>
    <t xml:space="preserve">FORK-5-W/R 26X28X68/M8/M12 </t>
  </si>
  <si>
    <t xml:space="preserve">FORK-13-W/R 22X28X68/M10/M12 </t>
  </si>
  <si>
    <t xml:space="preserve">FORK-15-W/R 26X28X68/M10/M12 </t>
  </si>
  <si>
    <t xml:space="preserve">FORK W-REB 26X28X68/M10/M12X1.25X1.25 </t>
  </si>
  <si>
    <t xml:space="preserve">O-EYE 20 TAPER 18X58/M12X1.25 </t>
  </si>
  <si>
    <t xml:space="preserve">O-EYE (+30) 20X22X78/M12X1.25 </t>
  </si>
  <si>
    <t xml:space="preserve">O-EYE (+30) 20X20X78/M12X1.25 </t>
  </si>
  <si>
    <t xml:space="preserve">O-EYE (+15)26X18X40/38 </t>
  </si>
  <si>
    <t xml:space="preserve">O-EYE 1 W/REBOUND 26X18X45 </t>
  </si>
  <si>
    <t xml:space="preserve">O-EYE  W/SIDE REBOUND 26X18X45/M12 </t>
  </si>
  <si>
    <t xml:space="preserve">FORK-77-W/R 30X28X68X12/M12 </t>
  </si>
  <si>
    <t xml:space="preserve">FORK W/REBOUND 30X28X68X12MM/M12 </t>
  </si>
  <si>
    <t xml:space="preserve">FORK-79-33X28X48XM12/M12X1.25 </t>
  </si>
  <si>
    <t xml:space="preserve">FORK-10 36X28X48X10MM./M12X1.25 </t>
  </si>
  <si>
    <t xml:space="preserve">FORK 48X28X48X10MM./M12 </t>
  </si>
  <si>
    <t xml:space="preserve">FORK-47-W/R 30X28X68X10/M12 </t>
  </si>
  <si>
    <t>O-EYE 26X18X24 G-HI-LOW SPEED  (6061 T6)</t>
  </si>
  <si>
    <t xml:space="preserve">O-EYE SCREW(+20) 20 TAPERX18X42/M16X1.0 </t>
  </si>
  <si>
    <t xml:space="preserve">O-EYE-2 20X18X50/M12X1.25 </t>
  </si>
  <si>
    <t xml:space="preserve">O-EYE - 20X18X58/M16X1.0 </t>
  </si>
  <si>
    <t xml:space="preserve">O-EYE 20 TAPER X18X58/M12X1.25 </t>
  </si>
  <si>
    <t xml:space="preserve">FORK-11-W/R 20X28X68XM10/M12 </t>
  </si>
  <si>
    <t xml:space="preserve">FORK W-REB 20X28X68XM10/M12X1.25 </t>
  </si>
  <si>
    <t xml:space="preserve">O-EYE 20X22X33/M12 </t>
  </si>
  <si>
    <t xml:space="preserve">O-EYE 20X22X33/M12X1.25 </t>
  </si>
  <si>
    <t xml:space="preserve">X-UPPER EYE M35X20/18XM10  </t>
  </si>
  <si>
    <t xml:space="preserve">Z-UPPER EYE M35X26XM5/LONG  </t>
  </si>
  <si>
    <t xml:space="preserve">Z-UPPER EYE NUT M35X38X10/M12/M5 </t>
  </si>
  <si>
    <t xml:space="preserve">Z-UPPER EYE STRUD M42X1.25/40/M5/M42X1.5 </t>
  </si>
  <si>
    <t xml:space="preserve">Z-UPPER FORK M35-20X28X65X10MM MTO </t>
  </si>
  <si>
    <t xml:space="preserve">G-UPPER EYE-1 26X18/M35X1.25/M44 </t>
  </si>
  <si>
    <t xml:space="preserve">G-UPPER EYE-11 26X18/M42X1.5/M44 W/COM </t>
  </si>
  <si>
    <t xml:space="preserve">G-UPPER EYE-1 26X18/M35X1.25/M44 W/COM </t>
  </si>
  <si>
    <t xml:space="preserve">Z-UPPER EYE- 26X18X50/M35X1.25 </t>
  </si>
  <si>
    <t xml:space="preserve">Z-UPPER EYE M35X20 TAPERXM5 </t>
  </si>
  <si>
    <t xml:space="preserve">Z-UPPER EYE-11 26X18X50/M42X1.5 </t>
  </si>
  <si>
    <t xml:space="preserve">Z-UPPER EYE-11-26X18X50/M42X1.5 </t>
  </si>
  <si>
    <t xml:space="preserve">Z-UPPER EYE M42X26XM10 </t>
  </si>
  <si>
    <t xml:space="preserve">Z-UPPER EYE M56X26XM10/LONG  </t>
  </si>
  <si>
    <t xml:space="preserve">Z-UPPER EYE-11 26X18X70/M42X1.5 </t>
  </si>
  <si>
    <t xml:space="preserve">Z-UPPER EYE M42X26XM10/LONG  </t>
  </si>
  <si>
    <t xml:space="preserve">Z-UPPER EYE M56X26XM10/LONG </t>
  </si>
  <si>
    <t xml:space="preserve">Z-UPPER EYE M56X26XM10 </t>
  </si>
  <si>
    <t xml:space="preserve">X-UPPER EYE 20X22X38/M35/M10  </t>
  </si>
  <si>
    <t>X-UPPER EYE 20X22X38/M35/M10   หมดยกเลิก</t>
  </si>
  <si>
    <t xml:space="preserve">X-UPPER EYE M35X20/20X38XM10 </t>
  </si>
  <si>
    <t xml:space="preserve">X-UPPER EYE M35X20/22XM10 </t>
  </si>
  <si>
    <t>G-UPPER EYE-21-10X28/M56-HI-LO 506  7075</t>
  </si>
  <si>
    <t xml:space="preserve">G-UPPER EYE HI-LOW SPEED M56X26XM20/M44  </t>
  </si>
  <si>
    <t xml:space="preserve">G-HI-LOW SPEED M56X26XM20/M44  </t>
  </si>
  <si>
    <t xml:space="preserve">G-UPPER NUT M16X1.0/M35X1.25/M44X1.0 </t>
  </si>
  <si>
    <t xml:space="preserve">G-UPPER NUT M35XM16XM5/M44  </t>
  </si>
  <si>
    <t xml:space="preserve">G-UPPER EYE M35X20 TAPERXM5/M44 </t>
  </si>
  <si>
    <t xml:space="preserve">RETAINER 60 (+7.5) </t>
  </si>
  <si>
    <t xml:space="preserve">RETAINER 60 (-7.5) </t>
  </si>
  <si>
    <t xml:space="preserve">PRELOAD LOCK M56 </t>
  </si>
  <si>
    <t xml:space="preserve">PRELOAD +10 /14/M6X1.0 </t>
  </si>
  <si>
    <t xml:space="preserve">SEAL BLOCK C36 </t>
  </si>
  <si>
    <t xml:space="preserve">SEAL BLOCK C366 </t>
  </si>
  <si>
    <t>SEAL BLOCK C366  (FOR SPECIAL DUST SEAL)</t>
  </si>
  <si>
    <t xml:space="preserve">CAP 36 </t>
  </si>
  <si>
    <t xml:space="preserve">CAP 50 </t>
  </si>
  <si>
    <t xml:space="preserve"> REBOUND BASE  48.5/M12X1.25XM16X1.0 </t>
  </si>
  <si>
    <t xml:space="preserve">SHORT REBOUND BASE 42/M16X1.5/M16X1.0 </t>
  </si>
  <si>
    <t xml:space="preserve">EYE BASE M16X1/53/M12 </t>
  </si>
  <si>
    <t xml:space="preserve">RESERVOIR TOP 302 </t>
  </si>
  <si>
    <t xml:space="preserve">OIL RETURN HOUSE RW-3 STEP 4.4X18/29 </t>
  </si>
  <si>
    <t xml:space="preserve">PISTON 50 ROAD TYPE </t>
  </si>
  <si>
    <t xml:space="preserve">PISTON 30X12X9/4 HD.SOFTAIL </t>
  </si>
  <si>
    <t>(RAW)</t>
  </si>
  <si>
    <t>CHROME</t>
  </si>
  <si>
    <t>FORK-W-REBOUND-33X28X68XM10-M12</t>
  </si>
  <si>
    <t>FORK-W-REB-22X30X70XM10-M16</t>
  </si>
  <si>
    <t>FORK-W-REB-30X30X70XM10-M16</t>
  </si>
  <si>
    <t>FORK-SCREW 22X28X63XM8-M16</t>
  </si>
  <si>
    <t>FORK-W-REBOUND-22X28X68XM10-M12</t>
  </si>
  <si>
    <t>FORK-W-REB-30X45X90X10MM-M16</t>
  </si>
  <si>
    <t>FORK-NUT-26X28X46-M8-16</t>
  </si>
  <si>
    <t>FORK WITH SIDE REBOUND 25X55X90X10XM16</t>
  </si>
  <si>
    <t>FORK-SCREW 22X28X63X10MM-M16</t>
  </si>
  <si>
    <t>FORK-SCREW 24X28X63X8MM-M16</t>
  </si>
  <si>
    <t>FORK-SCREW 25X28X63X12-M16</t>
  </si>
  <si>
    <t>FORK-SCREW 20X28X63X10MM-M16</t>
  </si>
  <si>
    <t>FORK SCREW LEFT (+10) 26X28X73XM10-M16-OFFSET 4 MM</t>
  </si>
  <si>
    <t>FORK-W-REBOUND-30X28X68X10MM-M12</t>
  </si>
  <si>
    <t>FORK-W-REBOUND-26X30X70X10MM-M16</t>
  </si>
  <si>
    <t>FORK-W-REB-33X30X70X12MM-M16</t>
  </si>
  <si>
    <t>FORK-SCREW-26X28X63X10MM-SPECIAL-22-DEGREE</t>
  </si>
  <si>
    <t>O-EYE-H-L-26X18X21-38</t>
  </si>
  <si>
    <t>O-EYE SCREW 20 TAPER 18X42-M16</t>
  </si>
  <si>
    <t>O-EYE SCREW (+20) 20 TAPER20X 14X58-M16</t>
  </si>
  <si>
    <t>O-EYE SCREW 20X14X38-M16</t>
  </si>
  <si>
    <t>O-EYE WITH SIDE REBOUND 26X18X115XM16</t>
  </si>
  <si>
    <t>O-EYE WITH SIDE REBOUND 26X18X70XM16-45DEGREE</t>
  </si>
  <si>
    <t>O-EYE WITH SIDE REBOUND 26X18X50XM16-45DEGREE</t>
  </si>
  <si>
    <t>Z-EYE-TAPER-34X30X65XM50-M10</t>
  </si>
  <si>
    <t>RESERVOIR-CAP-54X15</t>
  </si>
  <si>
    <t>RESERVOIR TOP M16XM32-10</t>
  </si>
  <si>
    <t>Z NUT 60-M50XM10XM16 W-O-RING 48X2 SET</t>
  </si>
  <si>
    <t>IDOL UPPER EYE M42X10XM10</t>
  </si>
  <si>
    <t>RESERVOIR 46X90 FOR NEW TOP LINE /</t>
  </si>
  <si>
    <t xml:space="preserve">ALU BODY HOUSE FOR 366 SERIES </t>
  </si>
  <si>
    <t xml:space="preserve">ALU BODY HOUSE 50XM76 </t>
  </si>
  <si>
    <t xml:space="preserve">RESERVOIR 46X220 W-FREE-53  </t>
  </si>
  <si>
    <t xml:space="preserve">ALU BODY HOUSE FOR 506 SERIES </t>
  </si>
  <si>
    <t xml:space="preserve">ALU BODY HOUSE 54X82X28-M10 </t>
  </si>
  <si>
    <t>FORK SCREW 20X28X63XM10/M16/</t>
  </si>
  <si>
    <t xml:space="preserve">FORK-SCREW 20X28X63XM10-M16 </t>
  </si>
  <si>
    <t xml:space="preserve">FORK-SCREW 28X28X63X8MM-M16 </t>
  </si>
  <si>
    <t xml:space="preserve">FORK-SCREW 40X45X88X10MM-M16 </t>
  </si>
  <si>
    <t xml:space="preserve">FORK-W-REB-26X30X70X8MM-M16 </t>
  </si>
  <si>
    <t xml:space="preserve">FORK-SCREW 22X28X63XM10-M16 </t>
  </si>
  <si>
    <t xml:space="preserve">FORK-SCREW 30X28X63XM10XM16 </t>
  </si>
  <si>
    <t xml:space="preserve">O-EYE (+30) 26X18X55-38 </t>
  </si>
  <si>
    <t xml:space="preserve">O-EYE(+30) 26X18X55/38 </t>
  </si>
  <si>
    <t xml:space="preserve">FORK-SCREW 48X28X63XM10-M16 </t>
  </si>
  <si>
    <t xml:space="preserve">FORK-SCREW 32X28X63XM10XM16 </t>
  </si>
  <si>
    <t xml:space="preserve">FORK-W-REB-26X30X70X12MM-M16 </t>
  </si>
  <si>
    <t xml:space="preserve">FORK-33X28X28XM10 -HI-LOW SPEED MTO  </t>
  </si>
  <si>
    <t xml:space="preserve">FORK-SCREW 50X28X63X10MM-M16 </t>
  </si>
  <si>
    <t xml:space="preserve">FORK LONG OFFSET 4 MM 26X35X88XM10 </t>
  </si>
  <si>
    <t xml:space="preserve">FORK W-BLACK REBOUND 20X22X49XM8XM12 RIG </t>
  </si>
  <si>
    <t>FORK W-BLACK SIDE REB 20X22X39XM10XM12 RIG</t>
  </si>
  <si>
    <t xml:space="preserve">FORK WITH SIDE REBOUND 20X22X60X10XM16 </t>
  </si>
  <si>
    <t xml:space="preserve">FORK-SCREW 20X28X63XM8-M16 </t>
  </si>
  <si>
    <t>FORK SCREW RIG (+10) 26X28X73XM10-M16-OFFSET 4 MM</t>
  </si>
  <si>
    <t xml:space="preserve">FORK-SCREW 26X28X63X10MM-M16 </t>
  </si>
  <si>
    <t xml:space="preserve">FORK-SCREW-26X28X63XM10-M16 OFFSET 4 MM </t>
  </si>
  <si>
    <t xml:space="preserve">FORK-SCREW 26X28X63XM10-M16 </t>
  </si>
  <si>
    <t xml:space="preserve">FORK-SCREW 26X28X63XM10-M16 SPECIAL </t>
  </si>
  <si>
    <t xml:space="preserve">FORK-SCREW 30X28X63X8MM-M16 </t>
  </si>
  <si>
    <t xml:space="preserve">FORK-W-REBOUND-26X28X68X8MM-M12 </t>
  </si>
  <si>
    <t xml:space="preserve">FORK-SCREW 40X28X63X10MM-M16 </t>
  </si>
  <si>
    <t xml:space="preserve">FORK-SCREW 40X28X63X12MM-M16 </t>
  </si>
  <si>
    <t xml:space="preserve">FORK-W-REBOUND-30X45X90X15MM-M16 </t>
  </si>
  <si>
    <t xml:space="preserve">FORK-SCREW 30X28X63X12MM-M16 </t>
  </si>
  <si>
    <t xml:space="preserve">FORK-W-REB-26X28X68X10MM-M12 </t>
  </si>
  <si>
    <t xml:space="preserve">FORK-SCREW 32X28X63X12MM-M16 </t>
  </si>
  <si>
    <t xml:space="preserve">FORK-SCREW 40X45X88X12MM-M16 </t>
  </si>
  <si>
    <t xml:space="preserve">FORK-SCREW 27X28X63X12MM-M16 </t>
  </si>
  <si>
    <t xml:space="preserve">FORK-SCREW 36X28X63X10MM-M16 </t>
  </si>
  <si>
    <t xml:space="preserve">FORK-SCREW 30X28X63X10MMX12MM-M16 FOR MT09 </t>
  </si>
  <si>
    <t xml:space="preserve">FORK 20X28X48XM8/M12 OFFSET 8 MM  RIG   </t>
  </si>
  <si>
    <t xml:space="preserve">O-EYE-W-SIDE-REBOUND 22X16X72-W-BLACK SIDE REBOUND M12 </t>
  </si>
  <si>
    <t xml:space="preserve">FORK 30X28X48XM10-M12 </t>
  </si>
  <si>
    <t xml:space="preserve">Z NUT 48XM10XM50XM16  </t>
  </si>
  <si>
    <t xml:space="preserve">Z EYE (+10)26X18X55XM10-M42  </t>
  </si>
  <si>
    <t xml:space="preserve">Z-UPPER NUT M56XM16XM10 </t>
  </si>
  <si>
    <t xml:space="preserve">G EYE 26X18X45XM5XM48XM42 </t>
  </si>
  <si>
    <t xml:space="preserve">G NUT W-COM 40XM20XM48XM42XM16  </t>
  </si>
  <si>
    <t xml:space="preserve">G EYE TAPER 20X18X45XM5XM48XM35-170-DEGREE-RIG  </t>
  </si>
  <si>
    <t xml:space="preserve">Z EYE 26X18X65XM10XM42  </t>
  </si>
  <si>
    <t xml:space="preserve">IDOL UPPER EYE M56X10XM10/RIG/ </t>
  </si>
  <si>
    <t>G-UPPER EYE (+35) HI-LOW SPEED M42X26XM20/M44//MTO</t>
  </si>
  <si>
    <t xml:space="preserve">G EYE H-L 26X18X45XM20XM48XM42 </t>
  </si>
  <si>
    <t xml:space="preserve">G-UPPER EYE M35X26XM20-M44-W-COM 3 STEP-OFFSET 4 MM </t>
  </si>
  <si>
    <t xml:space="preserve">G NUT W-COM 53XM20XM48XM35XM16 </t>
  </si>
  <si>
    <t>G-UPPER  EYE M35X20/14XM5/M44/</t>
  </si>
  <si>
    <t xml:space="preserve">G-UPPER EYE M42X26XM20-M44-90DEGREE </t>
  </si>
  <si>
    <t xml:space="preserve">NEW C-BOTTOM FORK-1-RIG 20X22X53/M8/M35/M44 </t>
  </si>
  <si>
    <t xml:space="preserve">NEW C-BOTTOM FORK M35X20/22XM8/M5/M44 RIG </t>
  </si>
  <si>
    <t>NEW C FORK 20X22X53XM8XM44XM35 RIG</t>
  </si>
  <si>
    <t xml:space="preserve">C BOLT W-COM 29XM5XM44XM35XM10 </t>
  </si>
  <si>
    <t xml:space="preserve">C BOLT 29XM5XM44XM35XM10 </t>
  </si>
  <si>
    <t xml:space="preserve">C BOLT 29XM5XM32XM35XM10  </t>
  </si>
  <si>
    <t xml:space="preserve">NEW C-BOTTOM FORK-1-RIG 20X22X53/M10/M35/M44 </t>
  </si>
  <si>
    <t xml:space="preserve">NEW C-BOTTOM FORK M35X20/22XM10/M44/RIG </t>
  </si>
  <si>
    <t xml:space="preserve">Z FORK 24X25X55X10MMXM50 OFF 3 MM  </t>
  </si>
  <si>
    <t xml:space="preserve">Z FORK 24X25X60XM42 OFF 3 MM  </t>
  </si>
  <si>
    <t>NEW C-BOTTOM FORK M35X20X53XM8/M44/RIG/OFFSET/</t>
  </si>
  <si>
    <t>NEW C-BOTTOM FORK M35X20X53X8/M44/OFFSET 4 MM/RIG/</t>
  </si>
  <si>
    <t xml:space="preserve">C EYE W-COM 16X28X40X55XM32-M35 90 DEGREE </t>
  </si>
  <si>
    <t xml:space="preserve">C EYE 16X28X40XM32XM35 </t>
  </si>
  <si>
    <t xml:space="preserve">G-EYE-20X22X45XM5XM48XM35-90DEGREE  </t>
  </si>
  <si>
    <t xml:space="preserve">G EYE 22X16X60XM5XM44XM42 </t>
  </si>
  <si>
    <t xml:space="preserve">NEW C FORK 20X22X53XM8XM5XM44-M35 LEFT  </t>
  </si>
  <si>
    <t xml:space="preserve">NEW C FORK 20X22X53XM8XM5XM44-M35 RIG  </t>
  </si>
  <si>
    <t xml:space="preserve">Z EYE 34X22X65XM50-COLOR  </t>
  </si>
  <si>
    <t xml:space="preserve">C BOLT W-COM 29XM32XM35XM10 </t>
  </si>
  <si>
    <t xml:space="preserve">RETAINER 40XM10X6 </t>
  </si>
  <si>
    <t xml:space="preserve">RETAINER 46X12X11 </t>
  </si>
  <si>
    <t xml:space="preserve">RETAINER 46XM10X11  </t>
  </si>
  <si>
    <t xml:space="preserve">RETAINER 60 (+15) FOR AUTO </t>
  </si>
  <si>
    <t xml:space="preserve">PRELOAD M42-60 -MTO  </t>
  </si>
  <si>
    <t xml:space="preserve">SEAL BLOCK 362 </t>
  </si>
  <si>
    <t>SEAL BLOCK 506  [FOR SPECIAL DUST SEAL]</t>
  </si>
  <si>
    <t xml:space="preserve">RESERVOIR CAP 30X15 </t>
  </si>
  <si>
    <t xml:space="preserve">RESERVOIR TOP M32 W-COM 30 CLICK </t>
  </si>
  <si>
    <t xml:space="preserve">RESERVOIR TOP W COMPRESSION 3 STEP  </t>
  </si>
  <si>
    <t xml:space="preserve">AL MOVING BUSH 59X76X25 </t>
  </si>
  <si>
    <t xml:space="preserve">MOVING BUSH 54X71X27 </t>
  </si>
  <si>
    <t xml:space="preserve">SPACER FOR SHAFT 16-22X28X65 </t>
  </si>
  <si>
    <t xml:space="preserve">ALU-RESERVOIR CLAMP UNIVERSEL ID 49 </t>
  </si>
  <si>
    <t xml:space="preserve">ALU MOUNTING CLAMP FOR HP </t>
  </si>
  <si>
    <t xml:space="preserve">RESERVOIR CLAMP 46 HOLE 20 </t>
  </si>
  <si>
    <t xml:space="preserve">RESERVOIR CLAMP 46 HOLE 13 </t>
  </si>
  <si>
    <t xml:space="preserve">RESERVOIR CLAMP 46 HOLE 18 </t>
  </si>
  <si>
    <t xml:space="preserve">RESERVOIR CLAMP 46XM5 </t>
  </si>
  <si>
    <t xml:space="preserve">ALU TUBE M52X45X205 </t>
  </si>
  <si>
    <t>X-UPPER EYE M35X20/22XM10//SET</t>
  </si>
  <si>
    <t xml:space="preserve">Z EYE 26X18X51XM5-M42 OFFSET SET </t>
  </si>
  <si>
    <t>I DOL UPPER EYE M56XM10/M20/M44/HI-LOW/RIG//SET</t>
  </si>
  <si>
    <t xml:space="preserve">C EYE W-COM 21XM20XM44XM35 SET </t>
  </si>
  <si>
    <t>O-EYE W/REBOUND 26X18X50/M16//SET</t>
  </si>
  <si>
    <t xml:space="preserve">FORK-SCREW 36X28X63X12-M16 SET </t>
  </si>
  <si>
    <t xml:space="preserve">SPACER 44XM48 30 DEGREE </t>
  </si>
  <si>
    <t xml:space="preserve">MOVING BUSH 53X62X25 </t>
  </si>
  <si>
    <t xml:space="preserve">MOVING BUSH 50X60X30 </t>
  </si>
  <si>
    <t xml:space="preserve">O-EYE-W-BLACK-SIDE-REB-34X30X58-M16 </t>
  </si>
  <si>
    <t>FORK W-REB 30X28X68X12MM/M12X1.25X1.25 SPACIAL</t>
  </si>
  <si>
    <t xml:space="preserve">FORK W-REB 30X28X68X12MM/M12X1.25X1.25 SPACIAL </t>
  </si>
  <si>
    <t>Drawing No</t>
  </si>
  <si>
    <t>FORK W-REB 39x28x70x10MMxM16x1.5</t>
  </si>
  <si>
    <t>ขั้นตอนทั้งหมด</t>
  </si>
  <si>
    <t>ขั้นตอน
งานกลึง</t>
  </si>
  <si>
    <t>ขั้นตอน
งานกัด</t>
  </si>
  <si>
    <t>DR-TW-2B25-305-00-01</t>
  </si>
  <si>
    <t>2B25-305-00</t>
  </si>
  <si>
    <t>L4</t>
  </si>
  <si>
    <t>2B27-453-03</t>
  </si>
  <si>
    <t>DR-TW-2B27-453-03-00</t>
  </si>
  <si>
    <t>PRELOAD LOCK M50X1.5X8 FOR HPA 456</t>
  </si>
  <si>
    <t>Z-EYE 26X18X45XM10/M42X1.5</t>
  </si>
  <si>
    <t xml:space="preserve">Z EYE 26X18X45XM10XM42 </t>
  </si>
  <si>
    <t>ALU TUBE M22X20X260</t>
  </si>
  <si>
    <t>REB EYE BASE W SIDE REBOUND 50 M12XM16</t>
  </si>
  <si>
    <t>T</t>
  </si>
  <si>
    <t>PLATINUM GRAY</t>
  </si>
  <si>
    <t>BODY HOUSE 18/M12X1.0X125</t>
  </si>
  <si>
    <t>BODY HOUSE 18/M12X1.0X167</t>
  </si>
  <si>
    <t>BODY HOUSE 18/M12X1.0X140</t>
  </si>
  <si>
    <t>BODY HOUSE 18X7X124  FOR STEELRING DAMPER</t>
  </si>
  <si>
    <t>BODY HOUSE 18/M12X1.0X125   FOR STEELRING DAMPER</t>
  </si>
  <si>
    <t>BODY HOUSE 18X7X166  FOR STEELRING DAMPER</t>
  </si>
  <si>
    <t>BODY HOUSE 18/M12X1.0X167  FOR STEELRING DAMPER</t>
  </si>
  <si>
    <t xml:space="preserve">BODY HOUSE 18/M12X1.0X200 </t>
  </si>
  <si>
    <t xml:space="preserve">RESERVOIR 46X220 W-FREE PISTON/53 </t>
  </si>
  <si>
    <t>BODY HOUSE 18X7X125 ไทเทเนียมเทา FOR STEELRING DAMPER</t>
  </si>
  <si>
    <t>BODY HOUSE 18/M12X1.0X167   FOR STEELRING DAMPER</t>
  </si>
  <si>
    <t xml:space="preserve">RESERVOIR OFFSET 28XM32X1.5X87 H.P. </t>
  </si>
  <si>
    <t>RESERVOIR 46X220 W-FREE-PISTON-FOR-RACING</t>
  </si>
  <si>
    <t>Z-EYE (+10) 26X18X55XM10/M42X1.5</t>
  </si>
  <si>
    <t>G-UPPER EYE 20X18X44/M35X1.25</t>
  </si>
  <si>
    <t>G-UPPERE EYE M35X20XM5/M44/</t>
  </si>
  <si>
    <t>Z-EYE (+20) 26X18X65XM5/M35X1.25</t>
  </si>
  <si>
    <t>Z-UPPER EYE M35X26XM5 OFFSET 8 MM.</t>
  </si>
  <si>
    <t>G-EYE W/COM 26X18X45XM20XM48/M42X1.5 190 DEGREE</t>
  </si>
  <si>
    <t>G EYE W-COM 26X18X45XM20XM48XM42-190 DEGREE COLOR</t>
  </si>
  <si>
    <t>G EYE W-COM 26X18X45XM20XM48XM42-170 DEGREE COLOR</t>
  </si>
  <si>
    <t>G-EYE W/COM 26X18X45XM20XM48/M42X1.5 170 DEGREE</t>
  </si>
  <si>
    <t>G-EYE TAPER 20X18X45XM5XM48/M35X1.25 170 DEGREE RIG</t>
  </si>
  <si>
    <t>G-EYE W-COM 26X18X45XM20XM38/M42X1.5 200 DEGREE LEFT</t>
  </si>
  <si>
    <t>G EYE W-COM 26X18X45XM20XM38-M42-200 DG LEFT</t>
  </si>
  <si>
    <t>Z-UPPER EYE M35X26XM5</t>
  </si>
  <si>
    <t>Z - EYE 26X18X45XM5/M35X1.25</t>
  </si>
  <si>
    <t>Z-EYE 26X18X45/M10/M42X1.5</t>
  </si>
  <si>
    <t>Z-EYE (+20) 26X18X65XM10/M42X1.5</t>
  </si>
  <si>
    <t>ALU TUBE DTG-PLUS 220 M35X30X31.5X155X25 FLAT ดำด้านธรรมดา</t>
  </si>
  <si>
    <t>ALU TUBE DTG-PLUS 220  M35X30X31.5X160X20  FLAT ดำด้านธรรมดา</t>
  </si>
  <si>
    <t>ALU TUBE DTG-PLUS 220  M35X30X31.4X160X20  FLAT ดำด้านธรรมดา</t>
  </si>
  <si>
    <t>ALU TUBE DTG-PLUS 220 M35X30X31.5X170X25 FLAT ดำด้านธรรมดา</t>
  </si>
  <si>
    <t>ALU TUBE DTG-PLUS 220 M35X30X31.4X170X25 FLAT ดำด้านธรรมดา</t>
  </si>
  <si>
    <t xml:space="preserve">ALU TUBE DTG-PLUS 220 M35X30X31.5X180X25 FLAT </t>
  </si>
  <si>
    <t xml:space="preserve">ALU TUBE DTG-PLUS 220 M35X30X31.4X180X25 FLAT </t>
  </si>
  <si>
    <t xml:space="preserve">RESERVOIR 46X70 W-FREE PISTON FOR RACING </t>
  </si>
  <si>
    <t xml:space="preserve">RESERVOIR 46X75 FOR NEW TOP PART </t>
  </si>
  <si>
    <t xml:space="preserve">RESERVOIR 46X75 </t>
  </si>
  <si>
    <t xml:space="preserve">RESERVOIR 46X80 W-FREE PISTON FOR RACING </t>
  </si>
  <si>
    <t xml:space="preserve">RESERVOIR 46X80/M50X1.0 </t>
  </si>
  <si>
    <t xml:space="preserve">RESERVOIR 46X90 </t>
  </si>
  <si>
    <t xml:space="preserve">RESERVOIR 46X90 FOR NEW TOP PART </t>
  </si>
  <si>
    <t xml:space="preserve">RESERVOIR 46X120 W-FREE PISTON </t>
  </si>
  <si>
    <t xml:space="preserve">RESERVOIR 46X140 W-FREE PISTON </t>
  </si>
  <si>
    <t xml:space="preserve">RESERVOIR 46X160 W-FREE PISTON </t>
  </si>
  <si>
    <t xml:space="preserve">NEW RESERVOIR 46X65/M48 </t>
  </si>
  <si>
    <t xml:space="preserve">NEW RESERVOIR 46X120/M48 </t>
  </si>
  <si>
    <t xml:space="preserve">NEW RESERVOIR 36X110/M38X1.0 </t>
  </si>
  <si>
    <t xml:space="preserve">NEW RESERVOIR 43X75/M44 </t>
  </si>
  <si>
    <t xml:space="preserve">NEW RESERVOIR 43X85/M44 </t>
  </si>
  <si>
    <t xml:space="preserve">NEW RESERVOIR 43X120/M44 </t>
  </si>
  <si>
    <t xml:space="preserve">RESERVOIR 58X100/M60X1.0 </t>
  </si>
  <si>
    <t xml:space="preserve">O-EYE SCREW 26X18X60/M16X1.0 </t>
  </si>
  <si>
    <t xml:space="preserve">O-EYE-1 SCREW 26X18X80/M16X1.0 </t>
  </si>
  <si>
    <t xml:space="preserve">O-EYE W/REB 26X18X50/M16X1.5 </t>
  </si>
  <si>
    <t xml:space="preserve">O-EYE W-REB 26X18X50/M16X1.5 </t>
  </si>
  <si>
    <t xml:space="preserve">FORK 20X28X48XM8/M12 </t>
  </si>
  <si>
    <t xml:space="preserve">O-EYE W-REB 26X18X48/M12X1.25 </t>
  </si>
  <si>
    <t xml:space="preserve">FORK SCREW 25X19X52X12MM/M16X1.0 FOR SAEL </t>
  </si>
  <si>
    <t xml:space="preserve"> FORK W-REB 30X30X70X12MM/M16X1.5 </t>
  </si>
  <si>
    <t xml:space="preserve">G - H-L 28XM5XM20XM48/M42X1.5 </t>
  </si>
  <si>
    <t xml:space="preserve">G-EYE W-COM 26X18X45XM20XM48/M42X1.5 </t>
  </si>
  <si>
    <t xml:space="preserve">G-EYE W-COM 26X14X45XM20XM48/M42X1.5 </t>
  </si>
  <si>
    <t xml:space="preserve">G-EYE TAPER 20X18X45XM6XM38/M35X1.25 190 DEGREE LEFT </t>
  </si>
  <si>
    <t xml:space="preserve">G-EYE TAPER 20X18X45XM6XM38/M35X1.25 170 DEGREE RIG </t>
  </si>
  <si>
    <t xml:space="preserve">G-UPPER  EYE 20X14X45XM5XM48/M35X1.25 </t>
  </si>
  <si>
    <t xml:space="preserve">G-EYE TAPER 20X14X45XM5XM48/M35X1.25 </t>
  </si>
  <si>
    <t xml:space="preserve">G - EYE TAPER 20X18X50XM5XM44/M35X1.25 </t>
  </si>
  <si>
    <t xml:space="preserve">G-EYE 20X22X45XM5XM48/M35X1.25 90 DEGREE </t>
  </si>
  <si>
    <t xml:space="preserve">SHAFT LOCK 16X24 </t>
  </si>
  <si>
    <t xml:space="preserve">RETAINER 34X50X10 MATT </t>
  </si>
  <si>
    <t xml:space="preserve">PRELOAD 50/M35X1.25X13XM6 </t>
  </si>
  <si>
    <t xml:space="preserve">RETAINER 46 (-10) </t>
  </si>
  <si>
    <t>RETAINER 46/57 /TOPLINE</t>
  </si>
  <si>
    <t xml:space="preserve">RETAINER 42 (-10) </t>
  </si>
  <si>
    <t xml:space="preserve">RETAINER 50 </t>
  </si>
  <si>
    <t xml:space="preserve">RETAINER 50 (-10) </t>
  </si>
  <si>
    <t xml:space="preserve">NEW PRELOAD M42X13/6/M6 </t>
  </si>
  <si>
    <t xml:space="preserve">END CAP 362 </t>
  </si>
  <si>
    <t xml:space="preserve">REBOUND BASE 46.5/M16X1.5 </t>
  </si>
  <si>
    <t>REB EYE BASE 46.5/M16X1.5/M16X1.0</t>
  </si>
  <si>
    <t xml:space="preserve">REB EYE BASE 46.5/M16X1.5/M16X1.0 </t>
  </si>
  <si>
    <t xml:space="preserve">RESERVOIR CAP 36X15 </t>
  </si>
  <si>
    <t xml:space="preserve">RESERVOIR TOP FOR HI-LOW SPEED  </t>
  </si>
  <si>
    <t xml:space="preserve">COMPRESSION HOUSE M20X1.0XM12X1.0X27.5 </t>
  </si>
  <si>
    <t xml:space="preserve">STEEL TUBE M51X45XL HARD </t>
  </si>
  <si>
    <t xml:space="preserve">Z-EYE (2B26-110-8C) 26X18X45XM5/M35X1.25 SET </t>
  </si>
  <si>
    <t>G-NUT W-COM (2B26-064-81) 45XM20XM48/M42X1.5/M16X1.0 LASER-M SET/</t>
  </si>
  <si>
    <t xml:space="preserve">G-EYE H-L 26X18X45XM20XM48/M42X1.5 SET </t>
  </si>
  <si>
    <t xml:space="preserve"> G EYE (2B26-215-84) 26X18X50XM5XM44/M35X1.25 SET </t>
  </si>
  <si>
    <t>G-EYE TAPER 20X14X45XM5XM48/M35X1.25 ALL NEW SET/</t>
  </si>
  <si>
    <t xml:space="preserve"> G H-L 28XM5XM20XM48/M42X1.5 W-ORING SET </t>
  </si>
  <si>
    <t>G-EYE TAPER 20X18X45XM5/M38/M35X1.25 170 DEGREE RIG SET/</t>
  </si>
  <si>
    <t>PRELOAD (2B27-306-80)42/M35X1.25X13XM6 WITH WORM SCREW M6 SET/</t>
  </si>
  <si>
    <t xml:space="preserve">SHAFT LOCK (2B27-020-83)  16X24 WITH O-RING ALL NEW </t>
  </si>
  <si>
    <t>RESERVOIR 30X120-M33X1.0 MATTE</t>
  </si>
  <si>
    <t xml:space="preserve"> FORK SCREW(2B25-153-54) 26X28X63XM10/M16X1.0 SET/</t>
  </si>
  <si>
    <t>SHAFT LOCK (2B27-010-55) 12X14 WITH O-RING ALL NEW</t>
  </si>
  <si>
    <t xml:space="preserve">SHAFT LOCK (2B27-010-85) 12X14 WITH O-RING SET ALL NEW </t>
  </si>
  <si>
    <t xml:space="preserve">PRELOAD 50/M35X1.25X13XM6 WITH WORM SCREW M6/SET </t>
  </si>
  <si>
    <t>ALU TUBE-M35X30X150</t>
  </si>
  <si>
    <t xml:space="preserve">ALU TUBE-M35X30X110  </t>
  </si>
  <si>
    <t xml:space="preserve">ALU TUBE-M35X30X120 </t>
  </si>
  <si>
    <t xml:space="preserve">ALU TUBE-M35X30X125  </t>
  </si>
  <si>
    <t xml:space="preserve">ALU TUBE-M35X30X130  </t>
  </si>
  <si>
    <t xml:space="preserve">ALU TUBE M35X30X135  </t>
  </si>
  <si>
    <t xml:space="preserve">ALU TUBE-M35X30X140  </t>
  </si>
  <si>
    <t xml:space="preserve">ALU TUBE-M35X30X145 </t>
  </si>
  <si>
    <t xml:space="preserve">ALU TUBE-M35X30X155 </t>
  </si>
  <si>
    <t xml:space="preserve">ALU TUBE-M35X30X160  </t>
  </si>
  <si>
    <t xml:space="preserve">ALU TUBE-M35X30X165  </t>
  </si>
  <si>
    <t xml:space="preserve">ALU TUBE-M35X30X170 </t>
  </si>
  <si>
    <t xml:space="preserve">ALU TUBE-M35X30X175 </t>
  </si>
  <si>
    <t xml:space="preserve">ALU TUBE-M35X30X180 </t>
  </si>
  <si>
    <t xml:space="preserve">ALU TUBE-M35X30X185 </t>
  </si>
  <si>
    <t xml:space="preserve">ALU TUBE-M35X30X190 </t>
  </si>
  <si>
    <t xml:space="preserve"> ALU TUBE M35X30X195 MM</t>
  </si>
  <si>
    <t xml:space="preserve">ALU TUBE-M35X30X200 </t>
  </si>
  <si>
    <t xml:space="preserve">ALU TUBE-M35X30X205 </t>
  </si>
  <si>
    <t xml:space="preserve">ALU TUBE-M35X30X210  </t>
  </si>
  <si>
    <t xml:space="preserve">ALU TUBE-M35X30X215 </t>
  </si>
  <si>
    <t xml:space="preserve">ALU-TUBE-35X30X220 </t>
  </si>
  <si>
    <t xml:space="preserve">ALU TUBE-M35X30X225  </t>
  </si>
  <si>
    <t xml:space="preserve">ALU TUBE-M35X30X235 </t>
  </si>
  <si>
    <t xml:space="preserve">ALU TUBE-M35X30X240 </t>
  </si>
  <si>
    <t xml:space="preserve">ALU TUBE-M35X30X245 </t>
  </si>
  <si>
    <t xml:space="preserve">ALU TUBE-M35X30X250  </t>
  </si>
  <si>
    <t>ALU TUBE DTG-PLUS 222 M35X30X31.4X170X55 .</t>
  </si>
  <si>
    <t xml:space="preserve">RESERVOIR 43X100   </t>
  </si>
  <si>
    <t>RESERVOIR 36X110/M38X1.0 .</t>
  </si>
  <si>
    <t xml:space="preserve">G EYE TAPER 20X18X45XM5XM38-M35-190-DEGREE-LEFT  </t>
  </si>
  <si>
    <t xml:space="preserve">G EYE TAPER 20X18X45XM5XM38-M35-170-DEGREE-RIG  </t>
  </si>
  <si>
    <t xml:space="preserve"> END CAP SHAFT M8X1.25X18 FOR STEELRING DAMPER</t>
  </si>
  <si>
    <t xml:space="preserve">COMPRESSION HOUSE M20X1 MID SPEED AUTO </t>
  </si>
  <si>
    <t>COMPRESSION CAP 5X9/20/</t>
  </si>
  <si>
    <t xml:space="preserve"> ADJUSTER KNOB 18XM3X0.5/10  FOR STEELRING DAMPER</t>
  </si>
  <si>
    <t>. ADJUSTER KNOB 5X14X10 FOR EG</t>
  </si>
  <si>
    <t>ADJUSTER KNOB 8X22XM3X0.5X15.5  .</t>
  </si>
  <si>
    <t>G-NUT(2B26-235-31) 53XM5XM48/M35X1.25/M16X1.0 SET/.</t>
  </si>
  <si>
    <t xml:space="preserve"> G-EYE TAPER (2B26-272-94)20X18X50XM5XM44/M35X1.25  SET/.</t>
  </si>
  <si>
    <t xml:space="preserve">ALU TUBE M32X30X325-MATT- </t>
  </si>
  <si>
    <t xml:space="preserve">NEW G-EYE TAPER 20X18X45XM5XM48/M35X1.25  </t>
  </si>
  <si>
    <t xml:space="preserve">NEEDLE 3 STEP FOR SHAFT 126MM. </t>
  </si>
  <si>
    <t xml:space="preserve">NEEDLE 3 STEP FOR SHAFT 16 MM. 12X33 HOLE 0.8 </t>
  </si>
  <si>
    <t xml:space="preserve">ADJUSTER REBOUND M12X1.0-M8X1.0 </t>
  </si>
  <si>
    <t>HI SPEED ADJUSTER M10X1.0X26XM8X1.0 FOR FRONT FORK MATT (แดงด้าน)</t>
  </si>
  <si>
    <t>REBOUND KNOB 8X22.5XM3X0.5X10 .</t>
  </si>
  <si>
    <t xml:space="preserve">REBOUND KNOB 8X22.5XM4X0.7X10 </t>
  </si>
  <si>
    <t xml:space="preserve">REBOUND KNOB ADJUSTER 22X25X15 MODEL-A </t>
  </si>
  <si>
    <t>TOP PLATE PCD 130X106.5X10X30/M12X1.25 MATT /แดงด้านพิเศษ</t>
  </si>
  <si>
    <t>TOP MOUNT PLATE 95X30/10 MATT .//แดงด้านพิเศษ</t>
  </si>
  <si>
    <t xml:space="preserve">ALU TUBE M22X20X25X215 </t>
  </si>
  <si>
    <t>ALU TUBE M32X30X253 MATT /แดงด้านพิเศษ</t>
  </si>
  <si>
    <t xml:space="preserve">ALU TUBE M32X30X275-MATT- </t>
  </si>
  <si>
    <t>ALU TUBE M32X30X283 MATT .</t>
  </si>
  <si>
    <t xml:space="preserve">ALU TUBE M32X30X300-MATT- </t>
  </si>
  <si>
    <t xml:space="preserve">NEEDLE 3 STEP FOR SHAFT 16 MM 12X33 HOLE 0.8 </t>
  </si>
  <si>
    <t>G-EYE W/COM(2B26-063-51)  26X18X45XM20XM48/M42X1.5 170 DEGREE /</t>
  </si>
  <si>
    <t xml:space="preserve"> OEYE SCREW(2B25-002-98 )  (+10) 26X18X70/M16X1.0 SET. WITH  HALF NUT</t>
  </si>
  <si>
    <t>O-EYE SCREW(2B25-003-98) (+20) 26X18X80/M16X1.0 SET WITH--HALF NUT</t>
  </si>
  <si>
    <t xml:space="preserve"> FORK SCREW (2B25-146-90) (+10) 26X28X73XM10/M16X1.0  HALF NUT</t>
  </si>
  <si>
    <t xml:space="preserve"> FORK SCREW (2B25-147-90) (+10) 20X40X73XM8/M16X1.0   HALF NUT</t>
  </si>
  <si>
    <t>NEW RESERVOIR 46X75/M48</t>
  </si>
  <si>
    <t>NEW RESERVOIR 43X100/M44</t>
  </si>
  <si>
    <t>2B25-290-00</t>
  </si>
  <si>
    <t>O-EYE-W-BLACK-SIDE-REB-34X30X58-M16</t>
  </si>
  <si>
    <t>2B25-420-00</t>
  </si>
  <si>
    <t>DR-TW-2B25-290-00-01</t>
  </si>
  <si>
    <t>DR-TW-2B25-420-00-00</t>
  </si>
  <si>
    <t>DR-TW-2B25-523-00-00</t>
  </si>
  <si>
    <t>O-EYE TAPER 20X14X43-M12X1.25</t>
  </si>
  <si>
    <t>FORK-W-REB-2024X58X8MM-M12X1.25</t>
  </si>
  <si>
    <t>2B25-524-00</t>
  </si>
  <si>
    <t>2B25-523-00</t>
  </si>
  <si>
    <t>DR-TW-2B25-524-00-00</t>
  </si>
  <si>
    <t>O-EYE TAPER 20X18X43-M12X1.25</t>
  </si>
  <si>
    <t>2B26-294-00</t>
  </si>
  <si>
    <t>NEW C EYE 20X27X50XM5XM44-M35 190 DEGREE</t>
  </si>
  <si>
    <t>2B26-323-01</t>
  </si>
  <si>
    <t>DR-TW-2B26-323-01-00</t>
  </si>
  <si>
    <t>Z NUT 50XM50XM12X1.25</t>
  </si>
  <si>
    <t>2B69M111-00</t>
  </si>
  <si>
    <t>DR-TW-2B69M111-80-00</t>
  </si>
  <si>
    <t>NEW RESERVOIR 43X65-M44 W-FREE PISTON</t>
  </si>
  <si>
    <t>Material Code</t>
  </si>
  <si>
    <t>ความยาววัตถุดิบ</t>
  </si>
  <si>
    <t>รายละเอียดวัตถุดิบ</t>
  </si>
  <si>
    <t>DR-TW-6ZD4A193-00-00</t>
  </si>
  <si>
    <t>DR-TW-2B26-002-0A-00</t>
  </si>
  <si>
    <t>DR-TW-2B26-002-09-00</t>
  </si>
  <si>
    <t>DR-TW-2B26-120-0H-00</t>
  </si>
  <si>
    <t>DR-TW-2B26-122-06-00</t>
  </si>
  <si>
    <t>DR-TW-2B24D085-00-00</t>
  </si>
  <si>
    <t>DR-TW-2B24-251-00-00</t>
  </si>
  <si>
    <t>DR-TW-2B19C140-02-00</t>
  </si>
  <si>
    <t>DR-TW-2B26-062-04-00</t>
  </si>
  <si>
    <t>2B28-104-02</t>
  </si>
  <si>
    <t>DR-TW2B28-099-02-00</t>
  </si>
  <si>
    <t>2B28-114-02</t>
  </si>
  <si>
    <t>DR-TW-2B28-115-00-07</t>
  </si>
  <si>
    <t>2B28-139-02</t>
  </si>
  <si>
    <t>2B28-149-02</t>
  </si>
  <si>
    <t>2B28-174-02</t>
  </si>
  <si>
    <t>DR-TW-2B29-427-01-00</t>
  </si>
  <si>
    <t>DR-TW-2B29-231-00-00</t>
  </si>
  <si>
    <t>DR-TW-2B26-231-04-00</t>
  </si>
  <si>
    <t>DR-TW-2B51-215-01-00</t>
  </si>
  <si>
    <t>DR-TW-2B48-212-01-00</t>
  </si>
  <si>
    <t>DR-TW-2B30-020-00-00</t>
  </si>
  <si>
    <t>DR-TW-2B94-092-02-01</t>
  </si>
  <si>
    <t>DR-TW-2B91-194-01-00</t>
  </si>
  <si>
    <t>DR-TW-2B27-161-00-01</t>
  </si>
  <si>
    <t>DR-TW-2B26-122-07-00</t>
  </si>
  <si>
    <t>DR-TW-2B25-264-00-00</t>
  </si>
  <si>
    <t>DR-TW-2B25-323-00-00</t>
  </si>
  <si>
    <t>DR-TW-2B26-280-04-00</t>
  </si>
  <si>
    <t>DR-TW-2B26-244-03-00</t>
  </si>
  <si>
    <t>DR-TW-2B26-234-04-00</t>
  </si>
  <si>
    <t>DR-TW-2B26-110-0F-01</t>
  </si>
  <si>
    <t>DR-TW-2B26-218-03-02</t>
  </si>
  <si>
    <t>DR-TW-2B26-082-01-01</t>
  </si>
  <si>
    <t>DR-TW-2B25-284-00-00</t>
  </si>
  <si>
    <t>DR-TW-2B25-008-04-07</t>
  </si>
  <si>
    <t>DR-TW-2B19-110-05-0A</t>
  </si>
  <si>
    <t>DR-TW-2B24E100-00-00</t>
  </si>
  <si>
    <t>DR-TW-2B27-213-00-00</t>
  </si>
  <si>
    <t>DR-TW-2B29-160-00-00</t>
  </si>
  <si>
    <t>DR-TW-2B27-458-01-00</t>
  </si>
  <si>
    <t>DR-TW-2B24-243-00-00</t>
  </si>
  <si>
    <t>รายละเอียด</t>
  </si>
  <si>
    <t>ยาว/ท่อน</t>
  </si>
  <si>
    <t>GRADE</t>
  </si>
  <si>
    <t>น้ำหนัก/เส้น</t>
  </si>
  <si>
    <t>AL TIG MG 5 ER5356 D.4.0 MM.(IBO-W0002-83591)</t>
  </si>
  <si>
    <t>-</t>
  </si>
  <si>
    <t>MT-27333</t>
  </si>
  <si>
    <t>เพลาหน้าตัด G-UPPER ตัวเล็กรุ่นเก่า</t>
  </si>
  <si>
    <t>6061 T1</t>
  </si>
  <si>
    <t>MT-27350</t>
  </si>
  <si>
    <t xml:space="preserve">เพลาหน้าตัด C-BOTTOM </t>
  </si>
  <si>
    <t xml:space="preserve"> 6061 T1</t>
  </si>
  <si>
    <t>MT-27384</t>
  </si>
  <si>
    <t>เพลาหน้าตัด U- BAR ตัวเล็ก</t>
  </si>
  <si>
    <t>MT-27391</t>
  </si>
  <si>
    <t>ท่อรูปไข่ ทำRESERVOIR CLAMP 46 100มม.*30มม.*25มม.</t>
  </si>
  <si>
    <t>6061 T6</t>
  </si>
  <si>
    <t>MT-27395</t>
  </si>
  <si>
    <t>ท่อเฟื่องอลูมีเนียมโต 76 มม.*รูใน 47.5 มม.*72 มม.</t>
  </si>
  <si>
    <t>MT-27396</t>
  </si>
  <si>
    <t>เพลาหน้าตัด G-EYE M35 NEW</t>
  </si>
  <si>
    <t>MT-27403</t>
  </si>
  <si>
    <t>เพลาหน้าตัดพิเศษ G-UPPER*M42/NEW</t>
  </si>
  <si>
    <t>MT-27423-1</t>
  </si>
  <si>
    <t>ท่ออลูมีเนียมหน้าตัด DAMPER CLAMP 74.8 มม.*13.8 มม*6.5 มม</t>
  </si>
  <si>
    <t>MT-27424</t>
  </si>
  <si>
    <t>ท่ออลูมีเนียม  DAMPER CLAMP 73.50*31.5</t>
  </si>
  <si>
    <t>MT-55023</t>
  </si>
  <si>
    <t>ท่ออลูมีเนียมโตนอก 96มม.*รูใน 40มม.</t>
  </si>
  <si>
    <t>MT-55159</t>
  </si>
  <si>
    <t>ท่ออลูมีเนียมโต 53 มม. * รู 45.8 มม.  ** NEW **2/11/2560</t>
  </si>
  <si>
    <t>**</t>
  </si>
  <si>
    <t>MT-55204</t>
  </si>
  <si>
    <t>ท่ออลูมีเนี่ยมโต 49.5 มม.xรู 43 มม.</t>
  </si>
  <si>
    <t>MT-55208</t>
  </si>
  <si>
    <t>ท่อขนาด 52.5มม.*46 มม.</t>
  </si>
  <si>
    <t>MT-55214</t>
  </si>
  <si>
    <t>ท่ออลูมีเนียมโตนอก 53 มม.*รูใน 32.5 มม.</t>
  </si>
  <si>
    <t>MT-55220</t>
  </si>
  <si>
    <t>ท่ออลูมีเนียมโต 25.7 มม. * รู 19.7 มม   ** NEW **</t>
  </si>
  <si>
    <t>MT-55221</t>
  </si>
  <si>
    <t>ท่ออลูมีเนียมโต 30.7 มม. * รู 24.7 มม.  ** NEW **</t>
  </si>
  <si>
    <t>MT-622</t>
  </si>
  <si>
    <t>เพลาอลูมีเนียม 22.20มม.</t>
  </si>
  <si>
    <t>6063 T1</t>
  </si>
  <si>
    <t>MT-632</t>
  </si>
  <si>
    <t>เพลาอลูมีเนียม โต 63.50 มม.     (ยังของเหลือบางส่วน)</t>
  </si>
  <si>
    <t>MT-633</t>
  </si>
  <si>
    <t>เพลาอลูมีเนียม 76.2 มม.</t>
  </si>
  <si>
    <t>MT-642</t>
  </si>
  <si>
    <t>เพลาอลูมีเนียม 88.9 มม.           (ยังของเหลือบางส่วน)</t>
  </si>
  <si>
    <t>MT-644</t>
  </si>
  <si>
    <t>เพลาอลูมีเนียม 85.72 มม.</t>
  </si>
  <si>
    <t>MT-649</t>
  </si>
  <si>
    <t>MT-666-T1</t>
  </si>
  <si>
    <t>เพลาอลูมีเนียม 46 มม.</t>
  </si>
  <si>
    <t>MT-666-T6</t>
  </si>
  <si>
    <t>MT-667</t>
  </si>
  <si>
    <t>เพลาอลูมีเนียม 52 มม.</t>
  </si>
  <si>
    <t>MT-668</t>
  </si>
  <si>
    <t>เพลาอลูมีเนียม โต 60 มม.         (ยังของเหลือบางส่วน)</t>
  </si>
  <si>
    <t>MT-670</t>
  </si>
  <si>
    <t>เพลาอลูมีเนียม 70 มม.              (ยังของเหลือบางส่วน)</t>
  </si>
  <si>
    <t>MT-672</t>
  </si>
  <si>
    <t>เพลาอลูมีเนียม 36 มม.</t>
  </si>
  <si>
    <t>MT-674</t>
  </si>
  <si>
    <t>เพลาอลูมีเนียม 38.50มม.</t>
  </si>
  <si>
    <t>MT-676</t>
  </si>
  <si>
    <t>เพลาอลูมีเนียม 51 มม.</t>
  </si>
  <si>
    <t>MT-677</t>
  </si>
  <si>
    <t>เพลาอลูมีเนียมโต 41มม.</t>
  </si>
  <si>
    <t xml:space="preserve"> 6061 T6</t>
  </si>
  <si>
    <t>MT-678</t>
  </si>
  <si>
    <t>เพลาอลูมีเนียม 44 มม.</t>
  </si>
  <si>
    <t>MT-8262</t>
  </si>
  <si>
    <t>เพลาอลูมีเนียมเส้นแบน 37มม.*18มม.</t>
  </si>
  <si>
    <t>PF-1276</t>
  </si>
  <si>
    <t xml:space="preserve">เพลาอลูมีเนียม ขนาด 63.5 มม. </t>
  </si>
  <si>
    <t>PF-1296</t>
  </si>
  <si>
    <t xml:space="preserve">เพลาอลูมีเนียม ขนาด 76.2 มม. </t>
  </si>
  <si>
    <t>PF-3174</t>
  </si>
  <si>
    <t>ท่ออลูมีเนียมโต 96 มม.* รูใน 41 มม.</t>
  </si>
  <si>
    <t>PF-4566</t>
  </si>
  <si>
    <t>เพลาอลูมีเนียม โต 85.73 มม.</t>
  </si>
  <si>
    <t>PF-6698</t>
  </si>
  <si>
    <t>เพลาหน้าตัด G-EYE NEW ตัวเล็กทรงเหลี่ยม</t>
  </si>
  <si>
    <t>PF-6699</t>
  </si>
  <si>
    <t>เพลาหน้าตัด G-UPPERตัวเล็กทรงมนโค้ง</t>
  </si>
  <si>
    <t>PF-6767</t>
  </si>
  <si>
    <t>ท่ออลูมีเนียมรูปไข่ 30.3 มม.*100 มม*51.5มม.</t>
  </si>
  <si>
    <t>PF-6923</t>
  </si>
  <si>
    <t>เพลาหน้าตัด G-UPPER M42  (3/2/64 k.ทวีให้เปลี่ยนเกรดเป็น6061 T6 )</t>
  </si>
  <si>
    <t>PF-6935</t>
  </si>
  <si>
    <t>ท่ออลูมีเนียมรูทำ CLAMP 34 MM.</t>
  </si>
  <si>
    <t>PF-6955</t>
  </si>
  <si>
    <t>ท่ออลูมีเนียมโต 96 มม.* รู 39.5 มม.</t>
  </si>
  <si>
    <t>PF-S7106</t>
  </si>
  <si>
    <t>เพลาอลูมีเนียมโต 60 มม.</t>
  </si>
  <si>
    <t>PF-S7108</t>
  </si>
  <si>
    <t>เพลาหน้าตัด C-EURO</t>
  </si>
  <si>
    <t xml:space="preserve">6061 T1 </t>
  </si>
  <si>
    <t>PL 10038</t>
  </si>
  <si>
    <t xml:space="preserve">เพลาอลูมีเนียมหน้าตัดพิเศษ 40.75 มม.*75.33 มม. (มือเบรค) </t>
  </si>
  <si>
    <t>6063 T6</t>
  </si>
  <si>
    <t>PL 10039</t>
  </si>
  <si>
    <t xml:space="preserve">เพลาอลูมีเนียมหน้าตัดพิเศษ 51.83 มม.*74.85 มม. (มือเบรค) </t>
  </si>
  <si>
    <t>PL 10466</t>
  </si>
  <si>
    <t>ท่ออลูมีเนียม โต 24.0 มม*10.0 มม*36.2 มม.</t>
  </si>
  <si>
    <t>PL 10476</t>
  </si>
  <si>
    <t>ท่ออลูมีเนียม โต 24.4 มม.*72.5 มม.*20.6มม.*9.4 มม</t>
  </si>
  <si>
    <t>PL 10932</t>
  </si>
  <si>
    <t>ท่ออลูมีเนียม 24.4 มม*66มม.*36.7มม.*22.00 มม</t>
  </si>
  <si>
    <t>PL 10942</t>
  </si>
  <si>
    <t>ท่ออลูมีเนียม โต 60 มม.*รู 44.7 มม.</t>
  </si>
  <si>
    <t>PL 10964</t>
  </si>
  <si>
    <t>ท่ออลูมีเนี่ยมโต 63xรู32มม.</t>
  </si>
  <si>
    <t xml:space="preserve">PL 11483 </t>
  </si>
  <si>
    <t>ท่ออลูมีเนียม โต 60 มม.*รู 42.8 มม.</t>
  </si>
  <si>
    <t>PL 11484</t>
  </si>
  <si>
    <t>ท่ออลูมีเนียม โต 10มม.*รู4มม. 27/3/2561</t>
  </si>
  <si>
    <t>PL 11657</t>
  </si>
  <si>
    <t>เพลาอลูมีเนียมหน้าตัด G-M35/NEW **NEW15/6/61**</t>
  </si>
  <si>
    <t>PL 11658</t>
  </si>
  <si>
    <t>ท่ออลูมีเนียมโต 52.5 มม.*รูใน 46 มม.  **NEW15/6/61**</t>
  </si>
  <si>
    <t>PL 11686</t>
  </si>
  <si>
    <t>ท่ออลูมีเนียมโต 52 มม.*รูใน 44.8 มม. **NEW 1/8/61**</t>
  </si>
  <si>
    <t>PL 12105</t>
  </si>
  <si>
    <t>ท่ออลูมีเนียมโต 51.5 มม.xรูใน 44.8 มม</t>
  </si>
  <si>
    <t>PL 12110</t>
  </si>
  <si>
    <t>ท่ออลูมีเนียมโต 36 มม.xรูใน 29.8 มม.</t>
  </si>
  <si>
    <t>PL 12141</t>
  </si>
  <si>
    <t>PL 12142</t>
  </si>
  <si>
    <t>ท่ออลูมีเนียมโต 25.8 มม.xรูใน 19.8 มม.</t>
  </si>
  <si>
    <t>PL 12143</t>
  </si>
  <si>
    <t>ท่ออลูมีเนียมโต 31.8 มม.xรูใน 24.8 มม.</t>
  </si>
  <si>
    <t>PL 12326</t>
  </si>
  <si>
    <t>ท่อเฟืองอลูมีเนียม โต 71 มม.*รูใน 48 มม.(NEW 23/9/63)</t>
  </si>
  <si>
    <t>PL 6455</t>
  </si>
  <si>
    <t>เพลาอลูมีเนียมโต 16 มม.</t>
  </si>
  <si>
    <t>PL 6456</t>
  </si>
  <si>
    <t>เพลาอลูมีเนียมโต 19.1 มม.</t>
  </si>
  <si>
    <t>PL 6459</t>
  </si>
  <si>
    <t>ท่ออลูมีเนียมโตนอก 37.30 มม.* รู 29.7 มม.</t>
  </si>
  <si>
    <t>PL 6461</t>
  </si>
  <si>
    <t>เพลาอลูมีเนียมโต 36.5 มม.</t>
  </si>
  <si>
    <t>PL 6462</t>
  </si>
  <si>
    <t>ท่ออลูมีเนี่ยมโต 58 มม.x รู 31.5 มม.</t>
  </si>
  <si>
    <t>PL 6494</t>
  </si>
  <si>
    <t xml:space="preserve">ท่ออลูมีเนียมโต 42.5 มม.x รู 35.8 มม. </t>
  </si>
  <si>
    <t>PL 6510</t>
  </si>
  <si>
    <t>เพลาอลูมีเนี่ยมเส้นแบน 37 มม.xหนา 18 มม.</t>
  </si>
  <si>
    <t>PL 6534</t>
  </si>
  <si>
    <t xml:space="preserve">เพลาอลูมีเนียมโต 55 มม.                    </t>
  </si>
  <si>
    <t>PL 6728</t>
  </si>
  <si>
    <t>เพลาอลูมีเนี่ยมโต 25.2 มม.</t>
  </si>
  <si>
    <t>PL 6734</t>
  </si>
  <si>
    <t>เพลาอลูมีเนี่ยมโต 38.5มม.</t>
  </si>
  <si>
    <t>PL 6735</t>
  </si>
  <si>
    <t>เพลาอลูมีเนี่ยมโต 45 มม.</t>
  </si>
  <si>
    <t>PL 6736</t>
  </si>
  <si>
    <t>เพลาอลูมีเนี่ยมโต 51มม.</t>
  </si>
  <si>
    <t>PL 6934</t>
  </si>
  <si>
    <t>ท่ออลูมีเนี่ยมโต 49.5 มม.xรู43มม.</t>
  </si>
  <si>
    <t>PL 6991</t>
  </si>
  <si>
    <t>เพลาอลูมีเนียมโต 28.5 มม.</t>
  </si>
  <si>
    <t>PL 6992</t>
  </si>
  <si>
    <t>เพลาอลูมีเนียมโต 22.5 มม.</t>
  </si>
  <si>
    <t>PL 7134</t>
  </si>
  <si>
    <t>ท่ออลูมีเนียมโต 64มม.*รู58มม.</t>
  </si>
  <si>
    <t>PL 7201</t>
  </si>
  <si>
    <t>เพลาอลูมีเนียมโต 41 มม</t>
  </si>
  <si>
    <t>PL 7202</t>
  </si>
  <si>
    <t>ท่ออลูมีเนียมโต 52.5 มม. *รู 46 มม.</t>
  </si>
  <si>
    <t xml:space="preserve"> 6063 T6</t>
  </si>
  <si>
    <t>PL 7459</t>
  </si>
  <si>
    <t>ท่ออลูมีเนียมโต 49.5 มม.*รู 31.5 มม.</t>
  </si>
  <si>
    <t>PL 7688</t>
  </si>
  <si>
    <t xml:space="preserve">เพลาหน้าตัดตัวY </t>
  </si>
  <si>
    <t>PL 7689</t>
  </si>
  <si>
    <t>ALU T-BAR ตัวเล็ก * 2 ม.</t>
  </si>
  <si>
    <t>PL 7745</t>
  </si>
  <si>
    <t xml:space="preserve">เพลาหน้าตัดพิเศษ *ยาว 0.95 ม.  </t>
  </si>
  <si>
    <t>PL 7855</t>
  </si>
  <si>
    <t>เพลาหน้าตัด ตัวYใหม่</t>
  </si>
  <si>
    <t>PL 7879</t>
  </si>
  <si>
    <t>ท่ออลูมีเนียมโต 78มม.*8 แฉก.</t>
  </si>
  <si>
    <t>PL 7959</t>
  </si>
  <si>
    <t>เพลาหน้าตัด C-BOTTOM</t>
  </si>
  <si>
    <t>PL 9225</t>
  </si>
  <si>
    <t>ท่ออลูมีเนียมโต 35มม.xรู30มม.(พิเศษ)</t>
  </si>
  <si>
    <t>เพลาหน้าตัดพิเศษ 46 มม.* 75.5 มม.* 68 มม</t>
  </si>
  <si>
    <t>PL 9308</t>
  </si>
  <si>
    <t>เพลาอูมีเนียมหน้าตัดพิเศษ 22.5มม*52มม*50มมม.</t>
  </si>
  <si>
    <t>PL 9458</t>
  </si>
  <si>
    <t xml:space="preserve">เพลาอลูมีเนียมหน้าตัดพิเศษ (มือเบรค) </t>
  </si>
  <si>
    <t>PL 9573</t>
  </si>
  <si>
    <t>PL 9694</t>
  </si>
  <si>
    <t xml:space="preserve">เพลาอลูมีเนียมโต 92.97มม*45.95มม.*9.45มม.(มือเบรค) </t>
  </si>
  <si>
    <t>PL 9695</t>
  </si>
  <si>
    <t xml:space="preserve">เพลาอลูมีเนียมโต 65.11มม*41.35มม.*5 มม. (มือเบรค) </t>
  </si>
  <si>
    <t>PL 9696</t>
  </si>
  <si>
    <t xml:space="preserve">เพลาอลูมีเนียมโต8.74 มม.*90.43มม.19.53มม. (มือเบรค) </t>
  </si>
  <si>
    <t>PL 9697</t>
  </si>
  <si>
    <t xml:space="preserve">เพลาอลูมีเนียมโต51.12มม*39มม*14.6มม. (มือเบรค) </t>
  </si>
  <si>
    <t>PL 9698</t>
  </si>
  <si>
    <t xml:space="preserve">เพลาอลูมีเนียมโต29.3มม*17.9มม.*5.8มม. (มือเบรค) </t>
  </si>
  <si>
    <t>PL 9699</t>
  </si>
  <si>
    <t xml:space="preserve">เพลาอลูมีเนียมโต44.75มม.*41.15มม*5มม. (มือเบรค) </t>
  </si>
  <si>
    <t>PL 9713</t>
  </si>
  <si>
    <t xml:space="preserve">เพลาอลูมีเนียม มือเบรค 24.5 MM*14.5 MM*165 MM (มือเบรค) </t>
  </si>
  <si>
    <t>PL 9739</t>
  </si>
  <si>
    <t xml:space="preserve">เพลาหน้าตัด พิเศษ*ยาว 2 ม. (มือเบรค) </t>
  </si>
  <si>
    <t>PL 9912</t>
  </si>
  <si>
    <t xml:space="preserve">ALU T-BAR 19มม.*54มม.*69มม*ยาว 1.4 ม.  </t>
  </si>
  <si>
    <t>PL12292</t>
  </si>
  <si>
    <t>ท่ออลูมีเนียมโต 35 มม.xรูใน 30 มม.</t>
  </si>
  <si>
    <t>PL 9307</t>
  </si>
  <si>
    <t>DR-TW-2B48-002-00-00</t>
  </si>
  <si>
    <t>DR-TW-2B48-004-00-00</t>
  </si>
  <si>
    <t>DR-TW-2B48-005-00-00</t>
  </si>
  <si>
    <t>DR-TW-2B48-210-00-00</t>
  </si>
  <si>
    <t>DR-TW-2B29-401-00-00</t>
  </si>
  <si>
    <t>DR-TW-2B29-402-00-00</t>
  </si>
  <si>
    <t>DR-TW-2B29-412-01-00</t>
  </si>
  <si>
    <t>DR-TW-2B29-420-01-00</t>
  </si>
  <si>
    <t>DR-TW-2B29-421-00-01</t>
  </si>
  <si>
    <t>DR-TW-2B29-424-00-R-00</t>
  </si>
  <si>
    <t>84X53.5X45</t>
  </si>
  <si>
    <t>DR-TW-2B29-428-03-01</t>
  </si>
  <si>
    <t>DR-TW-2B29-429-00-01</t>
  </si>
  <si>
    <t>DR-TW-2B29-430-02-01</t>
  </si>
  <si>
    <t>DR-TW-2B29-431-01-00</t>
  </si>
  <si>
    <t>DR-TW-2B29-432-01-00</t>
  </si>
  <si>
    <t>DR-TW-2B29-433-00-01</t>
  </si>
  <si>
    <t>DR-TW-2B24-218-00-00</t>
  </si>
  <si>
    <t>DR-TW-2B29-300-01-00</t>
  </si>
  <si>
    <t>MT 672</t>
  </si>
  <si>
    <t>DR-TW-2B29-311-00-00</t>
  </si>
  <si>
    <t>DR-TW-2B29-330-04-00</t>
  </si>
  <si>
    <t>DR-TW-2B29-331-02-01</t>
  </si>
  <si>
    <t>40X17.5</t>
  </si>
  <si>
    <t>DR-TW-2B04-300-02-00</t>
  </si>
  <si>
    <t>DR-TW-2B04-315-02-00</t>
  </si>
  <si>
    <t>DR-TW-2B24-060-01-R-01</t>
  </si>
  <si>
    <t>2B24-075B01-01</t>
  </si>
  <si>
    <t>53X45.6X77</t>
  </si>
  <si>
    <t>53X45.6X87</t>
  </si>
  <si>
    <t>53X45.6X92</t>
  </si>
  <si>
    <t>DR-TW-2B24C110-00-01</t>
  </si>
  <si>
    <t>DR-TW-2B24-220C00-00</t>
  </si>
  <si>
    <t>DR-TW-2B54-095-00-01</t>
  </si>
  <si>
    <t>DR-TW-2B55-095-00-00</t>
  </si>
  <si>
    <t>DR-TW-2B04A180-00-00</t>
  </si>
  <si>
    <t>DR-TW-2B51-207-00-00</t>
  </si>
  <si>
    <t>DR-TW-2B52-275-00-00</t>
  </si>
  <si>
    <t>DR-TW-2B19A308-01-02</t>
  </si>
  <si>
    <t>DR-TW-2B25-325-00-00</t>
  </si>
  <si>
    <t>DR-TW-2B53-400-02-00</t>
  </si>
  <si>
    <t>2B26-111-01</t>
  </si>
  <si>
    <t>DR-TW-2B26-111-01-00</t>
  </si>
  <si>
    <t>Z EYE TAPER 30X27X65/M50X1.5/M10X1.25</t>
  </si>
  <si>
    <t>DR-TW2B26-048-01-00</t>
  </si>
  <si>
    <t>ZM3510</t>
  </si>
  <si>
    <t>MATT FORDGE Z ตัวเล็ก</t>
  </si>
  <si>
    <t>ZM4210</t>
  </si>
  <si>
    <t>MATT FORDGE Z ตัวใหญ่</t>
  </si>
  <si>
    <t>DR-TW-2B26-009-02-00</t>
  </si>
  <si>
    <t>DR-TW-2B26-043-08-01</t>
  </si>
  <si>
    <t>DR-TW-2B88-048-04-01</t>
  </si>
  <si>
    <t>DR-TW-2B26-126-0J-00</t>
  </si>
  <si>
    <t>DR-TW-2B26-127-02-00</t>
  </si>
  <si>
    <t>70x98.5</t>
  </si>
  <si>
    <t>DR-TW-2B26-128-00-00</t>
  </si>
  <si>
    <t>DR-TW-2B26-129-04-00</t>
  </si>
  <si>
    <t>DR-TW-2B26-142-05-02</t>
  </si>
  <si>
    <t>DR-TW-2B26-321-00-01</t>
  </si>
  <si>
    <t>DR-TW-2B26-003-04-00</t>
  </si>
  <si>
    <t>ZM5010</t>
  </si>
  <si>
    <t>MATT FORDGE Z ตัวกลาง</t>
  </si>
  <si>
    <t>DR-TW-2B26-051-05-00</t>
  </si>
  <si>
    <t>DR-TW-2B26-322-02-00</t>
  </si>
  <si>
    <t>DR-TW-2B88-324-00-00</t>
  </si>
  <si>
    <t>DR-TW-2B26-052-02-00</t>
  </si>
  <si>
    <t>DR-TW-2B26-066-04-00</t>
  </si>
  <si>
    <t>DR-TW-2B26-067-04-00</t>
  </si>
  <si>
    <t>DR-TW-2B26-163-03-00</t>
  </si>
  <si>
    <t>DR-TW-2B25-267-00-00</t>
  </si>
  <si>
    <t>DR-TW-2B25-061-01-00</t>
  </si>
  <si>
    <t>DR-TW-2B25-062-01-00</t>
  </si>
  <si>
    <t>DR-TW-2B25-063-03-04</t>
  </si>
  <si>
    <t>DR-TW-2B25-209-00-00</t>
  </si>
  <si>
    <t>DR-TW-2B25-229-04-00</t>
  </si>
  <si>
    <t>DR-TW-2B25-237-00-00</t>
  </si>
  <si>
    <t>DR-TW-2B25-400-00-00</t>
  </si>
  <si>
    <t>DR-TW-2B25-401-00-00</t>
  </si>
  <si>
    <t>DR-TW-2B25-012-05-01</t>
  </si>
  <si>
    <t>DR-TW-2B25-026-02-01</t>
  </si>
  <si>
    <t>DR-TW-2B25-226-01-00</t>
  </si>
  <si>
    <t>DR-TW-2B25-223-00-00</t>
  </si>
  <si>
    <t>DR-TW-2B25-261-02-00</t>
  </si>
  <si>
    <t>DR-TW-2B25-262-02-00</t>
  </si>
  <si>
    <t>DR-TW-2B25-265-00-00</t>
  </si>
  <si>
    <t>DR-TW-2B25-280-00-00</t>
  </si>
  <si>
    <t>DR-TW-2B25-281-00-00</t>
  </si>
  <si>
    <t>DR-TW-2B25-282-01-00</t>
  </si>
  <si>
    <t>DR-TW-2B25-285-01-01</t>
  </si>
  <si>
    <t>DR-TW-2B25-286-00-00</t>
  </si>
  <si>
    <t>DR-TW-2B25-287-00-00</t>
  </si>
  <si>
    <t>DR-TW-2B25-085-00-01</t>
  </si>
  <si>
    <t>DR-TW-2B25-113-00-00</t>
  </si>
  <si>
    <t>DR-TW-2B25-131-00-01</t>
  </si>
  <si>
    <t>DR-TW-2B25-132-01-00</t>
  </si>
  <si>
    <t>DR-TW-2B25-134-00-00</t>
  </si>
  <si>
    <t>DR-TW-2B25-321-00-00</t>
  </si>
  <si>
    <t>DR-TW-2B25-013-05-04</t>
  </si>
  <si>
    <t>MT-666</t>
  </si>
  <si>
    <t>DR-TW-2B25-022-05-08</t>
  </si>
  <si>
    <t>DR-TW-2B91-073-00-00</t>
  </si>
  <si>
    <t>DR-TW-2B91-074-00-00</t>
  </si>
  <si>
    <t>DR-TW-2B91-076-00-R-00</t>
  </si>
  <si>
    <t>DR-TW-2B91-077-00-R-00</t>
  </si>
  <si>
    <t>DR-TW-2B91-094-01-01</t>
  </si>
  <si>
    <t>DR-TW-2B25-158-02-00</t>
  </si>
  <si>
    <t>DR-TW-2B25-177-02-00</t>
  </si>
  <si>
    <t>DR-TW-2B25-191-01-00</t>
  </si>
  <si>
    <t>DR-TW-2B91-194-91-00</t>
  </si>
  <si>
    <t>DR-TW-2B91-195-00-00</t>
  </si>
  <si>
    <t>DR-TW-2B25-009-08-01</t>
  </si>
  <si>
    <t>DR-TW-2B25-024-01-00</t>
  </si>
  <si>
    <t>DR-TW-2B25-009-08-00</t>
  </si>
  <si>
    <t>2B91-247-00</t>
  </si>
  <si>
    <t>DR-TW-2B91-247-00-00</t>
  </si>
  <si>
    <t>O EYE SCREW 26X18X60XM16</t>
  </si>
  <si>
    <t>DR-TW-2B25-030-02-00</t>
  </si>
  <si>
    <t>DR-TW-2B25-034-92-05</t>
  </si>
  <si>
    <t>2B26-400-00</t>
  </si>
  <si>
    <t>DR-TW-2B26-400-00-00</t>
  </si>
  <si>
    <t>Z EYE 22X16X60XM5/M42X1.5</t>
  </si>
  <si>
    <t>2B26-370-00</t>
  </si>
  <si>
    <t>O-EYE-34X30X55-M10X1.25</t>
  </si>
  <si>
    <t>2B26-371-00</t>
  </si>
  <si>
    <t>DR-TW-2B26-371-00-00</t>
  </si>
  <si>
    <t>DR-TW-2B26-370-00-00</t>
  </si>
  <si>
    <t>O-EYE-34X30X110-M10X1.25</t>
  </si>
  <si>
    <t>FORK-SCREW-25X28X63X10MM/M16</t>
  </si>
  <si>
    <r>
      <rPr>
        <sz val="11"/>
        <rFont val="Tahoma"/>
        <family val="2"/>
      </rPr>
      <t>Ø</t>
    </r>
    <r>
      <rPr>
        <sz val="9.35"/>
        <rFont val="Calibri"/>
        <family val="2"/>
      </rPr>
      <t>44</t>
    </r>
    <r>
      <rPr>
        <sz val="11"/>
        <rFont val="Calibri"/>
        <family val="2"/>
      </rPr>
      <t xml:space="preserve"> x 78</t>
    </r>
  </si>
  <si>
    <t>DR-TW-2B28A117-00-14</t>
  </si>
  <si>
    <t>2B28A170-00</t>
  </si>
  <si>
    <t>NEEDLE 15 DEGREE 4.0X170</t>
  </si>
  <si>
    <t>2B28A160-00</t>
  </si>
  <si>
    <t>2B28A133-00</t>
  </si>
  <si>
    <t>NEEDLE 15 DEGREE 4.0X160</t>
  </si>
  <si>
    <t>NEEDLE 15 DEGREE 4.0X133</t>
  </si>
  <si>
    <t>ท่อเฟืองอลูมีเนียมิ โต 71 มม. รูใน 48 มม.</t>
  </si>
  <si>
    <t>PRELOAD-ADJUSTER-M50X72X10</t>
  </si>
  <si>
    <t>DR-TW-2B26-282-00-00</t>
  </si>
  <si>
    <t>GM4220</t>
  </si>
  <si>
    <t>DR-TW-2B26-283-00-00</t>
  </si>
  <si>
    <t>2B25-400-01</t>
  </si>
  <si>
    <t>DR-TW-2B25-400-01-00</t>
  </si>
  <si>
    <t>O-EYE 22X16X38XM12X1.25</t>
  </si>
  <si>
    <t>DR-TW-2B25-401-01-00</t>
  </si>
  <si>
    <t>O-EYE (+30) 22X16X68-M12X1.25</t>
  </si>
  <si>
    <t>2B25-401-01</t>
  </si>
  <si>
    <t>2B91-097-00</t>
  </si>
  <si>
    <t>DR-TW-2B91-097-00-01</t>
  </si>
  <si>
    <t>2B27-180-00</t>
  </si>
  <si>
    <t>2B19D165-02</t>
  </si>
  <si>
    <t>DR-TW-2B25-268-90-00</t>
  </si>
  <si>
    <t>DR-TW-2B26-124-03-00</t>
  </si>
  <si>
    <t>DR-TW-2B26-250-05-00</t>
  </si>
  <si>
    <t>CM3510</t>
  </si>
  <si>
    <t>DR-TW-2B26-228-01-00</t>
  </si>
  <si>
    <t>GM3518</t>
  </si>
  <si>
    <t>DR-TW-2B26-229-02-00</t>
  </si>
  <si>
    <t>DR-TW-2B26-211-03-02</t>
  </si>
  <si>
    <t>DR-TW-2B26-064-03-00</t>
  </si>
  <si>
    <t>GM4210</t>
  </si>
  <si>
    <t>MATT FORDGE G M35</t>
  </si>
  <si>
    <t>MATT FORDGE G M42</t>
  </si>
  <si>
    <t>MATT FORDGE C M35</t>
  </si>
  <si>
    <t>GM3510</t>
  </si>
  <si>
    <t>DR-TW-2B26-274-05-00</t>
  </si>
  <si>
    <t>DR-TW-2B24-211-09-00</t>
  </si>
  <si>
    <t>DR-TW-2B27-127-01-00</t>
  </si>
  <si>
    <t>DR-TW-2B94-055-01-00</t>
  </si>
  <si>
    <t>DR-TW-2B27-128-01-00</t>
  </si>
  <si>
    <t>DR-TW-2B94-030-01-00</t>
  </si>
  <si>
    <t>DR-TW-2B26-045-04-00</t>
  </si>
  <si>
    <t>DR-TW-2B26-235-03-01</t>
  </si>
  <si>
    <t>DR-TW-2B26-255-06-00</t>
  </si>
  <si>
    <t>DR-TW-2B26-215-07-00</t>
  </si>
  <si>
    <t>DR-TW-2B24-230-01-01</t>
  </si>
  <si>
    <t>l2</t>
  </si>
  <si>
    <t>CM3520</t>
  </si>
  <si>
    <t>MATT FORDGE C EURO M35</t>
  </si>
  <si>
    <t>DR-TW-2B26-293-00-00</t>
  </si>
  <si>
    <t>DR-TW-2B26-292-00-00</t>
  </si>
  <si>
    <t>DR-TW-2B26-256-04-00</t>
  </si>
  <si>
    <t>l3</t>
  </si>
  <si>
    <t>DR-TW-2B24-210-01-00</t>
  </si>
  <si>
    <t>DR-TW-2B26-080-02-00</t>
  </si>
  <si>
    <t>DR-TW-2B27-152-00-00</t>
  </si>
  <si>
    <t>DR-TW-2B52-253-04-00</t>
  </si>
  <si>
    <t>ALU TUBE M32X30X253 MATT .</t>
  </si>
  <si>
    <t>DR-TW-2B48-068-00-00</t>
  </si>
  <si>
    <t>PL6991</t>
  </si>
  <si>
    <t>DR-TW-2B24-220-03-R-01</t>
  </si>
  <si>
    <t>DR-TW-2B24-300-01-00</t>
  </si>
  <si>
    <t>DR-TW-2B27-459-00-00</t>
  </si>
  <si>
    <t>DR-TW-2B26-279-02-00</t>
  </si>
  <si>
    <t>DR-TW-2B27-211-00-00</t>
  </si>
  <si>
    <t>DR-TW-2B24-229-04-00</t>
  </si>
  <si>
    <t>DR-TW-2B29-370-00-01</t>
  </si>
  <si>
    <t>DR-TW-2B30-021-04-00</t>
  </si>
  <si>
    <t>DR-TW-2B24-225-05-00</t>
  </si>
  <si>
    <t>DR-TW-2B25-263-01-00</t>
  </si>
  <si>
    <t>Z EYE 34X27.5X65XM10-M50</t>
  </si>
  <si>
    <t>DR-TW-2B26-340-01-00</t>
  </si>
  <si>
    <t>2B26-340-01</t>
  </si>
  <si>
    <t>RETAINER 42(+20)</t>
  </si>
  <si>
    <t>No</t>
  </si>
  <si>
    <t>Date</t>
  </si>
  <si>
    <t>Rev</t>
  </si>
  <si>
    <t>Status</t>
  </si>
  <si>
    <t>2B27-081-00</t>
  </si>
  <si>
    <t>RETAINER 46 (+5)</t>
  </si>
  <si>
    <t>งานใหม่</t>
  </si>
  <si>
    <t>FORK WITH SIDE REBOUND 32X38X75XM12X1.25/M16 HT.</t>
  </si>
  <si>
    <t>ALU TUBE M29x1.0x31x390/M27x1.0 HT</t>
  </si>
  <si>
    <t>HOUSING COMPRESSION M31X1.0X213/M51X1.5 HT</t>
  </si>
  <si>
    <t>ALU TUBE M29x1.0x31x400/M27x1.0 HT</t>
  </si>
  <si>
    <t>O EYE W REB 26X18X50/M16X1.5HT.</t>
  </si>
  <si>
    <t xml:space="preserve">ALU TUBE M32x30x253  MATT REB </t>
  </si>
  <si>
    <t>งาน REV</t>
  </si>
  <si>
    <t>FORK W-REB 39x30x70x10MM./M16x1.5 HT.</t>
  </si>
  <si>
    <t>FORK W-SIDE REB 20X22X60X10MM/M16X1.5 HT.</t>
  </si>
  <si>
    <t>RETAINER 46 (COLOR)</t>
  </si>
  <si>
    <t>DR-TW-2B26-043-08-00</t>
  </si>
  <si>
    <t xml:space="preserve">Z EYE (+20) 26X18X65XM5/M35X1.25 </t>
  </si>
  <si>
    <t>Z-EYE-20-26X18X65XM5XM35</t>
  </si>
  <si>
    <t>DR-TW-2B26-081-01-00</t>
  </si>
  <si>
    <t>G EYE TAPER 20X18X45XM5XM48/M35X1.25 190 DEGREE LEFT</t>
  </si>
  <si>
    <t>DR-TW-2B26-081-01-01</t>
  </si>
  <si>
    <t>G EYE TPER 20X18X45XM5XM48/M35X1.25 190 DEGREE LEFT</t>
  </si>
  <si>
    <t>DR-TW-2B26-082-01-00</t>
  </si>
  <si>
    <t>G EYE TAPER 20X18X45XM5XM48/M35X1.25 170 DEGREE RIGHT</t>
  </si>
  <si>
    <t>G EYE TPER 20X18X45XM5XM48/M35X1.25 170 DEGREE RIGHT</t>
  </si>
  <si>
    <t>Z-NUT 43XM10/M42X1.5/M16X1.0</t>
  </si>
  <si>
    <t>NEW G EYE TAPER 20X18X45XM5XM48/M35X1.25</t>
  </si>
  <si>
    <t>DR-TW-2B26-110-0F-00</t>
  </si>
  <si>
    <t>Z EYE 26X18X45XM5XM35X1.25</t>
  </si>
  <si>
    <t>G NUT 43XM5X48/M35X1.25/M16X1.0</t>
  </si>
  <si>
    <t>DR-TW-2B26-236-01-00</t>
  </si>
  <si>
    <t>2B26-236-01</t>
  </si>
  <si>
    <t>G-NUT-W-COM 53X20XM48/M35X1.25/M16X1.0</t>
  </si>
  <si>
    <t>G EYE TAPERN 20X14X45XM5XM48/M35X1.25</t>
  </si>
  <si>
    <t>DR-TW-2B19D140-02-02</t>
  </si>
  <si>
    <t>Z NUT 33XM5/M35X1.25/M12X1.25</t>
  </si>
  <si>
    <t>DR-TW-2B26-046-04-00</t>
  </si>
  <si>
    <t>Z EYE 26X18X50XM5/M35X1.25 OOFSET 8 MM.</t>
  </si>
  <si>
    <t>DR-TW-2B26-118-04-00</t>
  </si>
  <si>
    <t>Z EYE 23X25X45XM5/M35X1.25</t>
  </si>
  <si>
    <t>DR-TW-2B26-118-04-01</t>
  </si>
  <si>
    <t>Z EYE 23X25X45XM5XM35X1.25</t>
  </si>
  <si>
    <t>Z EYE (+20) 26X18X65XM10/M42X1.5</t>
  </si>
  <si>
    <t>DR-TW-2B26-126-0J-01</t>
  </si>
  <si>
    <t>DR-TW-2B26-142-05-01</t>
  </si>
  <si>
    <t>Z EYE TAPER 20X14X45XM5/M35X1.25</t>
  </si>
  <si>
    <t>G EYE 26X18X50XM5XN44/M35X1.25</t>
  </si>
  <si>
    <t>DR-TW-2B26-228-01-01</t>
  </si>
  <si>
    <t>G EYE TAPER 20X18X45XM5XM38/M35X1.25 190 DEGREE LEFT</t>
  </si>
  <si>
    <t>G EYE TAPER 20X18X45XM5XM38/M35X1.25 170 DEGREE RIGHT</t>
  </si>
  <si>
    <t>DR-TW-2B26-281-02-00</t>
  </si>
  <si>
    <t xml:space="preserve">G EYE 26X22X45XM5XN48/M35X1.25 90 DEGREE </t>
  </si>
  <si>
    <t>DR-TW-2B26-003-03-00</t>
  </si>
  <si>
    <t>Z NUT 48XM10/M50X1.5/M16X1.0</t>
  </si>
  <si>
    <t>Z EYE (+10) 26X18X55XM10/M42X1.5</t>
  </si>
  <si>
    <t>DR-TW-2B26-142-05-00</t>
  </si>
  <si>
    <t>DR-TW-2B26-051-03-00</t>
  </si>
  <si>
    <t>Z NUT 43XM10/M42X1.5/M16X1.0</t>
  </si>
  <si>
    <t>Z FORK 20X28X65X10MM/M35X1.25</t>
  </si>
  <si>
    <t>DR-TW-2B26-055-02-00</t>
  </si>
  <si>
    <t>2B26-055-02</t>
  </si>
  <si>
    <t xml:space="preserve">Z EYE 30X18X45XM10/M42X1.5 </t>
  </si>
  <si>
    <t xml:space="preserve">Z EYE 30X18X45XM10/M50X1.5 </t>
  </si>
  <si>
    <t>DR-TW-2B26-126-0I-00</t>
  </si>
  <si>
    <t>2B26-126-0I</t>
  </si>
  <si>
    <t>Z EYE (+20) 26X118X65XM10/M42X1.5</t>
  </si>
  <si>
    <t>DR-TW-2B26-132-01-00</t>
  </si>
  <si>
    <t>Z-EYE-TAPER-20X14X50XM35</t>
  </si>
  <si>
    <t>DR-TW-2B26-262-03-00</t>
  </si>
  <si>
    <t>2B26-262-03</t>
  </si>
  <si>
    <t>Z FORK 24X25X55X10 MM/M50X1.5 OFFSET 3 MM.</t>
  </si>
  <si>
    <t>DR-TW-2B26-123-06-00</t>
  </si>
  <si>
    <t>2B26-123-06</t>
  </si>
  <si>
    <t>Z EYE (+30) 26X18X75XM10/M50X1.5</t>
  </si>
  <si>
    <t>DR-TW-2B26-130-03-00</t>
  </si>
  <si>
    <t>2B26-130-03</t>
  </si>
  <si>
    <t>SPACER CAP M24X1.0X18X75HT</t>
  </si>
  <si>
    <t>BOTTOMEND CAP  M22X1.0 X30 HT</t>
  </si>
  <si>
    <t>SPACER CAP M24X1.0X18X90 HT</t>
  </si>
  <si>
    <t>SPACER CAP M24X1.0X18X110 HT</t>
  </si>
  <si>
    <t>SPACER CAP M24X1.0X18X80 HT</t>
  </si>
  <si>
    <t>SPACER CAP M24X1.0X35X45 HT</t>
  </si>
  <si>
    <t>SPACER CAP M24X1.0X18X95 HT</t>
  </si>
  <si>
    <t>SPACER CAP M24X1.0X18X80/24 HT</t>
  </si>
  <si>
    <t>DR-TW-2B26-257-02-00</t>
  </si>
  <si>
    <t>C BOLT 29XM5XM32/M35X1.25/M10X1.5</t>
  </si>
  <si>
    <t>DR-TW-2B26-051-04-00</t>
  </si>
  <si>
    <t xml:space="preserve">Z NUT 43XM10/M42X1.5/M16X1.0 </t>
  </si>
  <si>
    <t>DR-TW-2B26-055-03-00</t>
  </si>
  <si>
    <t>DR-TW-2B26-235-03-00</t>
  </si>
  <si>
    <t>G NUT 53XM5X48/M35X1.25/M16X1.0</t>
  </si>
  <si>
    <t>DR-TW-2B26-276-00-00</t>
  </si>
  <si>
    <t>DR-TW-2B26-048-02-00</t>
  </si>
  <si>
    <t>2B26-048-02</t>
  </si>
  <si>
    <t>B EYE 26X18X40/M42X1.5</t>
  </si>
  <si>
    <t>DR-TW-2B26-049-07-00</t>
  </si>
  <si>
    <t>2B26-049-07</t>
  </si>
  <si>
    <t>Z NUT 35XM5/M42X1.5/M12X1.25</t>
  </si>
  <si>
    <t>ALU TUBE M22X20X25X350 RED</t>
  </si>
  <si>
    <t>DR-TW-2B26-050-05-00</t>
  </si>
  <si>
    <t>2B26-050-05</t>
  </si>
  <si>
    <t>Z EYE 26X18X51.5XM5/M42X1.5 OFF SET</t>
  </si>
  <si>
    <t>Z-NUT 48XM10/M50X1.5/M16</t>
  </si>
  <si>
    <t xml:space="preserve">Z EYE 26X18X45XM10/M50X1.5 </t>
  </si>
  <si>
    <t>DR-TW-2B26-123-07-00</t>
  </si>
  <si>
    <t>Z EYE (+5) 26X18X50XM10/M50X1.5</t>
  </si>
  <si>
    <t>DR-TW-2B26-130-04-00</t>
  </si>
  <si>
    <t>Z EYE 26X18X52XM10/M50X1.5 MTO SP.</t>
  </si>
  <si>
    <t>DR-TW-2B26-252-00-00</t>
  </si>
  <si>
    <t>NEW C FORK 20X22X53XM8XM20XM44/M35X1.25</t>
  </si>
  <si>
    <t>DR-TW-2B26-262-04-00</t>
  </si>
  <si>
    <t>2B26-262-04</t>
  </si>
  <si>
    <t>Z FORK 24X25X55X10MM/M50X1.5 OFFSET 3 MM</t>
  </si>
  <si>
    <t>DR-TW-2B26-272-06-00</t>
  </si>
  <si>
    <t>G EYE TAPER 20X18X50XM5XM44/M35X1.25</t>
  </si>
  <si>
    <t>OUTER TUBE 45X52/60X50 MATT RED</t>
  </si>
  <si>
    <t>FORK-WREB 30X28X68X12MM/M12X1.25 SPACIAL HT</t>
  </si>
  <si>
    <t>DR-TW-2B26-252-00-01</t>
  </si>
  <si>
    <t>NEW C FORK 20X22X53XM8XM20XM44/M35X1.25 LEFT</t>
  </si>
  <si>
    <t>G NUT 48XM5XM44/M35X1.25</t>
  </si>
  <si>
    <t xml:space="preserve">PRELOAD MX -56/M42X1.5X20XM6 SET HT </t>
  </si>
  <si>
    <t>HT C EYE 20X27X50XM5XM44/M35X1.25</t>
  </si>
  <si>
    <t>BODY HOUSE 63X75X30XM8 HT</t>
  </si>
  <si>
    <t>BODY HOUSE 63X75X30XM10 HT</t>
  </si>
  <si>
    <t>DR-TW-2B26-260-01-00</t>
  </si>
  <si>
    <t>C BOTTOM 21XM5XM32/M35X1.25 HT</t>
  </si>
  <si>
    <t>G EYE W COM 22X16X60XM20XM44/M42X1.5 HT.</t>
  </si>
  <si>
    <t>DR-TW-2B26-219-03-00</t>
  </si>
  <si>
    <t>G-W-COM 30 CLICK 28XM5XM20XM48/M50X1.5 COLOR</t>
  </si>
  <si>
    <t>SPING GUIDE 31.6X44.75X50/39 HT.</t>
  </si>
  <si>
    <t>C-FORK  20X22X53XM8XM5XM44/M35X1.25 LEFT</t>
  </si>
  <si>
    <t>FOEK W SIDE REB 30X38X75XM10X1.5/M16X1.5</t>
  </si>
  <si>
    <t>FOEK W SIDE REB 23X38X75XM10X1.25/M16X1.5 HT</t>
  </si>
  <si>
    <t>HOUSING COMPRESSION M29X1.0X203/M51C1.5 HT.</t>
  </si>
  <si>
    <t>FOEK W SIDE REB 22X48X95XM10X1.25/M16X1.5 HT</t>
  </si>
  <si>
    <t>FOEK W SIDE REB 25.5X55X90XM10X1.25/M16X1.5 HT</t>
  </si>
  <si>
    <t>FOEK W SIDE REB 25X38X75XM10X1.5/M16X1.5 HT</t>
  </si>
  <si>
    <t>FOEK W SIDE REB 30X38X75XM12X1.25/M16X1.5 HT</t>
  </si>
  <si>
    <t>MOVING BUSH 50X60X31 HT</t>
  </si>
  <si>
    <t>O EYE 34X30X55/M10X1.25 BLACK</t>
  </si>
  <si>
    <t>O EYE 34X30X110/M10X1.25 BLACK</t>
  </si>
  <si>
    <t>C OOLT 29XCM5XM44/M35X1.25 HT</t>
  </si>
  <si>
    <t>DR-TW-2B26-270-01-00</t>
  </si>
  <si>
    <t>C EYE W COM 16X28X40X55XM35X1.25 90 DEGREE HT.</t>
  </si>
  <si>
    <t>DR-TW-2B69M013-00-00</t>
  </si>
  <si>
    <t>2B69M013-00</t>
  </si>
  <si>
    <t>REB EYE BASE W SIDE REBOUND 50/M12X1.25/M16X1.0</t>
  </si>
  <si>
    <t>FORK 30X28X48XM10X1.5/M12X1.25 HT.</t>
  </si>
  <si>
    <t>PRELOAD ADJUSTER M50X72X10 HT.</t>
  </si>
  <si>
    <t>O EYE TAPER W-BLACK SIDE REBOUND 34X30X58/M16X1.5 BLACK</t>
  </si>
  <si>
    <t xml:space="preserve">Z NUT 50/M50X1.5/M12X1.25 BLACK </t>
  </si>
  <si>
    <t>DR-TW-2B24-202C00-00</t>
  </si>
  <si>
    <t>2B24-202C00</t>
  </si>
  <si>
    <t>RESERVOIR 46X220 W FREE PISTON/53</t>
  </si>
  <si>
    <t>Z EYE(+10) 26X18X55XM10/M50X1.5 (MTO.)</t>
  </si>
  <si>
    <t>G EYE 22X16X60XM5XM44/M42X1.5HT</t>
  </si>
  <si>
    <t>NEW RESERVOIR 46X90/M48X1.0 COLOR</t>
  </si>
  <si>
    <t>DR-TW-2B69M017-00-01</t>
  </si>
  <si>
    <t>2B69M017-00</t>
  </si>
  <si>
    <t>DR-TW-2B69M018-00-00</t>
  </si>
  <si>
    <t>2B69M018-00</t>
  </si>
  <si>
    <t>RESERVOIR RING (A)X(B)X2.5</t>
  </si>
  <si>
    <t xml:space="preserve">IDOL EYE H-L 26X18X45XM5/M50X1.5 RIGHT </t>
  </si>
  <si>
    <t>G EYE W COM 22X16X60XM5XM44/M42X1.5 HT.</t>
  </si>
  <si>
    <t>O EYE 34X30X110/M10X1.25</t>
  </si>
  <si>
    <t>DR-TW-2B26-204-06-00</t>
  </si>
  <si>
    <t>2B26-204-06</t>
  </si>
  <si>
    <t>G EYE H-L 26X18X45XM20XM48/M42X1.5</t>
  </si>
  <si>
    <t>DR-TW-2B26-111-00-00</t>
  </si>
  <si>
    <t>2B26-111-00</t>
  </si>
  <si>
    <t>Z EYE TAPER 30X27.5X65/M50X1.5/M10X1.25</t>
  </si>
  <si>
    <t>DR-TW-2B26-323-00-00</t>
  </si>
  <si>
    <t>2B26-323-00</t>
  </si>
  <si>
    <t>DR-TW-2B26-371-00-01</t>
  </si>
  <si>
    <t>DR-TW-2B27-180-00-00</t>
  </si>
  <si>
    <t>PRELOAD ADJUSTER M50X72X10</t>
  </si>
  <si>
    <t>DR-TW-2B28-115-00-06</t>
  </si>
  <si>
    <t>NEEDLE 9 DEGREE 4.0XL (Length)</t>
  </si>
  <si>
    <t xml:space="preserve">NEEDLE 9 DEGREE4.0X[L]	</t>
  </si>
  <si>
    <t>DR-TW-2B26-340-00-00</t>
  </si>
  <si>
    <t>2B26-340-00</t>
  </si>
  <si>
    <t xml:space="preserve">Z EYE 34X27.5X65XM10/M5X1.5 </t>
  </si>
  <si>
    <t>O EYE 22X16X42 W BLACK SIDE REBOUND M12X1.25 HT.</t>
  </si>
  <si>
    <t>G EYE W-COM 22X16XM20XM44/*M42X1.5 HT.</t>
  </si>
  <si>
    <t>BODY HOUSE 63X75X30XM8 HT.</t>
  </si>
  <si>
    <t>BODY HOUSE 63X75X30XM10 HT.</t>
  </si>
  <si>
    <t>HOUSE PRELOAD ADJUSTER M65X1.0 LEFT SIDE HT.</t>
  </si>
  <si>
    <t>HOUSE PRELOAD ADJUSTER M65X1.0  HT.</t>
  </si>
  <si>
    <t>ALU TUBE M50X1.5X45X150 / 20HT</t>
  </si>
  <si>
    <t>FORK 30X45X83XM10X1.25 / M16X1.5 HT</t>
  </si>
  <si>
    <t>O EYE 20X14X43/M12X1.25 HT</t>
  </si>
  <si>
    <t>O EYE 20X18X43/M12X1.25 HT</t>
  </si>
  <si>
    <t>PRELOAD MX-60 M51X1.5X20XM6 HT.</t>
  </si>
  <si>
    <t>DR-TW-2B26-253-00-01</t>
  </si>
  <si>
    <t>NEW C FORK 20X22X53XM20XM44/M35X1.25 RIGHT</t>
  </si>
  <si>
    <t>SPACER CAP M24X1.0X18X77 HT</t>
  </si>
  <si>
    <t>O EYE W SIDE REB 26X18X50XM12X1.25 HT</t>
  </si>
  <si>
    <t>CAP PRELOAD ADJUSTER M65X1.0X4.0 HT</t>
  </si>
  <si>
    <t>PRELOAD LOCK M51X1.5X8 HT</t>
  </si>
  <si>
    <t>I DOL EYE H L 26X18X45XM5/M50X1.5 LEFT [COLOR]</t>
  </si>
  <si>
    <t>NEW C FORK20X22X53XM8XM5XM44/M35X1.25 LEFT</t>
  </si>
  <si>
    <t>NEW C FORK20X22X53XM8XM5XM44/M35X1.25  RIGHT</t>
  </si>
  <si>
    <t>NEW C EYE 20X27X50XM5XM44/M35X1.25 190 DEGREE</t>
  </si>
  <si>
    <t>C-EYE 16X28X50XM5XM44/M35X1.25 225 DEGREE HT.</t>
  </si>
  <si>
    <t>DR-TW-2B28A117-00-13</t>
  </si>
  <si>
    <t>NEEDLE 15 DEGREE 4.0 [L]</t>
  </si>
  <si>
    <t>NEEDLE 15 DEGREE 4.0[L]</t>
  </si>
  <si>
    <t>O EYE 22X16X42W-LBACK SIDE REBOUND M12X1.25</t>
  </si>
  <si>
    <t>Z NUT 50 M50X1.5/M12X1.25</t>
  </si>
  <si>
    <t>Z EYE 34X27.5X65XM10/M50X1.5</t>
  </si>
  <si>
    <t>O EYE 22X16X38/M12X1.25 HT</t>
  </si>
  <si>
    <t>O EYE (+30)22X16X68/M12X1.25 HT</t>
  </si>
  <si>
    <t>O EYE 22X16X72 W-BLACK SIDE REBOUND M12X1.25 HT</t>
  </si>
  <si>
    <t>TOP CAP M44X1.0X20 HT</t>
  </si>
  <si>
    <t>O EYE 34X30X55/M10X1.25</t>
  </si>
  <si>
    <t>ALU TUBE M31X1.0X31X400/M27X1.0 HT</t>
  </si>
  <si>
    <t>G H L 30XM5XM28XM60/M51X1.5 HT</t>
  </si>
  <si>
    <t>TOP CAP M44X1.0X20 HT.</t>
  </si>
  <si>
    <t>RESERVOIR TOP M48 W-COM 30 CKICK (MTO)</t>
  </si>
  <si>
    <t>LOCKRING M51X1.5X8.0 HT.</t>
  </si>
  <si>
    <t>COMPRESSION HOUSE M28X1.0/M20X1.0/26 COLOR</t>
  </si>
  <si>
    <t>LOW-SPEED ADJUSTER COVER 18.5X26X24 HT.</t>
  </si>
  <si>
    <t>FORK W REB 30X30X70X12MM / M16X1.5 HT</t>
  </si>
  <si>
    <t>FORK W REB 28X30X70X10MM / M16X1.5 HT</t>
  </si>
  <si>
    <t>FORK W REB 30X30X70X10MM / M16X1.5 HT</t>
  </si>
  <si>
    <t>DR-TW-2B29-421-00-00</t>
  </si>
  <si>
    <t>RESERVOIR 58X100/M60X1.0/60X1.0 BLACK</t>
  </si>
  <si>
    <t>DR-TW-2B48-106-03-00</t>
  </si>
  <si>
    <t>2B48-106-03</t>
  </si>
  <si>
    <t>SPACER 36X0.D. PD360</t>
  </si>
  <si>
    <t>BOBY HOUSE PRELOAD ADJUSTER M65X1.0/32 LEFT HT</t>
  </si>
  <si>
    <t>BOBY HOUSE PRELOAD ADJUSTER M65X1.0/32 RIGHT HT</t>
  </si>
  <si>
    <t>TOP MOUNT PLATE 130X30/M10X1.25/11 MATT RED</t>
  </si>
  <si>
    <t>FROK W REB 25X30X70X10MM/M16X1.5 HT</t>
  </si>
  <si>
    <t>PRELOAD LOCK M51X1.5X12 HT.</t>
  </si>
  <si>
    <t>LOCK RING M52X1.5X8.0 HT.</t>
  </si>
  <si>
    <t>CAP PRELOAD ADJUSTER M65X1.0X51/5.5 HT.</t>
  </si>
  <si>
    <t>PRELOAD LOCK FOR HPA.M50X1.5X15.5/M6X1.0 HT</t>
  </si>
  <si>
    <t>TOP MOUNT PLATE 130X30/M10X1.5/111 MATT RED</t>
  </si>
  <si>
    <t>ALU TUBE M32X30X300 MATT REB</t>
  </si>
  <si>
    <t xml:space="preserve">ALU TUBE M22x20x25x215  MATT REB </t>
  </si>
  <si>
    <t>FREE PISTON 58X22/M5X0.8 HT.</t>
  </si>
  <si>
    <t>PRELOAD LOCK M52X1.5X12 HT.</t>
  </si>
  <si>
    <t xml:space="preserve">O EYE W SIDE REB 26X18X70/M16X1.5 45 DEGREE </t>
  </si>
  <si>
    <t>HI-SPEED ADJUSTER COVER 12X25.6X33 HT.</t>
  </si>
  <si>
    <t>ALU TUBE M22X20X25X215 REB</t>
  </si>
  <si>
    <t>DR-TW-2B27-123-00-00</t>
  </si>
  <si>
    <t>RETAINER-42 (+20)</t>
  </si>
  <si>
    <t>PRELOAD LOCK M50X1.5/M6X1.0 HT</t>
  </si>
  <si>
    <t>ALU TUBE M29X1.0X31X400/M27x1.0 HT</t>
  </si>
  <si>
    <t>DR-TW-2B54-095-00-00</t>
  </si>
  <si>
    <t>ALU TUBR M36X30XL FOR END CAP HARD BLACK</t>
  </si>
  <si>
    <t>ALU TUBE M52X45X205 HT</t>
  </si>
  <si>
    <t>FORK-W-REB-2024X58X8MM-M12X1.25 HT</t>
  </si>
  <si>
    <t>NEW RESERVOIR 43X65-M44 W-FREE PISTON BLACK</t>
  </si>
  <si>
    <t>ALU TUBE M51X45X205 HT.</t>
  </si>
  <si>
    <t>DR-TW-2B91-097-00-00</t>
  </si>
  <si>
    <t>O-EYE-SCREW-26X18X60XM16</t>
  </si>
  <si>
    <t>FORK SCREW (+10) 20X40X73XM8/M16 HT SET</t>
  </si>
  <si>
    <t>OK</t>
  </si>
  <si>
    <t>วันที่ข้อมูลเสร็จ</t>
  </si>
  <si>
    <t>ยกเลิก</t>
  </si>
  <si>
    <t>Drawing Set</t>
  </si>
  <si>
    <t>DR-TW-2B25-354-00-00</t>
  </si>
  <si>
    <t>DR-TW-2B98M696-02-00</t>
  </si>
  <si>
    <t>DR-TW-2B48-508-00-00</t>
  </si>
  <si>
    <t>DR-TW-2B53-400-00-00</t>
  </si>
  <si>
    <t>DR-TW-2B25-230-00-R-00</t>
  </si>
  <si>
    <t>DR-TW-2B53-400-01-00</t>
  </si>
  <si>
    <t>DR-TW-2B48-508-00-01</t>
  </si>
  <si>
    <t>DR-TW-2B27-100-02-03</t>
  </si>
  <si>
    <t>DR-TW-2B04A120-01-R-00</t>
  </si>
  <si>
    <t>DR-TW-2B53-400-01-01</t>
  </si>
  <si>
    <t>DR-TW-2B91-194-01-01</t>
  </si>
  <si>
    <t>DR-TW-2B29-129-03-00</t>
  </si>
  <si>
    <t>DR-TW-2B29-143-02-00</t>
  </si>
  <si>
    <t>DR-TW-2B29-146-02-00</t>
  </si>
  <si>
    <t>DR-TW-2B29-340-02-00</t>
  </si>
  <si>
    <t>DR-TW-2B29-341-01-00</t>
  </si>
  <si>
    <t>DR-TW-2B29-342-01-00</t>
  </si>
  <si>
    <t>DR-TW-2B29-343-02-00</t>
  </si>
  <si>
    <t>DR-TW-2B29-344-02-00</t>
  </si>
  <si>
    <t>DR-TW-2B69M009-00-00</t>
  </si>
  <si>
    <t>DR-TW-2B98M674-01-00</t>
  </si>
  <si>
    <t>DR-TW-2B25-058-01-00</t>
  </si>
  <si>
    <t>DR-TW-2B94-093-00-00</t>
  </si>
  <si>
    <t>DR-TW-2B24-225-04-00</t>
  </si>
  <si>
    <t>DR-TW-2B24-229-03-00</t>
  </si>
  <si>
    <t>DR-TW-2B29-370-00-00</t>
  </si>
  <si>
    <t>DR-TW-2B48-253-00-00</t>
  </si>
  <si>
    <t>DR-TW-2B25-125-04-00</t>
  </si>
  <si>
    <t>DR-TW-2B25-127-03-00</t>
  </si>
  <si>
    <t>DR-TW-2B24-300-00-00</t>
  </si>
  <si>
    <t>DR-TW-2B25-138-01-00</t>
  </si>
  <si>
    <t>DR-TW-2B25-139-01-00</t>
  </si>
  <si>
    <t>DR-TW-2B25-352-01-00</t>
  </si>
  <si>
    <t>DR-TW-2B25-353-01-00</t>
  </si>
  <si>
    <t>DR-TW-2B69A001-00-00</t>
  </si>
  <si>
    <t>DR-TW-2B69A002-00-00</t>
  </si>
  <si>
    <t>DR-TW-2B69A003-00-00</t>
  </si>
  <si>
    <t>DR-TW-2B69A005-00-00</t>
  </si>
  <si>
    <t>DR-TW-2B69A006-00-00</t>
  </si>
  <si>
    <t>DR-TW-2B51-215-01-01</t>
  </si>
  <si>
    <t>DR-TW-2B69M024-00-00</t>
  </si>
  <si>
    <t>DR-TW-2B69M028-00-00</t>
  </si>
  <si>
    <t>DR-TW-2B24-240-02-01</t>
  </si>
  <si>
    <t>DR-TW-2B24-241-02-01</t>
  </si>
  <si>
    <t>DR-TW-2B69M032-00-00</t>
  </si>
  <si>
    <t>DR-TW-2B69M033-00-00</t>
  </si>
  <si>
    <t>DR-TW-2B69M036-00-00</t>
  </si>
  <si>
    <t>DR-TW-2B69M048-00-00</t>
  </si>
  <si>
    <t>DR-TW-2B29-345-00-00</t>
  </si>
  <si>
    <t>DR-TW-2B25-266-00-00</t>
  </si>
  <si>
    <t>DR-TW-2B29-128-01-00</t>
  </si>
  <si>
    <t>DR-TW-2B24-240-03-00</t>
  </si>
  <si>
    <t>DR-TW-2B27-458-00-00</t>
  </si>
  <si>
    <t>DR-TW-2B24-241-03-00</t>
  </si>
  <si>
    <t>DR-TW-2B25-268-00-00</t>
  </si>
  <si>
    <t>DR-TW-2B26-102-00-00</t>
  </si>
  <si>
    <t>DR-TW-2B26-282-00-01</t>
  </si>
  <si>
    <t>DR-TW-2B26-283-00-01</t>
  </si>
  <si>
    <t>DR-TW-2B30-032-00-00</t>
  </si>
  <si>
    <t>DR-TW-2B48-730-00-00</t>
  </si>
  <si>
    <t>DR-TW-2B48-731-00-00</t>
  </si>
  <si>
    <t>DR-TW-2B25-196-00-R-00</t>
  </si>
  <si>
    <t>DR-TW-2B25-197-00-R-00</t>
  </si>
  <si>
    <t>DR-TW-2B25-303-00-R</t>
  </si>
  <si>
    <t>DR-TW-2B51-215-01-02</t>
  </si>
  <si>
    <t>DR-TW-2B24-242-00-00</t>
  </si>
  <si>
    <t>DR-TW-2B24-300-01-01</t>
  </si>
  <si>
    <t>DR-TW-2B25-199-00-00</t>
  </si>
  <si>
    <t>DR-TW-2B69M080-00-00</t>
  </si>
  <si>
    <t>DR-TW-2B55-205-00-00</t>
  </si>
  <si>
    <t>DR-TW-2B69M087-00-00</t>
  </si>
  <si>
    <t>DR-TW-2B26-282-00-02</t>
  </si>
  <si>
    <t>DR-TW-2B37-037-00-00</t>
  </si>
  <si>
    <t>DR-TW-2B69M086-00-00</t>
  </si>
  <si>
    <t>DR-TW-2B69M089-00-00</t>
  </si>
  <si>
    <t>DR-TW-2B55-205-00-01</t>
  </si>
  <si>
    <t>DR-TW-2B69M111-00-00</t>
  </si>
  <si>
    <t>DR-TW-2B25-305-00-00</t>
  </si>
  <si>
    <t>2B25-354-00</t>
  </si>
  <si>
    <t>2B98M696-02</t>
  </si>
  <si>
    <t>2B48-508-00</t>
  </si>
  <si>
    <t>2B53-400-00</t>
  </si>
  <si>
    <t>2B25-230-00-R</t>
  </si>
  <si>
    <t>2B52-253-04</t>
  </si>
  <si>
    <t>2B27-100-02</t>
  </si>
  <si>
    <t>2B69M009-00</t>
  </si>
  <si>
    <t>2B98M674-01</t>
  </si>
  <si>
    <t>2B24-225-04</t>
  </si>
  <si>
    <t>2B24-229-03</t>
  </si>
  <si>
    <t>2B48-253-00</t>
  </si>
  <si>
    <t>2B25-125-04</t>
  </si>
  <si>
    <t>2B25-127-03</t>
  </si>
  <si>
    <t>2B24-300-00</t>
  </si>
  <si>
    <t>2B25-138-01</t>
  </si>
  <si>
    <t>2B25-139-01</t>
  </si>
  <si>
    <t>2B25-352-01</t>
  </si>
  <si>
    <t>2B25-353-01</t>
  </si>
  <si>
    <t>2B69A003-00</t>
  </si>
  <si>
    <t>2B69A005-00</t>
  </si>
  <si>
    <t>2B69A006-00</t>
  </si>
  <si>
    <t>2B69M024-00</t>
  </si>
  <si>
    <t>2B69M028-00</t>
  </si>
  <si>
    <t>2B69M032-00</t>
  </si>
  <si>
    <t>2B69M033-00</t>
  </si>
  <si>
    <t>2B69M036-00</t>
  </si>
  <si>
    <t>2B69M048-00</t>
  </si>
  <si>
    <t>2B29-345-00</t>
  </si>
  <si>
    <t>2B25-266-00</t>
  </si>
  <si>
    <t>2B29-128-01</t>
  </si>
  <si>
    <t>2B24-240-03</t>
  </si>
  <si>
    <t>2B27-458-00</t>
  </si>
  <si>
    <t>2B24-241-03</t>
  </si>
  <si>
    <t>2B25-196-00-R</t>
  </si>
  <si>
    <t>2B25-197-00-R</t>
  </si>
  <si>
    <t>2B25-303-00-R</t>
  </si>
  <si>
    <t>2B37-037-00</t>
  </si>
  <si>
    <t>Count of Date</t>
  </si>
  <si>
    <t>2B26-276-01</t>
  </si>
  <si>
    <t>DR-TW-2B26-276-01-00</t>
  </si>
  <si>
    <t>NEW C  EYE 20X27X50XM5XM44XM35X1.25</t>
  </si>
  <si>
    <t>O EYE 22X16X42/M12X1.25 HT</t>
  </si>
  <si>
    <t>O EYE (+30)22X16X72/M12X1.25 HT</t>
  </si>
  <si>
    <t>DR-TW-2B25-034-02-05</t>
  </si>
  <si>
    <t>DR-TW-2B91-147A01-01</t>
  </si>
  <si>
    <t>FORK SCREW 25X28X63X10MM/M16X1.0 SET HT</t>
  </si>
  <si>
    <t>DR-TW-2B26-203-01-00</t>
  </si>
  <si>
    <t>2B26-203-01</t>
  </si>
  <si>
    <t>HT.G EYE H-L 26X18X50XM20XM44/M42X1.5 90 DEGREE</t>
  </si>
  <si>
    <t>NEW C EYE 20X27X50XM5XM20XM44/M35X1.25</t>
  </si>
  <si>
    <t>DR-TW-2B91-248-00-00</t>
  </si>
  <si>
    <t>2B91-248-00</t>
  </si>
  <si>
    <t>2B91-249-00</t>
  </si>
  <si>
    <t>O EYE SCREW (+20) 26X18X80/M16X1.0 SET HT (7075)</t>
  </si>
  <si>
    <t>O EYE SCREW (+10) 26X18X70/M16X1.0 SET HT (7075)</t>
  </si>
  <si>
    <t>DR-TW-2B28I085-00-05</t>
  </si>
  <si>
    <t>DR-TW-2B91-249-00-00</t>
  </si>
  <si>
    <t>NEEDLE 1 DEGREE 4.0X(L)</t>
  </si>
  <si>
    <t>DR-TW-2B29-273-00-00</t>
  </si>
  <si>
    <t>2B29-273-00</t>
  </si>
  <si>
    <t>EYE BASE 50/M10X1.25 HT.</t>
  </si>
  <si>
    <t>DR-TW-2B26-250-00-00</t>
  </si>
  <si>
    <t>DR-TW-2B48-252-00-01</t>
  </si>
  <si>
    <t>DR-TW-2B91-450-00-00</t>
  </si>
  <si>
    <t>2B91-450-00</t>
  </si>
  <si>
    <t>FORK SCREW 30X28X63XM10/M16X1.0 SET</t>
  </si>
  <si>
    <t>DR-TW-2B91-451-00-00</t>
  </si>
  <si>
    <t>2B91-451-00</t>
  </si>
  <si>
    <t>FORK SCREW 30X28X63X12/M16X1.0 SET</t>
  </si>
  <si>
    <t>DR-TW-2B91-452-00-00</t>
  </si>
  <si>
    <t>2B91-452-00</t>
  </si>
  <si>
    <t>FORK SCREW (+5) 30X33X68X10MM/M16X1.0 SET</t>
  </si>
  <si>
    <t>DR-TW-2B91-453-00-00</t>
  </si>
  <si>
    <t>2B91-453-00</t>
  </si>
  <si>
    <t>FORK SCREW 36X28X63X12MM/M16X1.0 SET</t>
  </si>
  <si>
    <t>DR-TW-2B91-454-00-00</t>
  </si>
  <si>
    <t>2B91-454-00</t>
  </si>
  <si>
    <t>FORK SCREW 28X28X63X8MM/M16X1.0 SET</t>
  </si>
  <si>
    <t>2B91-455-00</t>
  </si>
  <si>
    <t>FORK SCREW 30X28X63X10MM/M16X1.0 SET</t>
  </si>
  <si>
    <t>DR-TW-2B91-455-00-00</t>
  </si>
  <si>
    <t>DR-TW-2B91-456-00-0</t>
  </si>
  <si>
    <t>2B91-456-00</t>
  </si>
  <si>
    <t>FORK SCREW 25X28/X63X12MM/M16X1.0 SET</t>
  </si>
  <si>
    <t>DR-TW-2B91-457-00-00</t>
  </si>
  <si>
    <t>2B91-457-00</t>
  </si>
  <si>
    <t>FORK SCREW 25X28X63X12MM/M16X1.0 SET</t>
  </si>
  <si>
    <t>2B28-100-00</t>
  </si>
  <si>
    <t>NEEDLE 9 DEGREE 4.0X100</t>
  </si>
  <si>
    <t>2B28-110-00</t>
  </si>
  <si>
    <t>NEEDLE 9 DEGREE 4.0X110</t>
  </si>
  <si>
    <t>2B28-115-00</t>
  </si>
  <si>
    <t>NEEDLE 9 DEGREE 4.0X115</t>
  </si>
  <si>
    <t>2B28-115A00</t>
  </si>
  <si>
    <t>NEEDLE 9 DEGREE 4.0X115.5</t>
  </si>
  <si>
    <t>2B28-125A00</t>
  </si>
  <si>
    <t>NEEDLE 9 DEGREE 4.0X125.5</t>
  </si>
  <si>
    <t>2B28-130A00</t>
  </si>
  <si>
    <t>NEEDLE 9 DEGREE 4.0X130.5</t>
  </si>
  <si>
    <t>2B28-135A00</t>
  </si>
  <si>
    <t>NEEDLE 9 DEGREE 4.0X135.5</t>
  </si>
  <si>
    <t>2B28-120A00</t>
  </si>
  <si>
    <t>NEEDLE 9 DEGREE 4.0X120.5</t>
  </si>
  <si>
    <t>2B28I083-00</t>
  </si>
  <si>
    <t>NEEDLE 1 DEGREE 4.0X83</t>
  </si>
  <si>
    <t xml:space="preserve"> G-EYE-W-COM-22X16XM20XM44XM42</t>
  </si>
  <si>
    <t>DR-TW-2B69M120-00-00</t>
  </si>
  <si>
    <t>Z EYE TAPER 20X18X45XM5/M35X1.25 OFFSET 4 MM. LEFT</t>
  </si>
  <si>
    <t>2B69M120-00</t>
  </si>
  <si>
    <t>2B69M121-00</t>
  </si>
  <si>
    <t>DR-TW-2B69M121-00-00</t>
  </si>
  <si>
    <t>Z EYE TAPER 20X18X45XM5/M35X1.25 OFFSET 4 MM. RIGHT</t>
  </si>
  <si>
    <t>2B69M123-00</t>
  </si>
  <si>
    <t>DR-TW-2B69M123-00-00</t>
  </si>
  <si>
    <t>O EYE TAPER 20X18X58XM12 OFFSET 4MM</t>
  </si>
  <si>
    <t>2B69M124-00</t>
  </si>
  <si>
    <t>DR-TW-2B69M124-00-00</t>
  </si>
  <si>
    <t>2B69M125-00</t>
  </si>
  <si>
    <t>DR-TW-2B69M125-00-00</t>
  </si>
  <si>
    <t>2B69M122-00</t>
  </si>
  <si>
    <t>DR-TW-2B69M122-00-00</t>
  </si>
  <si>
    <t>O-EYE-SCREW 20X18X52.5XM16 OFFSET 4 MM</t>
  </si>
  <si>
    <t>G-EYE-TAPER-20X18X45XM5XM48XM35 OFFSET 4MM LEFT</t>
  </si>
  <si>
    <t>G-EYE-TAPER-20X18X45XM5XM48XM35 OFFSET 4MM RIGHT</t>
  </si>
  <si>
    <t>DR-TW-2B53-400-03-00</t>
  </si>
  <si>
    <t>2B53-400-03</t>
  </si>
  <si>
    <t>ALU TUBE M31X1.0X31X400/M27X1.0</t>
  </si>
  <si>
    <t>DR-TW-2B24-300-02-00</t>
  </si>
  <si>
    <t>2B24-300-02</t>
  </si>
  <si>
    <t>DR-TW-2B91-450-00-01</t>
  </si>
  <si>
    <t>DR-TW-2B91-451-00-01</t>
  </si>
  <si>
    <t>DR-TW-2B91-452-00-01</t>
  </si>
  <si>
    <t>DR-TW-2B91-455-00-01</t>
  </si>
  <si>
    <t>DR-TW-2B26-203-01-01</t>
  </si>
  <si>
    <t xml:space="preserve"> </t>
  </si>
  <si>
    <t>DR-TW-2B25-044-01-02</t>
  </si>
  <si>
    <t xml:space="preserve">RESERVOIR 46X90 W-FREE PISTON FOR RACING </t>
  </si>
  <si>
    <t>2B24-090B02-R</t>
  </si>
  <si>
    <t xml:space="preserve">FORK-SCREW  30X28X63X10MM-M16 SET </t>
  </si>
  <si>
    <r>
      <rPr>
        <sz val="11"/>
        <rFont val="Tahoma"/>
        <family val="2"/>
      </rPr>
      <t>ø</t>
    </r>
    <r>
      <rPr>
        <sz val="9.35"/>
        <rFont val="Calibri"/>
        <family val="2"/>
      </rPr>
      <t>44.4</t>
    </r>
  </si>
  <si>
    <t xml:space="preserve">FORK-SCREW  30X28X63XM10-M16 SET </t>
  </si>
  <si>
    <t>DR-TW-2B98-248-00-00</t>
  </si>
  <si>
    <t>O EYE SCREW (+10) 26X18X70/M16X1.0 SET</t>
  </si>
  <si>
    <r>
      <rPr>
        <sz val="14"/>
        <rFont val="Tahoma"/>
        <family val="2"/>
      </rPr>
      <t>ø</t>
    </r>
    <r>
      <rPr>
        <sz val="14"/>
        <rFont val="Calibri"/>
        <family val="2"/>
      </rPr>
      <t>38</t>
    </r>
  </si>
  <si>
    <t>O EYE SCREW (+20) 26X18X80/M16X1.0 SET</t>
  </si>
  <si>
    <t>2B69M130-00</t>
  </si>
  <si>
    <t>DR-TW-2B69M130-00-00</t>
  </si>
  <si>
    <t xml:space="preserve">ALU TUBE M35X30X145 GOLD FOR CLIP RING </t>
  </si>
  <si>
    <t>DR-TW-2B94-071-02-00</t>
  </si>
  <si>
    <t>2B94-071-02</t>
  </si>
  <si>
    <t>PRELOAD 46/M42X1.5X13XM6 FOR 362,366 SET</t>
  </si>
  <si>
    <t>DR-TW-2B27-109-01-01</t>
  </si>
  <si>
    <t>2B27-109-01</t>
  </si>
  <si>
    <t xml:space="preserve">	RETAINER 46-57-HT-362-366 TOPLINE BLACK</t>
  </si>
  <si>
    <t>DR-TW-2B27-110-03-00</t>
  </si>
  <si>
    <t>2B27-110-03</t>
  </si>
  <si>
    <t>RETAINER 56 ALL NEW 456 SERIES</t>
  </si>
  <si>
    <t>DR-TW-2B91-457-00-01</t>
  </si>
  <si>
    <t>DR-TW-2B91-456-00-01</t>
  </si>
  <si>
    <t>DR-TW-2B91-455-00-02</t>
  </si>
  <si>
    <t>DR-TW-2B91-454-00-01</t>
  </si>
  <si>
    <t>DR-TW-2B91-453-00-01</t>
  </si>
  <si>
    <t>DR-TW-2B91-452-00-02</t>
  </si>
  <si>
    <t>DR-TW-2B91-451-00-02</t>
  </si>
  <si>
    <t>DR-TW-2B91-450-00-02</t>
  </si>
  <si>
    <t>2B69M090-00</t>
  </si>
  <si>
    <t>DR-TW-2B26-278-03-00</t>
  </si>
  <si>
    <t>2B26-278-03</t>
  </si>
  <si>
    <t>C-EYE-TAPER-20X18X50XM5XM44XM35X1.25</t>
  </si>
  <si>
    <t>2B25-238-01</t>
  </si>
  <si>
    <t>DR-TW-2B25-238-01-00</t>
  </si>
  <si>
    <t xml:space="preserve">O EYE W-REB 30x18x53/M12x1.25 </t>
  </si>
  <si>
    <t>DR-TW-2B48-207-01-03</t>
  </si>
  <si>
    <t>2B48-215-00</t>
  </si>
  <si>
    <t>RESERVOIR CLAMP 46 HOLE 16</t>
  </si>
  <si>
    <t>DR-TW-2B91-017-02-07</t>
  </si>
  <si>
    <t>DR-TW-2B53-400-03-01</t>
  </si>
  <si>
    <t>ALU TUBE M31x1.0x31x400/M27x1.0</t>
  </si>
  <si>
    <t>2B25-052-03</t>
  </si>
  <si>
    <t>DR-TW-2B24-300-02-01</t>
  </si>
  <si>
    <t>DR-TW-2B91-240-00-00</t>
  </si>
  <si>
    <t>2B91-240-00</t>
  </si>
  <si>
    <t>O EYE SCREW TAPER 20x14x38/M16x1.0x16.5 SET</t>
  </si>
  <si>
    <t>DR-TW-2B26-233-00-00</t>
  </si>
  <si>
    <t>2B26-233-00</t>
  </si>
  <si>
    <t>G NUT 37.5xM5xM48/M35x1.25/M16x1.0</t>
  </si>
  <si>
    <t>2B26-083-02</t>
  </si>
  <si>
    <t>DR-TW-2B26-083-02-00</t>
  </si>
  <si>
    <t>DR-TW-2B91-457-00-02</t>
  </si>
  <si>
    <t>DR-TW-2B69M135-00-00</t>
  </si>
  <si>
    <t>2B69M135-00</t>
  </si>
  <si>
    <t>C BOLT W-COM 29xM5xM44/M35X1.25/M10X1.5</t>
  </si>
  <si>
    <t>G EYE W-COM 26x18x50xM20xM44/M42x1.5</t>
  </si>
  <si>
    <t>DR-TW-2B69M134-00-00</t>
  </si>
  <si>
    <t>2B69M134-00</t>
  </si>
  <si>
    <t>DR-TW-2B25-018-00-00</t>
  </si>
  <si>
    <t>2B25-018-00</t>
  </si>
  <si>
    <t xml:space="preserve">O-EYE 44x30x60/M10x1.25 </t>
  </si>
  <si>
    <t>DR-TW-2B69A010-00-00</t>
  </si>
  <si>
    <t>2B69A010-00</t>
  </si>
  <si>
    <t>O-EYE 34x30x55/M10x1.25 FOR DEMO</t>
  </si>
  <si>
    <t>DR-TW-2B91-450-01-00</t>
  </si>
  <si>
    <t>2B91-450-01</t>
  </si>
  <si>
    <t>DR-TW-2B91-451-01-00</t>
  </si>
  <si>
    <t>2B91-451-01</t>
  </si>
  <si>
    <t>DR-TW-2B91-452-01-00</t>
  </si>
  <si>
    <t>2B91-452-01</t>
  </si>
  <si>
    <t>DR-TW-2B91-453-01-00</t>
  </si>
  <si>
    <t>2B91-453-01</t>
  </si>
  <si>
    <t>DR-TW-2B91-454-01-00</t>
  </si>
  <si>
    <t>2B91-454-01</t>
  </si>
  <si>
    <t>DR-TW-2B91-455-01-00</t>
  </si>
  <si>
    <t>2B91-455-01</t>
  </si>
  <si>
    <t>DR-TW-2B91-456-01-00</t>
  </si>
  <si>
    <t>2B91-456-01</t>
  </si>
  <si>
    <t>DR-TW-2B91-457-01-00</t>
  </si>
  <si>
    <t>2B91-457-01</t>
  </si>
  <si>
    <t>DR-TW-2B91-098-00-00</t>
  </si>
  <si>
    <t>2B91-098-00</t>
  </si>
  <si>
    <t>FORK SCREW 25X22X62X12/M16X1.0 SET</t>
  </si>
  <si>
    <t>2b25-306-00</t>
  </si>
  <si>
    <t>DR-TW-2B25-052-03-01</t>
  </si>
  <si>
    <t>FORK W-REB 22x28x68x10MM/M12x1.25</t>
  </si>
  <si>
    <t>O-EYE 44x30x60/M10x1.25</t>
  </si>
  <si>
    <t>ø44.4</t>
  </si>
  <si>
    <t>DR-TW-2B26-030-00-00</t>
  </si>
  <si>
    <t>2B26-030-00</t>
  </si>
  <si>
    <t xml:space="preserve">I DOL EYE H L 26X18X45XM5/M50X1.5 43 LEFT </t>
  </si>
  <si>
    <t>I DOL EYE H L 26X18X45XM5/M50X1.5 LEFT HT.</t>
  </si>
  <si>
    <t>M5</t>
  </si>
  <si>
    <t>DR-TW-2B28I085-00-06</t>
  </si>
  <si>
    <t>2B28I085-00-06</t>
  </si>
  <si>
    <t>2B28I082-00</t>
  </si>
  <si>
    <t>NEEDLE 1 DEGREE 4.0X82</t>
  </si>
  <si>
    <t>DR-TW-2B04-300-01-00</t>
  </si>
  <si>
    <t>H</t>
  </si>
  <si>
    <t>DR-TW-2B19-110-06-00</t>
  </si>
  <si>
    <t>2B19-110-06</t>
  </si>
  <si>
    <t>2B19-115-06</t>
  </si>
  <si>
    <t>2B19-120-06</t>
  </si>
  <si>
    <t>2B19-125-06</t>
  </si>
  <si>
    <t>2B19-130-06</t>
  </si>
  <si>
    <t>2B19-135-06</t>
  </si>
  <si>
    <t>2B19-140-06</t>
  </si>
  <si>
    <t>2B19-145-06</t>
  </si>
  <si>
    <t>2B19-150-06</t>
  </si>
  <si>
    <t>2B19-155-06</t>
  </si>
  <si>
    <t>DR-TW-2B69M137-00-00</t>
  </si>
  <si>
    <t>2B69M137-00</t>
  </si>
  <si>
    <t>ALU TUBE M35x30x155 FOR END CAP</t>
  </si>
  <si>
    <t>2B69M138-00</t>
  </si>
  <si>
    <t>ALU TUBE M35x30x185 FOR END CAP</t>
  </si>
  <si>
    <t>DR-TW-2B69M136-00-00</t>
  </si>
  <si>
    <t>2B69M136-00</t>
  </si>
  <si>
    <t xml:space="preserve">RESERVOIR 26xM28x1.0x72/M8x1.0/6.5 </t>
  </si>
  <si>
    <t>DR-TW-2B25-137-00-00</t>
  </si>
  <si>
    <t>2B25-137-00</t>
  </si>
  <si>
    <t>FORK W-SIDE REB 30X30X75X10MM/M16X1.5</t>
  </si>
  <si>
    <t>OUTTER TUBE 39x56x462</t>
  </si>
  <si>
    <t>DR-TW-2B04-462-00-00</t>
  </si>
  <si>
    <t>2B04-462-00</t>
  </si>
  <si>
    <t>DR-TW-2B28A117-00-15</t>
  </si>
  <si>
    <t>2B28A130-00</t>
  </si>
  <si>
    <t>NEEDLE 15 DEGREE 4.0X117</t>
  </si>
  <si>
    <t>NEEDLE 15 DEGREE 4.0X130</t>
  </si>
  <si>
    <t>DR-TW-2B26-370-00-01</t>
  </si>
  <si>
    <t xml:space="preserve">  </t>
  </si>
  <si>
    <t>DR-TW-2B69M140-00-00</t>
  </si>
  <si>
    <t>2B69M140-00</t>
  </si>
  <si>
    <t>RETAINER 40x49x35/M10x1.25</t>
  </si>
  <si>
    <t>DR-TW-2B27-123-01-00</t>
  </si>
  <si>
    <t>2B27-123-01</t>
  </si>
  <si>
    <t>DR-TW-2B48-036-01-00</t>
  </si>
  <si>
    <t>DR-TW-2B48-034-03-00</t>
  </si>
  <si>
    <t>STEERING DAMPER CLAMP 16 TYPE A</t>
  </si>
  <si>
    <t>DR-TW-2B26-117-00-00</t>
  </si>
  <si>
    <t>Z EYE (+20) TAPER 20x18x65xM5/M35x1.25</t>
  </si>
  <si>
    <t>DR-TW-2B69M146-01-00</t>
  </si>
  <si>
    <t>2B69M146-01</t>
  </si>
  <si>
    <t>NEW PRELOAD 42/M35x1.25x14xM6</t>
  </si>
  <si>
    <t>DR-TW-2B69M148-00-00</t>
  </si>
  <si>
    <t>2B69M148-00</t>
  </si>
  <si>
    <t>RESERVOIR TOP M32xM20 W-COM 30 CILCK FOR BRACKET VU</t>
  </si>
  <si>
    <t>2B25-173-04</t>
  </si>
  <si>
    <t>O-EYE-W-SIDE-REBOUND-26X18X45-M12X1.25</t>
  </si>
  <si>
    <t>2B25-066-02</t>
  </si>
  <si>
    <t>DR-TW-2B69M152-00-00</t>
  </si>
  <si>
    <t>2B69M152-00</t>
  </si>
  <si>
    <t>O-EYE TAPER 20x14x43/M12x1.25/OFFSET 5 MM.</t>
  </si>
  <si>
    <t>DR-TW-2B69M150-00-00</t>
  </si>
  <si>
    <t>2B69M150-00</t>
  </si>
  <si>
    <t>NEW C EYE TAPER 20x18x45/M5xM44/M35 190 DEGREE OFFSET 5 MM</t>
  </si>
  <si>
    <t>2B69M151-00</t>
  </si>
  <si>
    <t>DR-TW-2B69M151-00-00</t>
  </si>
  <si>
    <t>NEW C EYE TAPER 20x18x45/M5xM44/M35 170 DEGREE OFFSET 5 MM</t>
  </si>
  <si>
    <t>RESERVOIR TOP M16XM32 FOR SIDE</t>
  </si>
  <si>
    <t>DR-TW-2B29-402-01-01</t>
  </si>
  <si>
    <t>2B29-402-01</t>
  </si>
  <si>
    <t>DR-TW-2B48-051-01-02</t>
  </si>
  <si>
    <t>MOUNTING BLOCK 9x20x30/M5x0.8</t>
  </si>
  <si>
    <t>DR-TW-2B29-401-01-00</t>
  </si>
  <si>
    <t>2B29-401-01</t>
  </si>
  <si>
    <t>DR-TW-2B26-276-02-01</t>
  </si>
  <si>
    <t>NEW G EYE W COM 20X27X50XM5XM44/M35X1.25 190 DEGREE</t>
  </si>
  <si>
    <t>DR-TW-2B26-253-01-01</t>
  </si>
  <si>
    <t>2B26-253-01</t>
  </si>
  <si>
    <t>NEW G FORK W COM 20x22x53xM8xM20xM44/M35x1.25 RIGHT</t>
  </si>
  <si>
    <t>DR-TW-2B26-252-01-01</t>
  </si>
  <si>
    <t>2B26-252-01</t>
  </si>
  <si>
    <t>NEW G EURO FORK W-COM 20x22x53xM8xM20xM44/M35x1.25 LEFT</t>
  </si>
  <si>
    <t>DR-TW-2B26-252-01-02</t>
  </si>
  <si>
    <t>NEW G FORK W-COM 20x22x53xM8xM20xM44/M35x1.25 LEFT</t>
  </si>
  <si>
    <t>DR-TW-2B26-276-02-02</t>
  </si>
  <si>
    <t>DR-TW-2B26-284-00-00</t>
  </si>
  <si>
    <t>2B26-284-00</t>
  </si>
  <si>
    <t>NEW EURO G EYE W-COM 20x27x45xM5xM44/M35x1.25 25 DEGREE</t>
  </si>
  <si>
    <t>DR-TW-2B26-285-00-00</t>
  </si>
  <si>
    <t>2B26-285-00</t>
  </si>
  <si>
    <t>DR-TW-2B69M155-00-00</t>
  </si>
  <si>
    <t>2B69M155-00</t>
  </si>
  <si>
    <t>Z EYE+20 26x18x65xM10x1.0/M35x1.25 OFFSET 4 MM.</t>
  </si>
  <si>
    <t>DR-TW-2B69M156-00-00</t>
  </si>
  <si>
    <t>2B69M156-00</t>
  </si>
  <si>
    <t>Z EYE+20 26x27x65xM10x1.0/M35x1.25 OFFSET 4 MM. LEFT</t>
  </si>
  <si>
    <t>DR-TW-2B19B115-00-00</t>
  </si>
  <si>
    <t>ALU TUBE M35x30xL FOR ENDCAP</t>
  </si>
  <si>
    <t>2B19B115-00</t>
  </si>
  <si>
    <t>2B19B160-00</t>
  </si>
  <si>
    <t>DR-TW-2B19B115-00-01</t>
  </si>
  <si>
    <t>DR-TW-2B69M170-00-00</t>
  </si>
  <si>
    <t>2B69M170-00</t>
  </si>
  <si>
    <t>Z EYE 26x34x45xM10/M35x1.25 OFFSET 3 MM HT</t>
  </si>
  <si>
    <t>DR-TW-2B28-115-00-08</t>
  </si>
  <si>
    <t>NEEDLE 9 DEGREE4.0X[L]</t>
  </si>
  <si>
    <t>2B28-150-00</t>
  </si>
  <si>
    <t>NEEDLE 9 DEGREE 4.0X150</t>
  </si>
  <si>
    <t>DR-TW-2B26-284-01-00</t>
  </si>
  <si>
    <t>2B26-284-01</t>
  </si>
  <si>
    <t>NEW EURO G EYE W-COM 20x27x45xM5xM44/M35x1.25 20 DEGREE</t>
  </si>
  <si>
    <t>DR-TW-2B26-285-01-00</t>
  </si>
  <si>
    <t>2B26-285-01</t>
  </si>
  <si>
    <t>FORK NUT 48x28x46x9/16 OFF-SET 4MM HT.</t>
  </si>
  <si>
    <t>DR-TW-2B69M169-00-00</t>
  </si>
  <si>
    <t>2B69M169-00</t>
  </si>
  <si>
    <t>2B69M166-00</t>
  </si>
  <si>
    <t>DR-TW-2B69M166-00-00</t>
  </si>
  <si>
    <t>ALU TUBE M51x45x280/20HT</t>
  </si>
  <si>
    <t>2B69M165-00</t>
  </si>
  <si>
    <t>DR-TW-2B69M165-00-00</t>
  </si>
  <si>
    <t>ALU TUBE M51x45x300/M47x1.0</t>
  </si>
  <si>
    <t>DR-TW-2B69M154-00-00</t>
  </si>
  <si>
    <t>2B69M154-00</t>
  </si>
  <si>
    <t xml:space="preserve">NEW EURO G EYE 20x27x45xM5xM44/M35x1.25 25 DEGREE </t>
  </si>
  <si>
    <t>DR-TW-2B25-120-01-01</t>
  </si>
  <si>
    <t>FORK W-BLACK SIDE REB 20x22x49xM8/M12x1.25</t>
  </si>
  <si>
    <t>DR-TW-2B27-117-03-00</t>
  </si>
  <si>
    <t xml:space="preserve">RETAINER +10+20 COLOR </t>
  </si>
  <si>
    <t>DR-TW-2B55-205-00-02</t>
  </si>
  <si>
    <t>2B55-200-00</t>
  </si>
  <si>
    <t>ALU TUBE M51X45X200 HT.</t>
  </si>
  <si>
    <t>DR-TW-2B91-450-01-01</t>
  </si>
  <si>
    <t>DR-TW-2B91-451-01-01</t>
  </si>
  <si>
    <t>DR-TW-2B91-454-01-01</t>
  </si>
  <si>
    <t>DR-TW-2B91-455-01-01</t>
  </si>
  <si>
    <t>DR-TW-2B91-456-01-01</t>
  </si>
  <si>
    <t>DR-TW-2B91-457-01-01</t>
  </si>
  <si>
    <t>DR-TW-2B69M171-00-00</t>
  </si>
  <si>
    <t>2B69M171-00</t>
  </si>
  <si>
    <t>ALU TUBE M35X30X140 FOR END CAP RING</t>
  </si>
  <si>
    <t>DR-TW-2B69M172-00-00</t>
  </si>
  <si>
    <t>2B69M172-00</t>
  </si>
  <si>
    <t>ALU TUBE M35X30X140 -M33X1.0</t>
  </si>
  <si>
    <t>DR-2B69M172-00-00</t>
  </si>
  <si>
    <t>DR-TW-2B69M166-00-01</t>
  </si>
  <si>
    <t>DR-TW-2B69M165-00-01</t>
  </si>
  <si>
    <t>DR-TW-2B26-051-05-01</t>
  </si>
  <si>
    <t>DR-TW-2B26-055-03-01</t>
  </si>
  <si>
    <t>DR-TW-2B26-126-0J-02</t>
  </si>
  <si>
    <t>DR-TW-2B26-132-01-01</t>
  </si>
  <si>
    <t>DR-TW-2B26-132-02-01</t>
  </si>
  <si>
    <t>2B53-400-04</t>
  </si>
  <si>
    <t>DR-TW-2B53-400-04-00</t>
  </si>
  <si>
    <t>DR-TW-2B26-286-00-00</t>
  </si>
  <si>
    <t>2B26-286-00</t>
  </si>
  <si>
    <t>G EURO EYE W-COM 26x18x45xM5xM44/M35x1.25</t>
  </si>
  <si>
    <t>DR-TW-2B26-284-02-00</t>
  </si>
  <si>
    <t>2B26-284-02</t>
  </si>
  <si>
    <t>2B19-180-07</t>
  </si>
  <si>
    <t>2B19-195-07</t>
  </si>
  <si>
    <t>2B19-160-07</t>
  </si>
  <si>
    <t>2B19-215-01</t>
  </si>
  <si>
    <t>P9</t>
  </si>
  <si>
    <t>P10</t>
  </si>
  <si>
    <t>2B24B1200-80</t>
  </si>
  <si>
    <t>DR-TW-2B28A117-00-16</t>
  </si>
  <si>
    <t>2B28A122-00</t>
  </si>
  <si>
    <t>NEEDLE 15 DEGREE 4.0X122</t>
  </si>
  <si>
    <t>DR-TW-2B26-451-00-00</t>
  </si>
  <si>
    <t>2B26-451-00</t>
  </si>
  <si>
    <t>G-EYE H-L 20x22x45xM20xM44/M42x1.5</t>
  </si>
  <si>
    <t>2B19-205-01</t>
  </si>
  <si>
    <t>2B19-175-07</t>
  </si>
  <si>
    <t>ALU TUBE-M35X30X175</t>
  </si>
  <si>
    <t>2B19-200-07</t>
  </si>
  <si>
    <t>ALU TUBE-M35X30X200</t>
  </si>
  <si>
    <t>ALU TUBE-M35X30X220</t>
  </si>
  <si>
    <t>2B19-220-01</t>
  </si>
  <si>
    <t>G EYE H-L 20x22x45xM44/M42x1.5</t>
  </si>
  <si>
    <t>DR-TW-2B69M181-00-00</t>
  </si>
  <si>
    <t>2B69M181-00</t>
  </si>
  <si>
    <t>ALU TUBE M32X30X283-8 MATT- RED</t>
  </si>
  <si>
    <t>งานตัวอย่าง</t>
  </si>
  <si>
    <t>PF S7345</t>
  </si>
  <si>
    <t>MATT 4 เหลี่ยม 60x75 MM.</t>
  </si>
  <si>
    <t>PF S7344</t>
  </si>
  <si>
    <t>MATT 4 เหลี่ยม 55x126 MM.</t>
  </si>
  <si>
    <t>A5356/ER5356</t>
  </si>
  <si>
    <t>เพลาอลูมิเนียม 4 มม.</t>
  </si>
  <si>
    <t>IBO-W002</t>
  </si>
  <si>
    <t>2B26-090-01</t>
  </si>
  <si>
    <t>DR-TW-2B26-090-01-00</t>
  </si>
  <si>
    <t>G NUT W-COM 35xM20xM48/M42x1.5/M16x1.0/10</t>
  </si>
  <si>
    <t>DR-TW-2B91-210-00-00</t>
  </si>
  <si>
    <t>2B91-210-00</t>
  </si>
  <si>
    <t>O EYE SCREW 20x22x33/M16x1.0 SET</t>
  </si>
  <si>
    <t>DR-TW-2B26-131-00-00</t>
  </si>
  <si>
    <t>2B26-131-00</t>
  </si>
  <si>
    <t>Z EYE 26x18x45xM10/M42x1.5/10</t>
  </si>
  <si>
    <t>DR-TW-2B69A009-00-00</t>
  </si>
  <si>
    <t>2B69A009-00</t>
  </si>
  <si>
    <t>Z EYE 46x25x65/M50x1.5/M10x1.25</t>
  </si>
  <si>
    <t>2B26-265-04</t>
  </si>
  <si>
    <t>NEW C-BOTTOM FORK  M35X20X53XM8/M44/OFFSET</t>
  </si>
  <si>
    <t>DR-TW-2B26-265-04-00</t>
  </si>
  <si>
    <t>C - FORK 20X22X53XM8XM5XM44/M35X1.25 RIGOFFSET</t>
  </si>
  <si>
    <t>DR-TW-2B26-266-04-00</t>
  </si>
  <si>
    <t>2B26-266-04</t>
  </si>
  <si>
    <t>2B29-433-01</t>
  </si>
  <si>
    <t>DR-TW-2B29-433-01-00</t>
  </si>
  <si>
    <t xml:space="preserve">RESERVOIR TOP M48 W-COM 30 CKICK </t>
  </si>
  <si>
    <t>DR-TW-2B69M192-00-00</t>
  </si>
  <si>
    <t>2B69M192-00</t>
  </si>
  <si>
    <t>DR-TW-2B69M193-00-00</t>
  </si>
  <si>
    <t>2B69M193-00</t>
  </si>
  <si>
    <t>Z EYE(+5) TAPER 20x14x50xM5/M35x1.25 BLACK</t>
  </si>
  <si>
    <t>เพลาอลูมีเนียม 95 มม.         (ยังของเหลือบางส่วน)</t>
  </si>
  <si>
    <t>DR-TW-2B19B115-00-02</t>
  </si>
  <si>
    <t>2B19B120-00</t>
  </si>
  <si>
    <t>DR-TW-2B25-066-02-01</t>
  </si>
  <si>
    <t>O EYE W-SIDE REB 26x18x45/M12x1.25</t>
  </si>
  <si>
    <t>DR-TW-2B26-131-00-01</t>
  </si>
  <si>
    <t>PF-S7429</t>
  </si>
  <si>
    <t>เพลาอลูมิเนียมโต 55 มม.</t>
  </si>
  <si>
    <t>DR-TW-2B69M196-00-00</t>
  </si>
  <si>
    <t>2B69M196-00</t>
  </si>
  <si>
    <t>ALU TUBE M35x30x95/36 FOR END CAP</t>
  </si>
  <si>
    <t>ALU TUBE M35x30x100/36 FOR END CAP</t>
  </si>
  <si>
    <t>2B96M196-00</t>
  </si>
  <si>
    <t>2B96M197-00</t>
  </si>
  <si>
    <t>2B69M200-00</t>
  </si>
  <si>
    <t>DR-TW-2B69M200-00-00</t>
  </si>
  <si>
    <t xml:space="preserve">PRELOAD 50/M35x1.25x13xM6 </t>
  </si>
  <si>
    <t>DR-TW-2B69M199-00-00</t>
  </si>
  <si>
    <t>2B69M199-00</t>
  </si>
  <si>
    <t>NEW RETAINER 50</t>
  </si>
  <si>
    <t>DR-TW-2B29-421-01-00</t>
  </si>
  <si>
    <t>2B29-421-01</t>
  </si>
  <si>
    <t>DR-TW-2B26-125-00-00</t>
  </si>
  <si>
    <t>2B26-125-00</t>
  </si>
  <si>
    <t>DR-TW-2B19B115-00-03</t>
  </si>
  <si>
    <t>2B19B105-00</t>
  </si>
  <si>
    <t>DR-TW-2B19E100-00-02</t>
  </si>
  <si>
    <t>2B19E100-00</t>
  </si>
  <si>
    <t>2B19E085-00</t>
  </si>
  <si>
    <t>2B19E090-00</t>
  </si>
  <si>
    <t xml:space="preserve">ALU TUBE M35x30x100/35 FOR END CAP </t>
  </si>
  <si>
    <t>2B19E110-00</t>
  </si>
  <si>
    <t xml:space="preserve">ALU TUBE M35x30x110/35 FOR END CAP </t>
  </si>
  <si>
    <t>2B19E120-00</t>
  </si>
  <si>
    <t xml:space="preserve">ALU TUBE M35x30x120/35 FOR END CAP </t>
  </si>
  <si>
    <t>Z EYE +5 TAPER 20x14x50xM5/M35x1.25</t>
  </si>
  <si>
    <t>DR-TW-2B26-125-00-01</t>
  </si>
  <si>
    <t>DR-TW-2B04-463-00-00</t>
  </si>
  <si>
    <t>2B04-463-00</t>
  </si>
  <si>
    <t xml:space="preserve">OUTTER TUBE 39x56x380 </t>
  </si>
  <si>
    <t>DR-TW-2B69M204-00-00</t>
  </si>
  <si>
    <t>2B69M204-00</t>
  </si>
  <si>
    <t>NEW PRELOAD 42/M35x1.25x13xM6</t>
  </si>
  <si>
    <t>DR-TW-2B69M205-00-00</t>
  </si>
  <si>
    <t>2B69M205-00</t>
  </si>
  <si>
    <t>NEW RETAINER 46 FOR G SPORT</t>
  </si>
  <si>
    <t>DR-TW-2B69M206-00-00</t>
  </si>
  <si>
    <t>2B69M206-00</t>
  </si>
  <si>
    <t>NEW RETAINER 50 FOR G SPORT</t>
  </si>
  <si>
    <t>DR-TW-2B69M207-00-00</t>
  </si>
  <si>
    <t>2B69M207-00</t>
  </si>
  <si>
    <t>NEW RETAINER 50 (+20) FOR G SPORT</t>
  </si>
  <si>
    <t>PL 12551</t>
  </si>
  <si>
    <t>ท่ออลูมีเนี่ยมโต 57 มม.xรู 38.7มม.</t>
  </si>
  <si>
    <t>L5</t>
  </si>
  <si>
    <t>L6</t>
  </si>
  <si>
    <t>L7</t>
  </si>
  <si>
    <t>2B19E115-00</t>
  </si>
  <si>
    <t>ALU TUBE-M35X30X165</t>
  </si>
  <si>
    <t>2B19-165-07</t>
  </si>
  <si>
    <t>2B19E105-00</t>
  </si>
  <si>
    <t>DR-TW-2B19E100-00-03</t>
  </si>
  <si>
    <t>MOVIMG BUSH 45x60x22.5</t>
  </si>
  <si>
    <t>DR-TW-2B69M225-00-00</t>
  </si>
  <si>
    <t>2B69M225-00</t>
  </si>
  <si>
    <t>2B69M226-00</t>
  </si>
  <si>
    <t>DR-TW-2B69M226-00-00</t>
  </si>
  <si>
    <t>BODY HOUSE 45x60x24xM10</t>
  </si>
  <si>
    <t>DR-TW-2B69M228-00-00</t>
  </si>
  <si>
    <t>2B69M228-00</t>
  </si>
  <si>
    <t>PRELOAD LOCK M42x8xM6</t>
  </si>
  <si>
    <t>DR-TW-2B69M219-00-00</t>
  </si>
  <si>
    <t>2B69M219-00</t>
  </si>
  <si>
    <t>FORK 20x25x47xM8/M32x1.0</t>
  </si>
  <si>
    <t>DR-TW-2B69M220-00-00</t>
  </si>
  <si>
    <t>2B69M220-00</t>
  </si>
  <si>
    <t>O EYE SCREW 26x18x43/M32x1.0</t>
  </si>
  <si>
    <t>DR-TW-2B69M221-00-00</t>
  </si>
  <si>
    <t>2B69M221-00</t>
  </si>
  <si>
    <t>Z EYE 26x18x55xM8/M50</t>
  </si>
  <si>
    <t>2B69M222-00</t>
  </si>
  <si>
    <t>DR-TW-2B69M222-00-00</t>
  </si>
  <si>
    <t>ALU TUBE 45x51x120/M50x1.5</t>
  </si>
  <si>
    <t>จำนวนตัด/ลัง</t>
  </si>
  <si>
    <t>AXIAL CLAMP M38x75/M8//45 LEFT</t>
  </si>
  <si>
    <t>2B26-305-00</t>
  </si>
  <si>
    <t>DR-TW-2B26-305-00-01</t>
  </si>
  <si>
    <t>2B26-306-00</t>
  </si>
  <si>
    <t>DR-TW-2B26-306-00-01</t>
  </si>
  <si>
    <t>AXLE CLAMP M38x75xM8/45 RIGHT</t>
  </si>
  <si>
    <t>383</t>
  </si>
  <si>
    <t>15</t>
  </si>
  <si>
    <t>HD</t>
  </si>
  <si>
    <t>B</t>
  </si>
  <si>
    <t>HARD BLACK</t>
  </si>
  <si>
    <t>M</t>
  </si>
  <si>
    <t>MATT BLACK</t>
  </si>
  <si>
    <t>F</t>
  </si>
  <si>
    <t>FLAT BLACK</t>
  </si>
  <si>
    <t>R</t>
  </si>
  <si>
    <t>MATT RED</t>
  </si>
  <si>
    <t>P11</t>
  </si>
  <si>
    <t>P12</t>
  </si>
  <si>
    <t>P13</t>
  </si>
  <si>
    <t>P14</t>
  </si>
  <si>
    <t>P15</t>
  </si>
  <si>
    <t>M6</t>
  </si>
  <si>
    <t>DR-TW-2B24-260-00-00</t>
  </si>
  <si>
    <t>2B24-260-00</t>
  </si>
  <si>
    <t xml:space="preserve">BODY HOUSE 59x62x24xM10 </t>
  </si>
  <si>
    <t>2B25-120-02</t>
  </si>
  <si>
    <t>2B25-121-02</t>
  </si>
  <si>
    <t>DR-TW-2B25-121-02-00</t>
  </si>
  <si>
    <t>DR-TW-2B30-070-00-00</t>
  </si>
  <si>
    <t>2B30-070-00</t>
  </si>
  <si>
    <t>MOVING BUSH 45X60X22.5</t>
  </si>
  <si>
    <t>DR-TW-2B25-247-02-00</t>
  </si>
  <si>
    <t>2B25-247-02</t>
  </si>
  <si>
    <t>O EYE (+10) TAPER 20x18x68/M12x1.25</t>
  </si>
  <si>
    <t>DR-TW-2B26-116-06-00</t>
  </si>
  <si>
    <t>2B26-116-06</t>
  </si>
  <si>
    <t>Z EYE TAPER 20x18x45xM5/M35x1.25</t>
  </si>
  <si>
    <t>2B27-414-00</t>
  </si>
  <si>
    <t>DR-TW-2B27-414-00-00</t>
  </si>
  <si>
    <t>2B25-199-01</t>
  </si>
  <si>
    <t>DR-TW-2B25-199-01-00</t>
  </si>
  <si>
    <t>DR-TW-2B94-074-01-00</t>
  </si>
  <si>
    <t>BODY HOUSE 59x62x24xM10</t>
  </si>
  <si>
    <t xml:space="preserve">RESERVOIR 46X105 </t>
  </si>
  <si>
    <t xml:space="preserve">RESERVOIR 43X105 </t>
  </si>
  <si>
    <t>NEW RESERVOIR 46X105/M48</t>
  </si>
  <si>
    <t>G EYE TAPER 20x18x45xM5xM48xM35</t>
  </si>
  <si>
    <t>DR-TW-2B69N236-00-00</t>
  </si>
  <si>
    <t>2B69M236-00</t>
  </si>
  <si>
    <t>DR-TW-2B69M236-00-00</t>
  </si>
  <si>
    <t>2B26-500-00</t>
  </si>
  <si>
    <t>DR-TW-2B26-500-00-00</t>
  </si>
  <si>
    <t>DR-TW-2B25-502-00-00</t>
  </si>
  <si>
    <t>2B25-502-00</t>
  </si>
  <si>
    <t>FORK 20x25x63xM8/M12</t>
  </si>
  <si>
    <t>PL 7580</t>
  </si>
  <si>
    <t>เพลาหน้าตัด ตัวU-BAR</t>
  </si>
  <si>
    <t>DR-TW-2B69M238-00-00</t>
  </si>
  <si>
    <t>2B69M238-00</t>
  </si>
  <si>
    <t>NEW EURO G EYE 20x27x45xM5xM44/M35x1.25 110 DEGREE</t>
  </si>
  <si>
    <t>DR-TW-2B69M240-00-00</t>
  </si>
  <si>
    <t>2B69M240-00</t>
  </si>
  <si>
    <t>O EYE W-REB 20x14x48/M12x1.25</t>
  </si>
  <si>
    <t>DR-TW-2B69M237-00-00</t>
  </si>
  <si>
    <t>2B69M237-00</t>
  </si>
  <si>
    <t>O EYE H-L(+5)TAPER 20x18x30/38</t>
  </si>
  <si>
    <t>2B69M241-00</t>
  </si>
  <si>
    <t>DR-TW-2B69M241-00-00</t>
  </si>
  <si>
    <t>G EYE W-COM TAPER (+4)20x18x49xM20xM48</t>
  </si>
  <si>
    <t>DR-TW-2B69M241-00-0</t>
  </si>
  <si>
    <t>DR-TW-2B69M242-00-00</t>
  </si>
  <si>
    <t>2B69M242-00</t>
  </si>
  <si>
    <t>ALU TUBE M42x36xL1</t>
  </si>
  <si>
    <t>2B69M243-00</t>
  </si>
  <si>
    <t>ALU TUBE M42x36x150</t>
  </si>
  <si>
    <t>ALU TUBE M42x36x140</t>
  </si>
  <si>
    <t>2B69M245-00</t>
  </si>
  <si>
    <t>DR-TW-2B69M245-00-00</t>
  </si>
  <si>
    <t>RETAINER 46(+5)</t>
  </si>
  <si>
    <t>DR-TW-2B69M250-00-00</t>
  </si>
  <si>
    <t>2B69M250-00</t>
  </si>
  <si>
    <t xml:space="preserve">NEW RETAINER 46 </t>
  </si>
  <si>
    <t>PCX-FS02-00</t>
  </si>
  <si>
    <t>ATP-PCX-FH02-00-00</t>
  </si>
  <si>
    <t>DR-TW-2B26-081-01-02</t>
  </si>
  <si>
    <t>G EYE TPER 20X18X45XM5XM48/M35X1.25 190 DEGREE</t>
  </si>
  <si>
    <t>G EYE TAPER 20X14X45XM5XM48XM35-190-DEGREE</t>
  </si>
  <si>
    <t>DR-TW-2B26-082-01-02</t>
  </si>
  <si>
    <t>G EYE TPER 20X18X45XM5XM48/M35X1.25 170 DEGREE</t>
  </si>
  <si>
    <t>DR-TW-2B25-273-00-00</t>
  </si>
  <si>
    <t>2B25-273-00</t>
  </si>
  <si>
    <t>DR-TW-2B69M221-01-00</t>
  </si>
  <si>
    <t>2B69M221-01</t>
  </si>
  <si>
    <t>DR-TW-2B27-180-00-01</t>
  </si>
  <si>
    <t>DR-TW-2B69A014-00-00</t>
  </si>
  <si>
    <t>2B69A014-00</t>
  </si>
  <si>
    <t>O-EYE 40x30x55/M10x1.25</t>
  </si>
  <si>
    <t>2B69A015-00</t>
  </si>
  <si>
    <t>DR-TW-2B69A015-00-00</t>
  </si>
  <si>
    <t>O EYE 40X30X110/M10X1.25</t>
  </si>
  <si>
    <t>PF S7429</t>
  </si>
  <si>
    <t>DR-TW-2B24B090-00-03</t>
  </si>
  <si>
    <t>NEW RESERVOIR 46X90/M48</t>
  </si>
  <si>
    <t>DR-TW-2B26-207-03-01</t>
  </si>
  <si>
    <t>PAKORN</t>
  </si>
  <si>
    <t>RESERVOIR TOP M48XM5</t>
  </si>
  <si>
    <t>PRELOAD 56/M50X1.5X17.5XM6 SET/</t>
  </si>
  <si>
    <t>PRELOAD 40/M35X1.25X14XM6 /SET/</t>
  </si>
  <si>
    <t>ALU TUBE-M35X30X130</t>
  </si>
  <si>
    <t>ALU TUBE-M35X30X135</t>
  </si>
  <si>
    <t>ALU TUBE-M35X30X140</t>
  </si>
  <si>
    <t>ALU TUBE-M35X30X155</t>
  </si>
  <si>
    <t>ALU TUBE DTG_PLUS 220 M35X30X205X20</t>
  </si>
  <si>
    <t>ALU TUBE DTG_PLUS 222 M35X30X31.5X155X20</t>
  </si>
  <si>
    <t>ALU TUBE DTG_PLUS 222 M35X30X31.5X160X20</t>
  </si>
  <si>
    <t xml:space="preserve">ALU TUBE DTG_PLUS 222 M35X30X31.5X165X20 </t>
  </si>
  <si>
    <t xml:space="preserve">ALU TUBE DTG_PLUS 222 M35X30X31.5X180X25 </t>
  </si>
  <si>
    <t>DR-TW-2B69A017-00-00</t>
  </si>
  <si>
    <t>2B69A017-00</t>
  </si>
  <si>
    <t>Z EYE 40x30x65/M50/M10</t>
  </si>
  <si>
    <t>NEW RESERVOIR 46X65/M48</t>
  </si>
  <si>
    <t>NEW RESERVOIR 46X120/M48</t>
  </si>
  <si>
    <t>Part&amp;Drawing</t>
  </si>
  <si>
    <t>SPCER FOR SPRING 39X52X10</t>
  </si>
  <si>
    <t>DR-TW-2B27-162-00-01</t>
  </si>
  <si>
    <t xml:space="preserve">NEW RESERVOIR 43X100/M44 </t>
  </si>
  <si>
    <t>SUMALEE</t>
  </si>
  <si>
    <t>DR-TW-2B29-270-01-01</t>
  </si>
  <si>
    <t>2B25-306-00</t>
  </si>
  <si>
    <t>FORK 32x28x48xM10xM12x1.25</t>
  </si>
  <si>
    <t>DR-TW-2B26-190-00-00</t>
  </si>
  <si>
    <t>2B26-190-00</t>
  </si>
  <si>
    <t>NEW G FORK W-COM 20x21x48xM8xM20xM44/M35 RIGHT 110 DEGREE</t>
  </si>
  <si>
    <t>DR-TW-2B26-295-00-00</t>
  </si>
  <si>
    <t>2B26-295-00</t>
  </si>
  <si>
    <t>C FORK 20x21x48xM8xM5xM44/M35 110 DEGREE RIGHT</t>
  </si>
  <si>
    <t>DR-TW-2B27-082-00-00</t>
  </si>
  <si>
    <t>2B27-082-00</t>
  </si>
  <si>
    <t>ALL NEW RETAINER 46 +5</t>
  </si>
  <si>
    <t>DR-TW-2B26-084-00-00</t>
  </si>
  <si>
    <t>2B26-084-00</t>
  </si>
  <si>
    <t>G EYE W-COM TAPER (+4)20x18x49xM20xM48/Mx1.5</t>
  </si>
  <si>
    <t>O EYE W-REB TAPER 20x14x48/M12x1.25</t>
  </si>
  <si>
    <t>DR-TW-2B27-101-00-00</t>
  </si>
  <si>
    <t>2B27-101-00</t>
  </si>
  <si>
    <t>ALL NEW RETAINER 46</t>
  </si>
  <si>
    <t>DR-TW-2B94-051-00-00</t>
  </si>
  <si>
    <t>2B94-051-00</t>
  </si>
  <si>
    <t>PRELOAD 46/M35x1.25x14.5xM6 WITH WORM  SCREW M6 SET</t>
  </si>
  <si>
    <t>PCX-RS02-00</t>
  </si>
  <si>
    <t>ATP-PCX-RH02-00-00</t>
  </si>
  <si>
    <t>REAR-SPACER PCX-2021</t>
  </si>
  <si>
    <t>2B69A016-00</t>
  </si>
  <si>
    <t>DR-TW-2B69A016-00-00</t>
  </si>
  <si>
    <t>O EYE W-BLACK SIDE REB 40x30x59/M16x1.5</t>
  </si>
  <si>
    <t>DR-TW-2B26-294-00-01</t>
  </si>
  <si>
    <t>SDPACER NEW PCX -2021</t>
  </si>
  <si>
    <t>BODY  HOUSE 18X7X125</t>
  </si>
  <si>
    <t>BODY  HOUSE 18X7X140</t>
  </si>
  <si>
    <t>BODY  HOUSE 18X7X167</t>
  </si>
  <si>
    <t>BODY  HOUSE 18X7X200</t>
  </si>
  <si>
    <t>ALU TUBE-M35X30X215</t>
  </si>
  <si>
    <t>เพลาหน้าตัดพิเศษ 24 มม.x31.5มม.x66มม.</t>
  </si>
  <si>
    <t>CLAMP-16-TYPE-B</t>
  </si>
  <si>
    <t>DR-TW-2B26-249-03-00</t>
  </si>
  <si>
    <t xml:space="preserve">RETAINER +10 COLOR </t>
  </si>
  <si>
    <t>2B26-249-03</t>
  </si>
  <si>
    <t>G EYE H-L 26X18X50XM20XM48/M50x1.5/30 DEGREE</t>
  </si>
  <si>
    <t>ATP-PCX-RH02-00</t>
  </si>
  <si>
    <t>PCX-RH02-00</t>
  </si>
  <si>
    <t>RAER HUB PCX 2021</t>
  </si>
  <si>
    <t>DR-TW-2B26-063-04-00</t>
  </si>
  <si>
    <t>DR-TW-2B26-116-06-01</t>
  </si>
  <si>
    <t>DR-TW-2B04-464-00-00</t>
  </si>
  <si>
    <t>2B04-464-00</t>
  </si>
  <si>
    <t xml:space="preserve">OUTER TUBE 45X59.5X500 /M47x1.5 </t>
  </si>
  <si>
    <t>DR-TW-2B69M255-00-00</t>
  </si>
  <si>
    <t>2B69M255-00</t>
  </si>
  <si>
    <t>ALU TUBE-M35X30X120</t>
  </si>
  <si>
    <t>Z EYE 30X27X65XM50-M10</t>
  </si>
  <si>
    <t>O EYE W-SIDE REB26x18x70/M16x1.5</t>
  </si>
  <si>
    <t>ALU TUBE-M35X30X160</t>
  </si>
  <si>
    <t>ALU TUBE-M35X30X180</t>
  </si>
  <si>
    <t>2B19-190-07</t>
  </si>
  <si>
    <t>ALU TUBE-M35X30X190</t>
  </si>
  <si>
    <t>ALU TUBE-M35X30X195</t>
  </si>
  <si>
    <t>ALU TUBE-M35X30X205</t>
  </si>
  <si>
    <t xml:space="preserve">ALU TUBE M35x30x085/35 FOR END CAP </t>
  </si>
  <si>
    <t xml:space="preserve">ALU TUBE M35x30x090/35 FOR END CAP </t>
  </si>
  <si>
    <t xml:space="preserve">ALU TUBE M35x30x115/35 FOR END CAP </t>
  </si>
  <si>
    <t xml:space="preserve">ALU TUBE M35x30x105/35 FOR END CAP </t>
  </si>
  <si>
    <t>PF-7265</t>
  </si>
  <si>
    <t>PF-7266</t>
  </si>
  <si>
    <t>6061 16</t>
  </si>
  <si>
    <t xml:space="preserve">6061 T6 </t>
  </si>
  <si>
    <t xml:space="preserve">6062 T6 </t>
  </si>
  <si>
    <t xml:space="preserve">6063 T6 </t>
  </si>
  <si>
    <t xml:space="preserve">6065 T6 </t>
  </si>
  <si>
    <t>ท่ออลูมิเนียมโต 144 มม. 5 แฉก</t>
  </si>
  <si>
    <t>ท่ออลูมิเนียมโต 146 มม. รุใน 8แฉก</t>
  </si>
  <si>
    <t>G-EYE W-COM 26X18X45XM20XM48-M42</t>
  </si>
  <si>
    <t>SPACER-NEW-PCX-2021</t>
  </si>
  <si>
    <t>FRONT SPACER PCX-2021</t>
  </si>
  <si>
    <t xml:space="preserve">FORK SCREW 30X28X63X10MM/M16X1.0 </t>
  </si>
  <si>
    <t>FORK-SCREW-26X28X63X12MM-M16</t>
  </si>
  <si>
    <t>2B91-144-02</t>
  </si>
  <si>
    <t>FORK-W-REB-30X30X70X15MM-M16X1.5</t>
  </si>
  <si>
    <t>G NUT W-COM 45XM20XM48XM42XM16</t>
  </si>
  <si>
    <t>131</t>
  </si>
  <si>
    <t xml:space="preserve">FORK SCREW 26X28X63X10MM/M16X1.0 SET </t>
  </si>
  <si>
    <t>FORK-SCREW 26X28X63X10MM-M16</t>
  </si>
  <si>
    <t>38 (AL 7075)</t>
  </si>
  <si>
    <t>DR-TW-2B26-068-04-00</t>
  </si>
  <si>
    <t>2B26-068-04</t>
  </si>
  <si>
    <t>I DOL EYE H-L 26x18x45xM5/M42x1.5 LEFT</t>
  </si>
  <si>
    <t>G EYE TAPER 20x18x45xM5xM38/M35 190 DEGREE</t>
  </si>
  <si>
    <t>DR-TW-2B69M257-00-00</t>
  </si>
  <si>
    <t>2B69M257-00</t>
  </si>
  <si>
    <t>FORK W-REB 22.5x30x70xM12x1.25/M16x1.5</t>
  </si>
  <si>
    <t>DR-TW-2B69M256-00-00</t>
  </si>
  <si>
    <t>2B69M256-00</t>
  </si>
  <si>
    <t>O-EYE H-L (+10) 26x18x35/38</t>
  </si>
  <si>
    <t>FORK 20X25X43XM8XM12</t>
  </si>
  <si>
    <t>DR-TW-2B25-118-00-00</t>
  </si>
  <si>
    <t>O-EYE-20-23X18X43XM12X1.25-OFFSET 4.0</t>
  </si>
  <si>
    <t>2B19-210-01</t>
  </si>
  <si>
    <t>ALU TUBE-M35X30X210</t>
  </si>
  <si>
    <t>ALU TUBE-M35X30X145</t>
  </si>
  <si>
    <t xml:space="preserve">FORK SCREW 32X28X63X12MM/M16X1.0 </t>
  </si>
  <si>
    <t>FORK-SCREW 32X28X63X10MM-M16</t>
  </si>
  <si>
    <t>DR-TW-2B29-201-00-01</t>
  </si>
  <si>
    <t>G BASE I-DOL H-L 25xM16</t>
  </si>
  <si>
    <t>FORK-SCREW 30X28X63X12MM-M16</t>
  </si>
  <si>
    <t>DR-TW-2B04-465-00-00</t>
  </si>
  <si>
    <t>2B04-465-00</t>
  </si>
  <si>
    <t>DR-TW-2B91-044-02-00</t>
  </si>
  <si>
    <t>FORK SCREW 26x28x63xM10/M16x1.0 SPECIAL SET</t>
  </si>
  <si>
    <t>DR-TW-2B19D140-03-00</t>
  </si>
  <si>
    <t>2B19D145-03</t>
  </si>
  <si>
    <t>2B19D155-03</t>
  </si>
  <si>
    <t>2B19D160-03</t>
  </si>
  <si>
    <t>2B19D165-03</t>
  </si>
  <si>
    <t>2B19D170-03</t>
  </si>
  <si>
    <t xml:space="preserve">ALU TUBE DTG_PLUS 220 M35X30X31.5X145X20 </t>
  </si>
  <si>
    <t>2B19D180-03</t>
  </si>
  <si>
    <t xml:space="preserve">ALU TUBE DTG-PLUS 220 M35X30X145X20 </t>
  </si>
  <si>
    <t>DR-TW-2B69M219-01-00</t>
  </si>
  <si>
    <t>2B69M219-01</t>
  </si>
  <si>
    <t>FORK 20x25x47xM8/M32x1.25</t>
  </si>
  <si>
    <t>DR-TW-2B25-161-00-00</t>
  </si>
  <si>
    <t>FORK W-REB 32x30x70x12/M16x1.5(SP)</t>
  </si>
  <si>
    <t>DR-TW-2B69M056-00-00</t>
  </si>
  <si>
    <t>2B69M056-00</t>
  </si>
  <si>
    <t xml:space="preserve">OUTER TUBE 45X55X500 /M47x1.5 </t>
  </si>
  <si>
    <t xml:space="preserve">Z EYE 26x18x65xM8/M50x1.5 </t>
  </si>
  <si>
    <t>OUTER TUBE 45X55X500 /M47x1.5</t>
  </si>
  <si>
    <t>83.5</t>
  </si>
  <si>
    <t>50</t>
  </si>
  <si>
    <t>87.5</t>
  </si>
  <si>
    <t>100</t>
  </si>
  <si>
    <t>DR-TW-2B69M057-00-00</t>
  </si>
  <si>
    <t>2B69M057-00</t>
  </si>
  <si>
    <t>OUTER TUBE 34x52.5x425/M36x1.0</t>
  </si>
  <si>
    <t>DR-TW-2B69M058-00-00</t>
  </si>
  <si>
    <t>2B69M058-00</t>
  </si>
  <si>
    <t>OUTER TUBE 34x52.5x385/M36x1.0</t>
  </si>
  <si>
    <t>DR-TW-2B25-193-00-00</t>
  </si>
  <si>
    <t>2B25-193-00</t>
  </si>
  <si>
    <t>DR-TW-2B25-274-00-00</t>
  </si>
  <si>
    <t>2B25-274-00</t>
  </si>
  <si>
    <t>DR-TW-2B69M268-00-00</t>
  </si>
  <si>
    <t>Z EYE 14x15x40xM5/M35x1.25</t>
  </si>
  <si>
    <t>2B69M268-00</t>
  </si>
  <si>
    <t>DR-TW-2B69M269-00-00</t>
  </si>
  <si>
    <t>2B69M269-00</t>
  </si>
  <si>
    <t>O EYE 14x15x34 W-BLACK SIDE REBOUND M12x1.25</t>
  </si>
  <si>
    <t>DR-TW-2B69M272-00-00</t>
  </si>
  <si>
    <t>2B69M272-00</t>
  </si>
  <si>
    <t>O EYE 14x15x34/M12x1.25</t>
  </si>
  <si>
    <t xml:space="preserve">   </t>
  </si>
  <si>
    <t>DR-TW-2B69M274-00-00</t>
  </si>
  <si>
    <t>2B69M274-00</t>
  </si>
  <si>
    <t>ALU TUBE M35x30x95/45 FOR END CAP HT</t>
  </si>
  <si>
    <t>FORK 48x28x48xM10/M12x1.25</t>
  </si>
  <si>
    <t>RESERVOIR CLAMP 46 HOLE 13</t>
  </si>
  <si>
    <t>DR-TW-2B26-208-02-00</t>
  </si>
  <si>
    <t>O-EYE W RB 26x18x115-M16</t>
  </si>
  <si>
    <t>ALU TUBE M50x45x130</t>
  </si>
  <si>
    <t>FORK W-BLACK SIDE REB 20x22x49xM8/M12x1.25 LEFT</t>
  </si>
  <si>
    <t>FORK W-BLACK SIDE REB 20x22x49xM8/M12x1.25 RIGHT</t>
  </si>
  <si>
    <t>DR-TW-2B24-216-02-00</t>
  </si>
  <si>
    <t>DR-TW-2B24-227-00-00</t>
  </si>
  <si>
    <t>RESERVOIR 46X75 W-FREE-PISTON-FOR-RACING-BLACK</t>
  </si>
  <si>
    <t>FORK-SCREW 30X28X63X10MM-M16</t>
  </si>
  <si>
    <t>DR-TW-2B26-360-00-00</t>
  </si>
  <si>
    <t>2B26-360-00</t>
  </si>
  <si>
    <t>Z EYE 40x30x65xM10/M50x1.5</t>
  </si>
  <si>
    <t>DR-TW-2B25-069-00-00</t>
  </si>
  <si>
    <t>2B25-269-00</t>
  </si>
  <si>
    <t>O EYE W-BLACK SIDE REB 40x30x59/48xM16x1.5</t>
  </si>
  <si>
    <t>DR-TW-2B25-269-00-00</t>
  </si>
  <si>
    <t>DR-TW-2B25-283-00-00</t>
  </si>
  <si>
    <t>2B25-283-00</t>
  </si>
  <si>
    <t>DR-TW-2B25-525-00-00</t>
  </si>
  <si>
    <t>2B25-525-00</t>
  </si>
  <si>
    <t>DR-TW-2B25-526-00-00</t>
  </si>
  <si>
    <t>2B25-526-00</t>
  </si>
  <si>
    <t>O EYE 40x30x55/M10x1.25</t>
  </si>
  <si>
    <t>PL 13152</t>
  </si>
  <si>
    <t>ท่ออลูมิเนียมโต 55 มม. รุใน 34มม.</t>
  </si>
  <si>
    <t>DR-TW-2B69M090-00-00</t>
  </si>
  <si>
    <t>BOTTOM FORK AXLE CLAMP RIGHT 31x115xM43</t>
  </si>
  <si>
    <t>DR-TW-2B69M100-00-00</t>
  </si>
  <si>
    <t>2B69M100-00</t>
  </si>
  <si>
    <t>BOTTOM FORK AXLE CLAMP LEFT 18x115xM43</t>
  </si>
  <si>
    <t>DR-TW-2B55-205-00-03</t>
  </si>
  <si>
    <t>2B55-195-00</t>
  </si>
  <si>
    <t>ALU TUBE M51X45X195 HT.</t>
  </si>
  <si>
    <t>DR-TW-2B55-195-00-03</t>
  </si>
  <si>
    <t>ALU TUBE M51X45X195</t>
  </si>
  <si>
    <t>DR-TW-2B29-230-00-01</t>
  </si>
  <si>
    <t>2B29-230-00</t>
  </si>
  <si>
    <t>REB EYE BASE W SIDE REBOUND 50/M16x1.5/M16x1.0</t>
  </si>
  <si>
    <t>DR-TW-2B69M298-00-00</t>
  </si>
  <si>
    <t>2B69M298-00</t>
  </si>
  <si>
    <t>ALU TUBE M35x30x140/35 FOR END CAP M32x1.0</t>
  </si>
  <si>
    <t>ZM</t>
  </si>
  <si>
    <t xml:space="preserve">RESERVOIR TOP IDOL H-L M48xM20x12 </t>
  </si>
  <si>
    <t>ALU BODY HOUE 54x83x28 M10</t>
  </si>
  <si>
    <t>2B26-248-04</t>
  </si>
  <si>
    <t>DR-TW-2B26-248-04-00</t>
  </si>
  <si>
    <t>DR-TW-2B69M304-00-00</t>
  </si>
  <si>
    <t>2B69M304-00</t>
  </si>
  <si>
    <t>O EYE SCREW 22x16x35.5/M16x1.0</t>
  </si>
  <si>
    <t>2B69M305-00</t>
  </si>
  <si>
    <t>Z EYE 22x16x40xM10M42x1.5/10 DEGREE</t>
  </si>
  <si>
    <t>DR-TW-2B69M305-00-00</t>
  </si>
  <si>
    <t>DR-TW-2B69M306-00-00</t>
  </si>
  <si>
    <t>2B69M306-00</t>
  </si>
  <si>
    <t>REB EYE BASE W-SIDE REBOUND 50/M16x1.5/M16x1.0</t>
  </si>
  <si>
    <t>DR-TW-2B26-030-01-00</t>
  </si>
  <si>
    <t>2B26-030-01</t>
  </si>
  <si>
    <t>DR-TW-2B26-050-06-00</t>
  </si>
  <si>
    <t>2B26-050-06</t>
  </si>
  <si>
    <t>DR-TW-2B26-061-05-00</t>
  </si>
  <si>
    <t>2B26-061-05</t>
  </si>
  <si>
    <t xml:space="preserve">G EYE W-COM 26X18X45XM20XM48XM42 90 DEGREE </t>
  </si>
  <si>
    <t>DR-TW-2B26-062-05-00</t>
  </si>
  <si>
    <t>2B26-062-05</t>
  </si>
  <si>
    <t>DR-TW-2B26-063-05-00</t>
  </si>
  <si>
    <t>2B26-063-05</t>
  </si>
  <si>
    <t>DR-TW-2B26-066-05-00</t>
  </si>
  <si>
    <t>2B26-066-05</t>
  </si>
  <si>
    <t>DR-TW-2B26-067-05-00</t>
  </si>
  <si>
    <t>2B26-067-05</t>
  </si>
  <si>
    <t>2B69M275-00</t>
  </si>
  <si>
    <t>DR-TW-2B69M275-00-00</t>
  </si>
  <si>
    <t>HD RADIAN CALIPER MOUNT RIGHT 108xM10(2B69M275-00)</t>
  </si>
  <si>
    <t>DR-TW-2B26-068-05-00</t>
  </si>
  <si>
    <t>2B26-068-05</t>
  </si>
  <si>
    <t>IDOL EYE H-L 26X18X45XM5XM42X1.5 LEFT HT</t>
  </si>
  <si>
    <t>DR-TW-2B26-069-04-00</t>
  </si>
  <si>
    <t>2B26-069-04</t>
  </si>
  <si>
    <t>IDOL EYE H-L 26x18x45xM5xM42x1.5 RIGHT</t>
  </si>
  <si>
    <t>DR-YW-2B6-069-04-00</t>
  </si>
  <si>
    <t>DR-TW-2B26-083-03-00</t>
  </si>
  <si>
    <t>2B26-083-03</t>
  </si>
  <si>
    <t>G EYE W-COM 26X18X45XM20XM38-M42-200 DG LEFFT</t>
  </si>
  <si>
    <t>DR-TW-2B26-131-01-00</t>
  </si>
  <si>
    <t>2B26-131-01</t>
  </si>
  <si>
    <t>DR-TW-2B26-132-03-00</t>
  </si>
  <si>
    <t>2B26-132-03</t>
  </si>
  <si>
    <t>2B26-009-03</t>
  </si>
  <si>
    <t>2B26-126-0K</t>
  </si>
  <si>
    <t>DR-TW-2B26-201-04-00</t>
  </si>
  <si>
    <t>2B26-201-04</t>
  </si>
  <si>
    <t>G EYE H-L 26X18X50XM20XM44XM42</t>
  </si>
  <si>
    <t>DR-TW-2B26-202-03-00</t>
  </si>
  <si>
    <t>G EYE H-L +35 26x18x85xM20xM44/M42x1.5 MTO</t>
  </si>
  <si>
    <t>2B6-202-03</t>
  </si>
  <si>
    <t>2B26-203-02</t>
  </si>
  <si>
    <t>DR-TW-2B26-203-02-00</t>
  </si>
  <si>
    <t>DR-TW-2B26-218-04-00</t>
  </si>
  <si>
    <t>2B26-218-04</t>
  </si>
  <si>
    <t>DR-TW-2B26-227-03-00</t>
  </si>
  <si>
    <t>2B26-227-03</t>
  </si>
  <si>
    <t>G EYE H-L 26x18x55xM20xM44/M50x1.5</t>
  </si>
  <si>
    <t>DR-TW-2B26-248-05-00</t>
  </si>
  <si>
    <t>2B26-248-05</t>
  </si>
  <si>
    <t>DR-TW-2B69M056-01-00</t>
  </si>
  <si>
    <t>2B69M056-01</t>
  </si>
  <si>
    <t xml:space="preserve">ALU TUBE 20X25X260 </t>
  </si>
  <si>
    <t>DR-TW-2B69M308-00-00</t>
  </si>
  <si>
    <t>2B69M308-00</t>
  </si>
  <si>
    <t xml:space="preserve">OUTER TUBE 45X55X540 /M47x1.5 </t>
  </si>
  <si>
    <t>OUTER TUBE 45X55X540-M47</t>
  </si>
  <si>
    <t>DR-TW-2B25-266-01-00</t>
  </si>
  <si>
    <t>2B25-266-01</t>
  </si>
  <si>
    <t xml:space="preserve">O EYE W SIDE REB 26X18X50XM12X1.25 </t>
  </si>
  <si>
    <t>2B55-170-00</t>
  </si>
  <si>
    <t>ALU TUBR M51X45X170 HARD BLACK</t>
  </si>
  <si>
    <t>ALU TUBR M51X45X95 HARD BLACK</t>
  </si>
  <si>
    <t>DR-TW-2B26-110-0G-00</t>
  </si>
  <si>
    <t>2B26-110-0G</t>
  </si>
  <si>
    <t>DR-TW-2B26-370-01-00</t>
  </si>
  <si>
    <t>2B26-370-01</t>
  </si>
  <si>
    <t>DR-TW-2B25-284-01-00</t>
  </si>
  <si>
    <t>2B25-284-01</t>
  </si>
  <si>
    <t>DR-TW-2B26-340-02-00</t>
  </si>
  <si>
    <t>2B26-340-02</t>
  </si>
  <si>
    <t>DR-TW-2B26-371-01-00</t>
  </si>
  <si>
    <t>2B26-371-01</t>
  </si>
  <si>
    <t>RESERVOIR-TOP-IDOL-30-CLICK</t>
  </si>
  <si>
    <t>FORK-SCREW 28X28X63X8MM-M16</t>
  </si>
  <si>
    <t>DR-TW-2B26-470-00-00</t>
  </si>
  <si>
    <t>2B26-470-00</t>
  </si>
  <si>
    <t xml:space="preserve">NEW C EYE TAPER 20x18x45/M5xM44/M35 170 DEGREE OFFSET </t>
  </si>
  <si>
    <t>DR-TW-2B26-471-00-00</t>
  </si>
  <si>
    <t>2B26-471-00</t>
  </si>
  <si>
    <t>NEW C EYE TAPER 20x18x45/M5xM44/M35 190 DEGREE OFFSET</t>
  </si>
  <si>
    <t>DR-TW-2B25-550-00-00</t>
  </si>
  <si>
    <t>2B25-550-00</t>
  </si>
  <si>
    <t>DR-TW-2B26-249-04-00</t>
  </si>
  <si>
    <t>2B26-249-04</t>
  </si>
  <si>
    <t>2B69M325-00</t>
  </si>
  <si>
    <t>DR-TW-2B69M325-00-00</t>
  </si>
  <si>
    <t>HOUSING COMPRESSION M31x1.0x213xM5</t>
  </si>
  <si>
    <t>2B69M286-00</t>
  </si>
  <si>
    <t>DR-TW-2B69M286-00-00</t>
  </si>
  <si>
    <t>HD RADIAL CALIPER MOUNTS RIGHT 118x23x8x6</t>
  </si>
  <si>
    <t>2B69M285-00</t>
  </si>
  <si>
    <t>DR-TW-2B69M285-00-00</t>
  </si>
  <si>
    <t>HD RADIAL CALIPER MOUNTS LEFT 118x23x8x6</t>
  </si>
  <si>
    <t>2B25-030-02</t>
  </si>
  <si>
    <t>FORK W-REB 24x30x70x10MM/M16x1.5 OFFSET 3 MM.</t>
  </si>
  <si>
    <t>DR-TW-2B69M318-00-00</t>
  </si>
  <si>
    <t>2B69M318-00</t>
  </si>
  <si>
    <t>PRELOAD 46/M35x1.25x14.5xM6 WITH WORM SCREW M6 SET</t>
  </si>
  <si>
    <t>DR-TW-2B69M319-00-00</t>
  </si>
  <si>
    <t>2B69M319-00</t>
  </si>
  <si>
    <t>DR-TW-2B69M320-00-00</t>
  </si>
  <si>
    <t>2B69M320-00</t>
  </si>
  <si>
    <t>ALU TUBE M35x30x205 END CAP M</t>
  </si>
  <si>
    <t>DR-TW-2B48-430-00-00</t>
  </si>
  <si>
    <t>2B48-430-00</t>
  </si>
  <si>
    <t>HD RADIAN CALIPER MOUNT LEFT 108xM10</t>
  </si>
  <si>
    <t>DR-TW-2B48-431-00-00</t>
  </si>
  <si>
    <t>2B48-431-00</t>
  </si>
  <si>
    <t>HD RADIAN CALIPER MOUNT RIGHT 108xM10</t>
  </si>
  <si>
    <t>DR-TW-2B48-308-00-00</t>
  </si>
  <si>
    <t>2B48-308-00</t>
  </si>
  <si>
    <t>DR-TW-2B48-307-00-00</t>
  </si>
  <si>
    <t>BOTTOM FORK AXLE CLAMP LEFT 31x115xM43</t>
  </si>
  <si>
    <t>12-01-2023</t>
  </si>
  <si>
    <t>DR-TW-2B48-433-00-00</t>
  </si>
  <si>
    <t>2B48-433-00</t>
  </si>
  <si>
    <t>2B48-432-00</t>
  </si>
  <si>
    <t>DR-TW-2B48-432-00-00</t>
  </si>
  <si>
    <t>2B48-307-00</t>
  </si>
  <si>
    <t>ALU TUBE-M35X30X155-30 FOR CAP M33</t>
  </si>
  <si>
    <t>DR-TW-2B69M330-00-00</t>
  </si>
  <si>
    <t>2B69M330-00</t>
  </si>
  <si>
    <t>DR-TW-2B30-024-02-00</t>
  </si>
  <si>
    <t>AL MOVING BUSH 45X61X25.5 HPA 366 HT</t>
  </si>
  <si>
    <t>DR-TW-2B69M328-00-00</t>
  </si>
  <si>
    <t>2B69M328-00</t>
  </si>
  <si>
    <t>ALU TUBE COVER 45x59x130/M53x1.0</t>
  </si>
  <si>
    <t>DR-TW-2B69M322-00-00</t>
  </si>
  <si>
    <t>2B69M322-00</t>
  </si>
  <si>
    <t>Z-EYE TAPER 20X18X55-M35-M53X1.0</t>
  </si>
  <si>
    <t>DR-TW-2B26-124-04-00</t>
  </si>
  <si>
    <t>2B26-124-04</t>
  </si>
  <si>
    <t>2B26-122-08</t>
  </si>
  <si>
    <t>Z EYE 26X18X45XM10XM50</t>
  </si>
  <si>
    <t xml:space="preserve">FORK SCREW 24X28X63X8MM/M16X1.0 </t>
  </si>
  <si>
    <t>DR-TW-2B69M321-00-00</t>
  </si>
  <si>
    <t>2B69M321-00</t>
  </si>
  <si>
    <t>2B69M332-00</t>
  </si>
  <si>
    <t>FORK W-BLACK SIDE REB 20x22x61xM8/M12/M40 RIGHT</t>
  </si>
  <si>
    <t>FORK W-BLACK SIDE REB 20x22x61xM8/M12/M40 LEFT</t>
  </si>
  <si>
    <t>2B26-251-05</t>
  </si>
  <si>
    <t>2B69M330-01</t>
  </si>
  <si>
    <t>DR-TW-2B69M330-01-00</t>
  </si>
  <si>
    <t>ALU TUBE-M35X30X155-30 FOR CAP M32</t>
  </si>
  <si>
    <t>DR-TW-2B04B500-00-00</t>
  </si>
  <si>
    <t>2B04B500-00</t>
  </si>
  <si>
    <t>DR-TW-2B24-065-00-00</t>
  </si>
  <si>
    <t>FORK-20X28X48X10MM-M12</t>
  </si>
  <si>
    <t>DR-TW-2B25-267-01-00</t>
  </si>
  <si>
    <t>2B25-267-01</t>
  </si>
  <si>
    <t>DR-TW-2B25-012-06-00</t>
  </si>
  <si>
    <t>2B25-012-06</t>
  </si>
  <si>
    <t>DR-TW-2B25-066-03-00</t>
  </si>
  <si>
    <t>2B25-066-03</t>
  </si>
  <si>
    <t xml:space="preserve">FORK SCREW 30X28X63X10MM/M16X1.0 SET </t>
  </si>
  <si>
    <t>DR-TW-2B51-215-01-03</t>
  </si>
  <si>
    <t>2B51-300-00</t>
  </si>
  <si>
    <t>DR-TW-2B26-295-00-01</t>
  </si>
  <si>
    <t>2B26-296-00</t>
  </si>
  <si>
    <t>C FORK 20x21x48xM8xM5xM44/M35 110 DEGREE LEFT</t>
  </si>
  <si>
    <t>DR-TW-2B26-042-00-00</t>
  </si>
  <si>
    <t>2B26-042-00</t>
  </si>
  <si>
    <t>Z EYE (+10)20x18x55xM5/M35x1.25/195 DEGREE</t>
  </si>
  <si>
    <t>2B26-041-00</t>
  </si>
  <si>
    <t>DR-TW-2B26-041-00-00</t>
  </si>
  <si>
    <t>Z EYE (+10)20x18x55xM5/M35x1.25/165 DEGREE</t>
  </si>
  <si>
    <t>DR-TW-2B26-191-00-00</t>
  </si>
  <si>
    <t>2B26-191-00</t>
  </si>
  <si>
    <t>NEW G FORK W-COM 20x21x48xM8xM20xM44/M35x1.25 250 RIGHT</t>
  </si>
  <si>
    <t>ALU TUBE M22X20X25X300</t>
  </si>
  <si>
    <t>PF-S7430</t>
  </si>
  <si>
    <t>RETAINER-50-(-10)COLOR</t>
  </si>
  <si>
    <t>DR-TW-2B26-191-00-01</t>
  </si>
  <si>
    <t>DR-TW-2B26-400-01-00</t>
  </si>
  <si>
    <t>2B26-400-01</t>
  </si>
  <si>
    <t>2b26-400-01</t>
  </si>
  <si>
    <t>DR-TW-2B25-260-03-00</t>
  </si>
  <si>
    <t>2B25-260-03</t>
  </si>
  <si>
    <t>DR-TW-2B25-262-03-00</t>
  </si>
  <si>
    <t>2B25-262-03</t>
  </si>
  <si>
    <t>2B25-263-02</t>
  </si>
  <si>
    <t>DR-TW-2B25-263-02-00</t>
  </si>
  <si>
    <t>DR-TW-2B25-264-01-00</t>
  </si>
  <si>
    <t>2B25-264-01</t>
  </si>
  <si>
    <t>DR-TW-2B25-265-01-00</t>
  </si>
  <si>
    <t>2B25-265-01</t>
  </si>
  <si>
    <t>DR-TW-2B25-268-01-00</t>
  </si>
  <si>
    <t>2B25-268-01</t>
  </si>
  <si>
    <t>DR-TW-2B25-282-02-00</t>
  </si>
  <si>
    <t>2B25-282-02</t>
  </si>
  <si>
    <t xml:space="preserve">O-EYE W-REB 26X18X53XM12 OFFSET 4 MM	</t>
  </si>
  <si>
    <t>2B91-247-01</t>
  </si>
  <si>
    <t xml:space="preserve">O EYE SCREW 26x18x60/M16x1.0 SET	</t>
  </si>
  <si>
    <t>DR-TW-2B91-247-01-00</t>
  </si>
  <si>
    <t>DR-TW-2B91-248-01-00</t>
  </si>
  <si>
    <t>2B91-248-01</t>
  </si>
  <si>
    <t>DR-TW-2B98-248-01-00</t>
  </si>
  <si>
    <t>2B91-249-01</t>
  </si>
  <si>
    <t>DR-TW-2B91-249-01-00</t>
  </si>
  <si>
    <t>DR-TW-2B26-295-01-00</t>
  </si>
  <si>
    <t>2B26-295-01</t>
  </si>
  <si>
    <t>2B26-296-01</t>
  </si>
  <si>
    <t>2B69A020-01</t>
  </si>
  <si>
    <t>G EYE REBOUND/COM 40x30x55xM20xM48/M50x1.5</t>
  </si>
  <si>
    <t>DR-TW-2B69M350-00-00</t>
  </si>
  <si>
    <t>2B69M350-00</t>
  </si>
  <si>
    <t>G EYE REBOUND/COM TAPER 30x30x55xM20xM48/M50x1.5</t>
  </si>
  <si>
    <t>DR-TW-2B69A020-01-00</t>
  </si>
  <si>
    <t>ALU TUBE M51X45X170</t>
  </si>
  <si>
    <t>DR-TW-2B69MXXX-00-00</t>
  </si>
  <si>
    <t>2B69MXXX-00</t>
  </si>
  <si>
    <t>ALU TUBE M35x30x200 FOR END CAP M32x1.0</t>
  </si>
  <si>
    <t>DR-TW-2B27-120-02-00</t>
  </si>
  <si>
    <t>2B27-120-02</t>
  </si>
  <si>
    <t>RETAINER 42</t>
  </si>
  <si>
    <t xml:space="preserve">RETAINER 42 </t>
  </si>
  <si>
    <t>DR-TW-2B27-063-00-00</t>
  </si>
  <si>
    <t>2B27-063-00</t>
  </si>
  <si>
    <t>RETAINER 56 (-8)</t>
  </si>
  <si>
    <t>2B27-111-02</t>
  </si>
  <si>
    <t>DR-TW-2B27-111-02-00</t>
  </si>
  <si>
    <t>RETAINER 56(+7)</t>
  </si>
  <si>
    <t>RETAINER 56 (+7)</t>
  </si>
  <si>
    <t>DR-TW-2B27-112-02-00</t>
  </si>
  <si>
    <t>2B27-112-02</t>
  </si>
  <si>
    <t>RETAINER 56 (-7)</t>
  </si>
  <si>
    <t>RETAINER 56(-7)</t>
  </si>
  <si>
    <t>2B27-151-00</t>
  </si>
  <si>
    <t>RETAINER 53/67  FOR 456 SPRING 53</t>
  </si>
  <si>
    <t>RETAINER 53/67 FOR 456 SPRING 53</t>
  </si>
  <si>
    <t>DR-TW-2B27-102-01-00</t>
  </si>
  <si>
    <t>2B27-102-01</t>
  </si>
  <si>
    <t>RETAINER 40</t>
  </si>
  <si>
    <t>DR-TW-2B27-081-00-01</t>
  </si>
  <si>
    <t>DR-TW-2B26-401-00-00</t>
  </si>
  <si>
    <t>2B26-401-00</t>
  </si>
  <si>
    <t>DR-TW-2B91-220-00-00</t>
  </si>
  <si>
    <t>2B91-220-00</t>
  </si>
  <si>
    <t>DR-TW-2B26-430-00-00</t>
  </si>
  <si>
    <t>2B26-430-00</t>
  </si>
  <si>
    <t>G EYE W-COM(+5) 26x18x50xM24xM48/M42x1.5 150 DEGREE</t>
  </si>
  <si>
    <t>DR-TW-2B26-431-00-00</t>
  </si>
  <si>
    <t>2B26-431-00</t>
  </si>
  <si>
    <t>G EYE W-COM(+5) 26x18x50xM24xM48/M42x1.5 210 DEGREE</t>
  </si>
  <si>
    <t>DR-TW-2B26-490-00-00</t>
  </si>
  <si>
    <t>2B26-490-00</t>
  </si>
  <si>
    <t>G EYE H-L (+5) 26x18x50xM24xM48/M42x1.5 150 DEGREE</t>
  </si>
  <si>
    <t>2B26-491-00</t>
  </si>
  <si>
    <t>DR-TW-2B26-491-00-00</t>
  </si>
  <si>
    <t>G EYE H-L (+5) 26x18x50xM24xM48/M42x1.5 210 DEGREE</t>
  </si>
  <si>
    <t>2B25-019-06</t>
  </si>
  <si>
    <t>DR-TW-2B25-019-06-00</t>
  </si>
  <si>
    <t>O EYE 26x18x58/M12</t>
  </si>
  <si>
    <t>DR-TW-2B91-301-00-R-00</t>
  </si>
  <si>
    <t>2B91-301-00-R</t>
  </si>
  <si>
    <t>FORK 30x25x55x12MM/M16 SPECIAL 22 DEGREE</t>
  </si>
  <si>
    <t>14</t>
  </si>
  <si>
    <t>DR-TW-2B69M365-00-00</t>
  </si>
  <si>
    <t>2B69M365-00</t>
  </si>
  <si>
    <t>Z EYE TAPER 20x18x55xM8/M35/M53</t>
  </si>
  <si>
    <t>DR-TW-2B69M330-01-01</t>
  </si>
  <si>
    <t>2B69M361-00</t>
  </si>
  <si>
    <t>ALU TUBE M35x30x170/30 FOR CAP M32</t>
  </si>
  <si>
    <t>ALU TUBE M35x30x155/30 FOR CAP M32</t>
  </si>
  <si>
    <t>2B69M362-00</t>
  </si>
  <si>
    <t>ALU TUBE M35x30x180/30 FOR CAP M32</t>
  </si>
  <si>
    <t>DR-TW-2B69M328-00-01</t>
  </si>
  <si>
    <t>2B69M359-00</t>
  </si>
  <si>
    <t>ALU TUBE COVER 45x59x150/M53x1.0</t>
  </si>
  <si>
    <t>2B69M360-00</t>
  </si>
  <si>
    <t>ALU TUBE COVER 45x59x200/M53x1.0</t>
  </si>
  <si>
    <t>DR-TW-2B26-150-09-00</t>
  </si>
  <si>
    <t>2B26-150-09</t>
  </si>
  <si>
    <t>X EYE 20x22x38xM10/M35x1.25</t>
  </si>
  <si>
    <t>DR-TW-2B19F090-00-00</t>
  </si>
  <si>
    <t>ALU TUBE M35x30x90 FOR END CAP M32x1.0</t>
  </si>
  <si>
    <t>ALU TUBE M35x30x95 FOR END CAP M32x1.0</t>
  </si>
  <si>
    <t>ALU TUBE M35x30x100 FOR END CAP M32x1.0</t>
  </si>
  <si>
    <t>ALU TUBE M35x30x105 FOR END CAP M32x1.0</t>
  </si>
  <si>
    <t>ALU TUBE M35x30x110 FOR END CAP M32x1.0</t>
  </si>
  <si>
    <t>ALU TUBE M35x30x115 FOR END CAP M32x1.0</t>
  </si>
  <si>
    <t>ALU TUBE M35x30x120 FOR END CAP M32x1.0</t>
  </si>
  <si>
    <t>ALU TUBE M35x30x125 FOR END CAP M32x1.0</t>
  </si>
  <si>
    <t>ALU TUBE M35x30x130 FOR END CAP M32x1.0</t>
  </si>
  <si>
    <t>ALU TUBE M35x30x135 FOR END CAP M32x1.0</t>
  </si>
  <si>
    <t>ALU TUBE M35x30x145 FOR END CAP M32x1.0</t>
  </si>
  <si>
    <t>ALU TUBE M35x30x150 FOR END CAP M32x1.0</t>
  </si>
  <si>
    <t>ALU TUBE M35x30x155 FOR END CAP M32x1.0</t>
  </si>
  <si>
    <t>ALU TUBE M35x30x160 FOR END CAP M32x1.0</t>
  </si>
  <si>
    <t>ALU TUBE M35x30x165 FOR END CAP M32x1.0</t>
  </si>
  <si>
    <t>ALU TUBE M35x30x170 FOR END CAP M32x1.0</t>
  </si>
  <si>
    <t>ALU TUBE M35x30x175 FOR END CAP M32x1.0</t>
  </si>
  <si>
    <t>ALU TUBE M35x30x180 FOR END CAP M32x1.0</t>
  </si>
  <si>
    <t>ALU TUBE M35x30x185 FOR END CAP M32x1.0</t>
  </si>
  <si>
    <t>ALU TUBE M35x30x190 FOR END CAP M32x1.0</t>
  </si>
  <si>
    <t>ALU TUBE M35x30x195 FOR END CAP M32x1.0</t>
  </si>
  <si>
    <t>ALU TUBE M35x30x205 FOR END CAP M32x1.0</t>
  </si>
  <si>
    <t>ALU TUBE M35x30x215 FOR END CAP M32x1.0</t>
  </si>
  <si>
    <t>ALU TUBE M35x30x220 FOR END CAP M32x1.0</t>
  </si>
  <si>
    <t>ALU TUBE M35x30x225 FOR END CAP M32x1.0</t>
  </si>
  <si>
    <t>ALU TUBE M35x30x240 FOR END CAP M32x1.0</t>
  </si>
  <si>
    <t>ALU TUBE M35x30x300 FOR END CAP M32x1.0</t>
  </si>
  <si>
    <t>2B19F090-00</t>
  </si>
  <si>
    <t>2B19F095-00</t>
  </si>
  <si>
    <t>2B19F100-00</t>
  </si>
  <si>
    <t>2B19F105-00</t>
  </si>
  <si>
    <t>2B19F110-00</t>
  </si>
  <si>
    <t>2B19F115-00</t>
  </si>
  <si>
    <t>2B19F120-00</t>
  </si>
  <si>
    <t>2B19F125-00</t>
  </si>
  <si>
    <t>2B19F130-00</t>
  </si>
  <si>
    <t>2B19F135-00</t>
  </si>
  <si>
    <t>2B19F140-00</t>
  </si>
  <si>
    <t>2B19F145-00</t>
  </si>
  <si>
    <t>2B19F150-00</t>
  </si>
  <si>
    <t>2B19F155-00</t>
  </si>
  <si>
    <t>2B19F160-00</t>
  </si>
  <si>
    <t>2B19F165-00</t>
  </si>
  <si>
    <t>2B19F170-00</t>
  </si>
  <si>
    <t>2B19F175-00</t>
  </si>
  <si>
    <t>2B19F180-00</t>
  </si>
  <si>
    <t>2B19F185-00</t>
  </si>
  <si>
    <t>2B19F190-00</t>
  </si>
  <si>
    <t>2B19F195-00</t>
  </si>
  <si>
    <t>2B19F200-00</t>
  </si>
  <si>
    <t>2B19F205-00</t>
  </si>
  <si>
    <t>2B19F210-00</t>
  </si>
  <si>
    <t>2B19F215-00</t>
  </si>
  <si>
    <t>2B19F220-00</t>
  </si>
  <si>
    <t>2B19F240-00</t>
  </si>
  <si>
    <t>2B19F300-00</t>
  </si>
  <si>
    <t>DR-TW-2B26-085-00-00</t>
  </si>
  <si>
    <t>2B26-085-00</t>
  </si>
  <si>
    <t>G EYE TAPER W-COM 20x18x50xM16xM48/M35x1.25</t>
  </si>
  <si>
    <t>G EYE TAPER (+5) 20x18x50xM5xM48/M35x1.25</t>
  </si>
  <si>
    <t>DR-TW-2B27-157-00-00</t>
  </si>
  <si>
    <t>2B27-157-00</t>
  </si>
  <si>
    <t>RETAINER 50/61x34x13</t>
  </si>
  <si>
    <t>2B94-054-00</t>
  </si>
  <si>
    <t>DR-TW-2B94-054-00-00</t>
  </si>
  <si>
    <t>NEW PRELOAD 50/M35x1.25x13xM6 WITH WORM SCREW M6 SET</t>
  </si>
  <si>
    <t>PF-7243</t>
  </si>
  <si>
    <t>ท่ออลูมีเนียมโต 52.5 มม.*รูใน 46 มม.</t>
  </si>
  <si>
    <t>DR-TW-2B29-232-00-00</t>
  </si>
  <si>
    <t>2B29-232-00</t>
  </si>
  <si>
    <t>DR-TW-2B69M328-01-00</t>
  </si>
  <si>
    <t>2B69M328-01</t>
  </si>
  <si>
    <t>2b69M359-01</t>
  </si>
  <si>
    <t>2B69M360-01</t>
  </si>
  <si>
    <t>2B69M359-01</t>
  </si>
  <si>
    <t>DR-TW-2B26-162-02-00</t>
  </si>
  <si>
    <t>IDOL EYE H-L M16X1.0X48XM5XM50X1.5 LEFT</t>
  </si>
  <si>
    <t>2B26-162-02</t>
  </si>
  <si>
    <t>DR-TW-2B22-090-00-01</t>
  </si>
  <si>
    <t>2B22-090-00</t>
  </si>
  <si>
    <t>ALU TUBE M42x36x90</t>
  </si>
  <si>
    <t>2B22-095-00</t>
  </si>
  <si>
    <t>ALU TUBE M42x36x95</t>
  </si>
  <si>
    <t>2B22-100-00</t>
  </si>
  <si>
    <t>ALU TUBE M42x36x100</t>
  </si>
  <si>
    <t>2B22-105-00</t>
  </si>
  <si>
    <t>ALU TUBE M42x36x105</t>
  </si>
  <si>
    <t>2B22-110-00</t>
  </si>
  <si>
    <t>ALU TUBE M42x36x110</t>
  </si>
  <si>
    <t>2B22-115-00</t>
  </si>
  <si>
    <t>ALU TUBE M42x36x115</t>
  </si>
  <si>
    <t>2B22-120-00</t>
  </si>
  <si>
    <t>2B22-125-00</t>
  </si>
  <si>
    <t>2B22-130-00</t>
  </si>
  <si>
    <t>2B22-135-00</t>
  </si>
  <si>
    <t>2B22-140-00</t>
  </si>
  <si>
    <t>2B22-145-00</t>
  </si>
  <si>
    <t>2B22-150-00</t>
  </si>
  <si>
    <t>2B22-155-00</t>
  </si>
  <si>
    <t>2B22-160-00</t>
  </si>
  <si>
    <t>2B22-165-00</t>
  </si>
  <si>
    <t>2B22-170-00</t>
  </si>
  <si>
    <t>2B22-175-00</t>
  </si>
  <si>
    <t>2B22-180-00</t>
  </si>
  <si>
    <t>2B22-185-00</t>
  </si>
  <si>
    <t>2B22-190-00</t>
  </si>
  <si>
    <t>2B22-195-00</t>
  </si>
  <si>
    <t>2B22-200-00</t>
  </si>
  <si>
    <t>2B22-205-00</t>
  </si>
  <si>
    <t>2B22-210-00</t>
  </si>
  <si>
    <t>2B22-215-00</t>
  </si>
  <si>
    <t>2B22-220-00</t>
  </si>
  <si>
    <t>2B22-225-00</t>
  </si>
  <si>
    <t>2B22-230-00</t>
  </si>
  <si>
    <t>2B22-235-00</t>
  </si>
  <si>
    <t>2B22-240-00</t>
  </si>
  <si>
    <t>2B22-245-00</t>
  </si>
  <si>
    <t>2B22-250-00</t>
  </si>
  <si>
    <t>2B22-255-00</t>
  </si>
  <si>
    <t>2B22-260-00</t>
  </si>
  <si>
    <t>2B22-270-00</t>
  </si>
  <si>
    <t>2B22-275-00</t>
  </si>
  <si>
    <t>2B22-280-00</t>
  </si>
  <si>
    <t>2B22-290-00</t>
  </si>
  <si>
    <t>2B22-300-00</t>
  </si>
  <si>
    <t>2B22-310-00</t>
  </si>
  <si>
    <t>2B22-320-00</t>
  </si>
  <si>
    <t>2B22-330-00</t>
  </si>
  <si>
    <t>2B22-340-00</t>
  </si>
  <si>
    <t>2B22-350-00</t>
  </si>
  <si>
    <t>ALU TUBE M42x36x120</t>
  </si>
  <si>
    <t>ALU TUBE M42x36x125</t>
  </si>
  <si>
    <t>ALU TUBE M42x36x130</t>
  </si>
  <si>
    <t>ALU TUBE M42x36x135</t>
  </si>
  <si>
    <t>ALU TUBE M42x36x145</t>
  </si>
  <si>
    <t>ALU TUBE M42x36x155</t>
  </si>
  <si>
    <t>ALU TUBE M42x36x160</t>
  </si>
  <si>
    <t>ALU TUBE M42x36x165</t>
  </si>
  <si>
    <t>ALU TUBE M42x36x170</t>
  </si>
  <si>
    <t>ALU TUBE M42x36x175</t>
  </si>
  <si>
    <t>ALU TUBE M42x36x180</t>
  </si>
  <si>
    <t>ALU TUBE M42x36x185</t>
  </si>
  <si>
    <t>ALU TUBE M42x36x190</t>
  </si>
  <si>
    <t>ALU TUBE M42x36x195</t>
  </si>
  <si>
    <t>ALU TUBE M42x36x200</t>
  </si>
  <si>
    <t>ALU TUBE M42x36x205</t>
  </si>
  <si>
    <t>ALU TUBE M42x36x210</t>
  </si>
  <si>
    <t>ALU TUBE M42x36x215</t>
  </si>
  <si>
    <t>ALU TUBE M42x36x220</t>
  </si>
  <si>
    <t>ALU TUBE M42x36x225</t>
  </si>
  <si>
    <t>ALU TUBE M42x36x230</t>
  </si>
  <si>
    <t>ALU TUBE M42x36x235</t>
  </si>
  <si>
    <t>ALU TUBE M42x36x240</t>
  </si>
  <si>
    <t>ALU TUBE M42x36x245</t>
  </si>
  <si>
    <t>ALU TUBE M42x36x250</t>
  </si>
  <si>
    <t>ALU TUBE M42x36x255</t>
  </si>
  <si>
    <t>ALU TUBE M42x36x270</t>
  </si>
  <si>
    <t>ALU TUBE M42x36x275</t>
  </si>
  <si>
    <t>ALU TUBE M42x36x280</t>
  </si>
  <si>
    <t>ALU TUBE M42x36x300</t>
  </si>
  <si>
    <t>ALU TUBE M42x36x290</t>
  </si>
  <si>
    <t>ALU TUBE M42x36x310</t>
  </si>
  <si>
    <t>ALU TUBE M42x36x320</t>
  </si>
  <si>
    <t>ALU TUBE M42x36x330</t>
  </si>
  <si>
    <t>ALU TUBE M42x36x340</t>
  </si>
  <si>
    <t>ALU TUBE M42x36x350</t>
  </si>
  <si>
    <t>ALU TUBE M42x36x260</t>
  </si>
  <si>
    <t>DR-TW-2B52-283A00-00</t>
  </si>
  <si>
    <t>2B52-283A00</t>
  </si>
  <si>
    <t xml:space="preserve">ALU TUBE M32X30X283-8 </t>
  </si>
  <si>
    <t>RESERVOIR 30X60 MATT</t>
  </si>
  <si>
    <t>RESERVOIR 30X70 MATT</t>
  </si>
  <si>
    <t xml:space="preserve">RESERVOIR 30x60 </t>
  </si>
  <si>
    <t xml:space="preserve">RESERVOIR 30x70 </t>
  </si>
  <si>
    <t>DR-TW-2B26-160-01-01</t>
  </si>
  <si>
    <t>I DOL NUT H-L M16x1.0x48xM5xM42x1.5 LEFT</t>
  </si>
  <si>
    <t>DR-TW-2B27-316-01-01</t>
  </si>
  <si>
    <t>RETAINER-53-70</t>
  </si>
  <si>
    <t>DR-TW-2B25-016-02-02</t>
  </si>
  <si>
    <t>O-EYE[+20]-26X18X78-M12</t>
  </si>
  <si>
    <t>RESERVOIR OFFSET 28XM32X93</t>
  </si>
  <si>
    <t xml:space="preserve">	ALU BODY HOUSE 50XM76</t>
  </si>
  <si>
    <t>DR-TW-2B24-200A00-R-00</t>
  </si>
  <si>
    <t>RESERVOIR 46X200 FOR PNEUMATIC PRELOAD 456 FULL RACING</t>
  </si>
  <si>
    <t>DR-TW-2B24-228-00-00</t>
  </si>
  <si>
    <t>BODY HOUSE 54X67X28XM5-RIGHT SIDE</t>
  </si>
  <si>
    <t>RESERVOIR TOP M48X44.3X45.5 FOR PNEUMATIC PRELOAD 456 FULL RACING</t>
  </si>
  <si>
    <t>DR-TW-2B27-142-01-R-00</t>
  </si>
  <si>
    <t xml:space="preserve">ALU LOCK SPACER M76X1.0 </t>
  </si>
  <si>
    <t>DR-TW-2B27-105-01-00</t>
  </si>
  <si>
    <t>RETAINNER 46(-10)</t>
  </si>
  <si>
    <t>2B19F225-00</t>
  </si>
  <si>
    <t>DR-TW-2B25-133-00-00</t>
  </si>
  <si>
    <t>2B25-133-00</t>
  </si>
  <si>
    <t xml:space="preserve">FORK 20X22X40XM8XM12 </t>
  </si>
  <si>
    <t>FORK 20X22X40XM8XM12x1.25</t>
  </si>
  <si>
    <t>FORK-SCREW 40X28X63X10MM-M16</t>
  </si>
  <si>
    <t xml:space="preserve">FORK SCREW 40X28X63X12MM/M16X1.0 SET </t>
  </si>
  <si>
    <t>FORK-SCREW 40X28X63X12MM-M16</t>
  </si>
  <si>
    <t>MOVING BUSH 50X60X39 FOR 456 SERIES HPA HT</t>
  </si>
  <si>
    <t>FORK 20X28X48XM10-M12</t>
  </si>
  <si>
    <t>DR-TW-2B26-174-00-00</t>
  </si>
  <si>
    <t>DR-TW-2B25-099-01-02</t>
  </si>
  <si>
    <t>FORK-NUT-48X28X46-M10-16</t>
  </si>
  <si>
    <t>ALU TUBE M50x45x140</t>
  </si>
  <si>
    <t>2B26-430-01</t>
  </si>
  <si>
    <t>DR-TW-2B26-430-01-00</t>
  </si>
  <si>
    <t>DR-TW-2B26-431-01-00</t>
  </si>
  <si>
    <t>2B26-431-01</t>
  </si>
  <si>
    <t>DR-TW-2B26-490-01-00</t>
  </si>
  <si>
    <t>2B26-490-01</t>
  </si>
  <si>
    <t>DR-TW-2B26-491-01-00</t>
  </si>
  <si>
    <t>2B26-491-01</t>
  </si>
  <si>
    <t>MATT 4 เหลี่ยม 65x126 MM.</t>
  </si>
  <si>
    <t>PF-S7565</t>
  </si>
  <si>
    <t>DR-TW-2B25-198-00-00</t>
  </si>
  <si>
    <t>67.5</t>
  </si>
  <si>
    <t>DR-TW-2B26-520-00-00</t>
  </si>
  <si>
    <t>2B26-520-00</t>
  </si>
  <si>
    <t>G EYE TAPER W-COM (+5) 20x18x50xM16xM48/M35x1.25 150 DEGREE</t>
  </si>
  <si>
    <t>DR-TW-2B26-521-00-00</t>
  </si>
  <si>
    <t>2B26-521-00</t>
  </si>
  <si>
    <t>G EYE TAPER W-COM (+5) 20x18x50xM16xM48/M35x1.25 210 DEGREE</t>
  </si>
  <si>
    <t>DR-TW-2B26-522-00-00</t>
  </si>
  <si>
    <t>2B26-522-00</t>
  </si>
  <si>
    <t>G EYE TAPER W-COM (+5) 20x18x50xM16xM48/M35x1.25 DENTED</t>
  </si>
  <si>
    <t>DR-TW-2B26-523-00-00</t>
  </si>
  <si>
    <t>2B26-523-00</t>
  </si>
  <si>
    <t>G EYE TAPER W-COM (+5) 20x14x50xM16xM48/M35x1.25</t>
  </si>
  <si>
    <t>DR-TW-2B26-581-00-00</t>
  </si>
  <si>
    <t>2B26-581-00</t>
  </si>
  <si>
    <t>G NUT  W-COM (+5) 53xM5xM48/M35x1.25/M16x1.0</t>
  </si>
  <si>
    <t>DR-TW-2B26-600-00-00</t>
  </si>
  <si>
    <t>2B26-600-00</t>
  </si>
  <si>
    <t>G EYE TAPER (+5) 20x18x50xM6xM48/M35x1.25 150 DEGREE</t>
  </si>
  <si>
    <t>DR-TW-2B26-601-00-00</t>
  </si>
  <si>
    <t>2B26-601-00</t>
  </si>
  <si>
    <t>G EYE TAPER (+5) 20x18x50xM6xM48/M35x1.25 210 DEGREE</t>
  </si>
  <si>
    <t>2B26-602-00</t>
  </si>
  <si>
    <t>G EYE TAPER (+5) 20x18x50xM6xM48/M35x1.25 DENTED</t>
  </si>
  <si>
    <t>DR-TW-2B26-602-00-00</t>
  </si>
  <si>
    <t>DR-TW-2B26-603-00-00</t>
  </si>
  <si>
    <t>2B26-603-00</t>
  </si>
  <si>
    <t>G EYE TAPER (+5) 20x14x50xM16xM48/M35x1.25</t>
  </si>
  <si>
    <t>2B27-158-00</t>
  </si>
  <si>
    <t>DR-TW-2B27-158-00-00</t>
  </si>
  <si>
    <t>RETAINER 50/61x34x31 (+20)</t>
  </si>
  <si>
    <t>DR-TW-2B27-159-00-00</t>
  </si>
  <si>
    <t>2B27-159-00</t>
  </si>
  <si>
    <t>DR-TW-2B94-057-00-00</t>
  </si>
  <si>
    <t>2B94-057-00</t>
  </si>
  <si>
    <t>DR-TW-2B94-072-00-00</t>
  </si>
  <si>
    <t>2B94-072-00</t>
  </si>
  <si>
    <t>PRELOAD 50/M42x1.5x16xM6 SET</t>
  </si>
  <si>
    <t>DR-TW-2B04-540-00-00</t>
  </si>
  <si>
    <t>2B04-540-00</t>
  </si>
  <si>
    <t>DR-TW-2B26-273-01-00</t>
  </si>
  <si>
    <t>2B26-273-01</t>
  </si>
  <si>
    <t>G EYE TAPER +5 20x18x50xM6xM48/M35x1.25</t>
  </si>
  <si>
    <t>DR-TW-2B26-430-03-00</t>
  </si>
  <si>
    <t>2B26-430-03</t>
  </si>
  <si>
    <t>DR-TW-2B26-431-03-00</t>
  </si>
  <si>
    <t>2B26-431-03</t>
  </si>
  <si>
    <t>DR-TW-2B26-490-02-00</t>
  </si>
  <si>
    <t>2B26-490-02</t>
  </si>
  <si>
    <t>DR-TW-2B26-491-02-00</t>
  </si>
  <si>
    <t>2B26-491-02</t>
  </si>
  <si>
    <t>DR-TW-2B04-450-00-00</t>
  </si>
  <si>
    <t>2B04-450-00</t>
  </si>
  <si>
    <t>OUTTER TUBE 39x56x450</t>
  </si>
  <si>
    <t>DR-TW-2B19F090-00-01</t>
  </si>
  <si>
    <t>DR-TW-2B24-301-00-00</t>
  </si>
  <si>
    <t>HOUSING COMPRESSIONV M31x1.0x213/M31x1.5/M5x0.8</t>
  </si>
  <si>
    <t>2B24-301-00</t>
  </si>
  <si>
    <t>DR-TW-2B26-086-00-00</t>
  </si>
  <si>
    <t>2B26-086-00</t>
  </si>
  <si>
    <t>G EYE (+10) TAPER 20x18x55xM6/M35X1.25/165 DEGREE</t>
  </si>
  <si>
    <t>DR-TW-2B26-087-00-00</t>
  </si>
  <si>
    <t>2B26-087-00</t>
  </si>
  <si>
    <t>DR-TW-2B26-297-00-00</t>
  </si>
  <si>
    <t>2B26-297-00</t>
  </si>
  <si>
    <t>G EYE (+10) TAPER 20x18x55xM6/M35x1.25/195 DEGREE RIGHT</t>
  </si>
  <si>
    <t>G EYE (+10) TAPER 20x18x55xM6/M35x1.25/195 DEGREE LEFT,RIGHT</t>
  </si>
  <si>
    <t>DR-TW-2B26-581-00-01</t>
  </si>
  <si>
    <t>G NUT W-COM 53xM5xM48/M35x1.25/M16x1.0</t>
  </si>
  <si>
    <t xml:space="preserve"> FORK SCREW 40X28X63X10MM./M16X1.0 SET </t>
  </si>
  <si>
    <t>RESERVOIR-CLAMP-46-HOLE-20</t>
  </si>
  <si>
    <t>FORK-W-BS-RB-20X22X39XM10XM12-L</t>
  </si>
  <si>
    <t>DR-TW-2B27-084-00-00</t>
  </si>
  <si>
    <t>2B27-084-00</t>
  </si>
  <si>
    <t>RETAINER 46/56x34x21</t>
  </si>
  <si>
    <t>DR-TW-2B27-085-00-00</t>
  </si>
  <si>
    <t>2B27-085-00</t>
  </si>
  <si>
    <t>RETAINER 46/56x34x31</t>
  </si>
  <si>
    <t>DR-TW-2B27-086-00-00</t>
  </si>
  <si>
    <t>2B27-086-00</t>
  </si>
  <si>
    <t>RETAINER 46/57x34x21</t>
  </si>
  <si>
    <t>DR-TW-2B26-041-01-00</t>
  </si>
  <si>
    <t>2B26-041-01</t>
  </si>
  <si>
    <t>DR-TW-2B26-042-01-00</t>
  </si>
  <si>
    <t>2B26-042-01</t>
  </si>
  <si>
    <t>DR-TW-2B26-581-00-02</t>
  </si>
  <si>
    <t>DR-TW-2B26-582-00-00</t>
  </si>
  <si>
    <t>2B26-582-00</t>
  </si>
  <si>
    <t>DR-TW-2B29-402-02-00</t>
  </si>
  <si>
    <t>2B29-402-02</t>
  </si>
  <si>
    <t>ALU TUBE M50x45x135</t>
  </si>
  <si>
    <t>PRELOAD 55/M42x1.5 SET</t>
  </si>
  <si>
    <t>FORK-W-REB-40X30X70X10MM-M16</t>
  </si>
  <si>
    <t>FORK-W-REB-25X30X70X10MM-M16</t>
  </si>
  <si>
    <t>DR-TW-2B26-193-00-00</t>
  </si>
  <si>
    <t>2B26-193-00</t>
  </si>
  <si>
    <t>NEW G FORK W-COM 19x21x48xM8xM20xM44/M35x1.25 LEFT 1100 DEGREE</t>
  </si>
  <si>
    <t>DR-TW-2B26-085-00-01</t>
  </si>
  <si>
    <t>DR-TW-2B27-134-02-00</t>
  </si>
  <si>
    <t>RETAINER 60 HT [STD]</t>
  </si>
  <si>
    <t>DR-TW-2B26-420-00-00</t>
  </si>
  <si>
    <t>2B26-420-00</t>
  </si>
  <si>
    <t>G EYE W-COM 30x18x55xM20xM48/M42x1.5 150 DEGREE</t>
  </si>
  <si>
    <t>DR-TW-2B29-401-02-00</t>
  </si>
  <si>
    <t>2B29-401-02</t>
  </si>
  <si>
    <t>DR-TW-2B29-417-00-00</t>
  </si>
  <si>
    <t>2B29-417-00</t>
  </si>
  <si>
    <t>G EYE W-COM +5 26x18x50xM24xM48/M42x1.5</t>
  </si>
  <si>
    <t>2B69M417-00</t>
  </si>
  <si>
    <t>ALU TUBE M50X45X180</t>
  </si>
  <si>
    <t>ALU TUBE M50x45x125</t>
  </si>
  <si>
    <t xml:space="preserve">IDOL EYE H-L M16X1.0X48XM5XM50X1.5 RIGHT </t>
  </si>
  <si>
    <t xml:space="preserve">FORK SCREW 22X28X63XM10/M16X1.0 SET </t>
  </si>
  <si>
    <t>DR-TW-2B25-007-00-00</t>
  </si>
  <si>
    <t>FORK 28X28X48XM10XM12</t>
  </si>
  <si>
    <t>DR-TW-2B26-550-00-00</t>
  </si>
  <si>
    <t>2B26-550-00</t>
  </si>
  <si>
    <t>G EYE W-REBOUND-COMP TAPER 30X30X55XM20XM48XM50</t>
  </si>
  <si>
    <t>FORK-SCREW 32X28X63X10MM-M16 SET</t>
  </si>
  <si>
    <t>DR-TW-2B29-424-01-R-00</t>
  </si>
  <si>
    <t>2B29-424-01-R</t>
  </si>
  <si>
    <t>U</t>
  </si>
  <si>
    <t>UV RED</t>
  </si>
  <si>
    <t>DR-TW-2B26-421-00-00</t>
  </si>
  <si>
    <t>2B26-421-00</t>
  </si>
  <si>
    <t>G EYE W-COM 30x18x55xM20xM48/M42x1.5</t>
  </si>
  <si>
    <t>Z EYE (+10)20x18x55xM5/M35x1.25/165 DEGREE (ผิวชิ้นงานยิงทรายละเอียด)</t>
  </si>
  <si>
    <t>Z EYE (+10)20x18x55xM5/M35x1.25/195 DEGREE(ผิวชิ้นงานยิงทรายละเอียด)</t>
  </si>
  <si>
    <t>RESERVOIR TOP M32 W-COM 30 CLICK  (ผิวชิ้นงานยิงทรายละเอียด)</t>
  </si>
  <si>
    <t>RESERVOIR TOP M16XM32 FOR SIDE (ผิวชิ้นงานยิงทรายละเอียด)</t>
  </si>
  <si>
    <t>DR-TW-2B26-452-00-00</t>
  </si>
  <si>
    <t>2B26-452-00</t>
  </si>
  <si>
    <t>G EYE H-L 30x18x55xM20xM48/M42x1.5</t>
  </si>
  <si>
    <t>MATT FORDGE G M35 NEW 2022</t>
  </si>
  <si>
    <t>DR-TW-2B27-154-00-01</t>
  </si>
  <si>
    <t>2B27-154-00</t>
  </si>
  <si>
    <t>ALL NEW RETAINER 50x13</t>
  </si>
  <si>
    <t>PL 13479</t>
  </si>
  <si>
    <t>ท่ออลูมิเนียม 62x33.5 หกแฉก</t>
  </si>
  <si>
    <t>DR-TW-2B04-425-00-00</t>
  </si>
  <si>
    <t>2B04-425-00</t>
  </si>
  <si>
    <t>OUTER TUBE 39x56x425</t>
  </si>
  <si>
    <t>RESERVOIR 46x80/M50x1.0</t>
  </si>
  <si>
    <t>RESERVOIR 46x100/M50x1.0</t>
  </si>
  <si>
    <t>DR-TW-2B48-430-00-01</t>
  </si>
  <si>
    <t>DR-TW-2B48-431-00-01</t>
  </si>
  <si>
    <t>DR-TW-2B48-432-00-01</t>
  </si>
  <si>
    <t>DR-TW-2B48-433-00-01</t>
  </si>
  <si>
    <t>DR-YW-2B48-433-00-01</t>
  </si>
  <si>
    <t>DR-TW-2B69A023-00-00</t>
  </si>
  <si>
    <t>2B69A023-00</t>
  </si>
  <si>
    <t>RESERVOIR TOP COMP HI LOW M24x1.0xM48</t>
  </si>
  <si>
    <t>2B24-100A00</t>
  </si>
  <si>
    <t>DR-TW-2B24-080A00-01</t>
  </si>
  <si>
    <t>2B55-185-00</t>
  </si>
  <si>
    <t>ALU TUBR M51X45X185 HARD BLACK</t>
  </si>
  <si>
    <t>GM3523</t>
  </si>
  <si>
    <t>DR-TW-2B25-021-08-00</t>
  </si>
  <si>
    <t>FORK 22X28X48XM10M12</t>
  </si>
  <si>
    <t>DR-TW-2B55-205-00-05</t>
  </si>
  <si>
    <t>ALU TUBE M52X45X170</t>
  </si>
  <si>
    <t>ALU TUBE M52X45X185</t>
  </si>
  <si>
    <t>ALU TUBE M52X45X195</t>
  </si>
  <si>
    <t>ALU TUBE M52X45X200</t>
  </si>
  <si>
    <t>ALU TUBE M52X45X205</t>
  </si>
  <si>
    <t>ALU TUBE M51X45X185</t>
  </si>
  <si>
    <t>ALU TUBE M51X45X200</t>
  </si>
  <si>
    <t>ALU TUBE M51X45X205</t>
  </si>
  <si>
    <t>DR-TW-2B26-350-00-00</t>
  </si>
  <si>
    <t>C BOLT W-COM 29XM32XM35XM10</t>
  </si>
  <si>
    <t>DR-TW-2B04-425-01-00</t>
  </si>
  <si>
    <t>2B04-425-01</t>
  </si>
  <si>
    <t>DR-TW-2B04-450-01-00</t>
  </si>
  <si>
    <t>2B04-450-01</t>
  </si>
  <si>
    <t>ALU TUBE-M35X30X110</t>
  </si>
  <si>
    <t>DR-TW-2B69M454-00-00</t>
  </si>
  <si>
    <t>2B69M454-00</t>
  </si>
  <si>
    <t>DAMPER CLAMP 16 TYPE E</t>
  </si>
  <si>
    <t>BUSH-0001-00</t>
  </si>
  <si>
    <t>DR-TW-BUSH-0001-00-00</t>
  </si>
  <si>
    <t>Bush Outter Tube Dai 42</t>
  </si>
  <si>
    <t>DR-TW-2B69M431-01-00</t>
  </si>
  <si>
    <t>2B69M431-01</t>
  </si>
  <si>
    <t>G EYE TAPER W-COM 14x12.5x35xM20xM35/M35x1.25</t>
  </si>
  <si>
    <t>2B69M434-01</t>
  </si>
  <si>
    <t>DR-TW-2B69M434-01-00</t>
  </si>
  <si>
    <t>O EYE 14x12.7x32 W-BACK SIDE REBOUND M10x1.25</t>
  </si>
  <si>
    <t>DR-TW-2B69M446-00-00</t>
  </si>
  <si>
    <t>2B69M446-00</t>
  </si>
  <si>
    <t>RESERVOIR TOP M48xM16x40</t>
  </si>
  <si>
    <t>FORK SCREW 22x28x63xM10/M16x1.0 SET</t>
  </si>
  <si>
    <t>FORK SCREW 30x28x63xM10/M16x1.0 SET</t>
  </si>
  <si>
    <t xml:space="preserve">FORK SCREW 30x28x63xM10/M16x1.0 SET </t>
  </si>
  <si>
    <t>78.5</t>
  </si>
  <si>
    <t>CM3523</t>
  </si>
  <si>
    <t>DR-TW-2B69M455-00-00</t>
  </si>
  <si>
    <t>2B69M455-00</t>
  </si>
  <si>
    <t>Z EYE 26x18x45xM10/M42x1.5/66</t>
  </si>
  <si>
    <t xml:space="preserve">	O EYE SCREW 26x18x60/M16x1.0 SET (AL 7075)</t>
  </si>
  <si>
    <t>FORK-SCREW 36X28X63X10MM-M16</t>
  </si>
  <si>
    <t>DR-TW-2B69M456-00-00</t>
  </si>
  <si>
    <t>2B69M456-00</t>
  </si>
  <si>
    <t>Z EYE  TAPER 20x14x60xM8/M35x1.25/M53x1.25</t>
  </si>
  <si>
    <t>DR-TW-2B69M447-00-01</t>
  </si>
  <si>
    <t>2B69M447-00</t>
  </si>
  <si>
    <t>ALU TUBE M35x30x120 FOR SEAL BLOCK M32</t>
  </si>
  <si>
    <t>2B69M448-00</t>
  </si>
  <si>
    <t>ALU TUBE M35x30x125 FOR SEAL BLOCK M32</t>
  </si>
  <si>
    <t>2B69M449-00</t>
  </si>
  <si>
    <t>ALU TUBE M35x30x130 FOR SEAL BLOCK M32</t>
  </si>
  <si>
    <t>DR-TW-2B69M322-01-00</t>
  </si>
  <si>
    <t>2B69M322-01</t>
  </si>
  <si>
    <t>DR-TW-2B69M451-00-00</t>
  </si>
  <si>
    <t>2B69M451-00</t>
  </si>
  <si>
    <t>O EYE W-REB 26x18x53/M12x1.25</t>
  </si>
  <si>
    <t>DR-TW-2B69M450-00-00</t>
  </si>
  <si>
    <t>2B69M450-00</t>
  </si>
  <si>
    <t>O EYE W-REB 26x18x50/M12x1.25</t>
  </si>
  <si>
    <t>DR-TW-2B69M452-00-00</t>
  </si>
  <si>
    <t>2B69M452-00</t>
  </si>
  <si>
    <t xml:space="preserve">NEW PRELOAD 40/M35x1.25x14xM6 </t>
  </si>
  <si>
    <t>DR-TW-2B69M330-01-02</t>
  </si>
  <si>
    <t>ALU TUBE M35x30x200/30 FOR CAP M32</t>
  </si>
  <si>
    <t>ALU TUBE M35x30x230/30 FOR CAP M32</t>
  </si>
  <si>
    <t>2B69M458-00</t>
  </si>
  <si>
    <t>2B69M459-00</t>
  </si>
  <si>
    <t>DR-TW-2B69M328-01-01</t>
  </si>
  <si>
    <t>ALU TUBE COVER 45x59x152/M53x1.0</t>
  </si>
  <si>
    <t>ALU TUBE COVER 45x59x180/M53x1.0</t>
  </si>
  <si>
    <t>2B69M457-00</t>
  </si>
  <si>
    <t>DR-TW-2B69M363-00-00</t>
  </si>
  <si>
    <t>2B69M363-00</t>
  </si>
  <si>
    <t>FORK W-BLACK SIDE REB 26x27x66xM10/M12x1.25/M40 LEFT</t>
  </si>
  <si>
    <t>2B69M364-00</t>
  </si>
  <si>
    <t>FORK W-BLACK SIDE REB 26x27x66xM10/M12x1.25/M40 RIGHT</t>
  </si>
  <si>
    <t>2B52-293-00</t>
  </si>
  <si>
    <t>ALU TUBE M32X30X293 MATT .</t>
  </si>
  <si>
    <t xml:space="preserve">(AL 6061 T6) ALU TUBE M35x30x95 FOR END CAP M32x1.0 </t>
  </si>
  <si>
    <t>(AL 6061 T6) ALU TUBE M35x30x100 FOR END CAP M32x1.0</t>
  </si>
  <si>
    <t>(AL 6061 T6) ALU TUBE M35x30x105 FOR END CAP M32x1.1</t>
  </si>
  <si>
    <t>(AL 6061 T6) ALU TUBE M35x30x110 FOR END CAP M32x1.0</t>
  </si>
  <si>
    <t>(AL 6061 T6) ALU TUBE M35x30x115 FOR END CAP M32x1.0</t>
  </si>
  <si>
    <t>(AL 6061 T6) ALU TUBE M35x30x120 FOR END CAP M32x1.2</t>
  </si>
  <si>
    <t>(AL 6061 T6) ALU TUBE M35x30x125 FOR END CAP M32x1.0</t>
  </si>
  <si>
    <t>(AL 6061 T6) ALU TUBE M35x30x130 FOR END CAP M32x1.0</t>
  </si>
  <si>
    <t>(AL 6061 T6) ALU TUBE M35x30x135 FOR END CAP M32x1.3</t>
  </si>
  <si>
    <t>(AL 6061 T6) ALU TUBE M35x30x140 FOR END CAP M32x1.0</t>
  </si>
  <si>
    <t>(AL 6061 T6) ALU TUBE M35x30x145 FOR END CAP M32x1.0</t>
  </si>
  <si>
    <t>(AL 6061 T6) ALU TUBE M35x30x150 FOR END CAP M32x1.4</t>
  </si>
  <si>
    <t>(AL 6061 T6) ALU TUBE M35x30x155 FOR END CAP M32x1.0</t>
  </si>
  <si>
    <t>(AL 6061 T6) ALU TUBE M35x30x160 FOR END CAP M32x1.0</t>
  </si>
  <si>
    <t>(AL 6061 T6) ALU TUBE M35x30x165 FOR END CAP M32x1.5</t>
  </si>
  <si>
    <t>(AL 6061 T6) ALU TUBE M35x30x170 FOR END CAP M32x1.0</t>
  </si>
  <si>
    <t>(AL 6061 T6) ALU TUBE M35x30x175 FOR END CAP M32x1.0</t>
  </si>
  <si>
    <t>(AL 6061 T6) ALU TUBE M35x30x180 FOR END CAP M32x1.6</t>
  </si>
  <si>
    <t>(AL 6061 T6) ALU TUBE M35x30x185 FOR END CAP M32x1.0</t>
  </si>
  <si>
    <t>(AL 6061 T6) ALU TUBE M35x30x190 FOR END CAP M32x1.0</t>
  </si>
  <si>
    <t>(AL 6061 T6) ALU TUBE M35x30x195 FOR END CAP M32x1.7</t>
  </si>
  <si>
    <t>(AL 6061 T6) ALU TUBE M35x30x200 FOR END CAP M32x1.0</t>
  </si>
  <si>
    <t>(AL 6061 T6) ALU TUBE M35x30x205 FOR END CAP M32x1.0</t>
  </si>
  <si>
    <t>(AL 6061 T6) ALU TUBE M35x30x210 FOR END CAP M32x1.8</t>
  </si>
  <si>
    <t>(AL 6061 T6) ALU TUBE M35x30x215 FOR END CAP M32x1.0</t>
  </si>
  <si>
    <t>(AL 6061 T6) ALU TUBE M35x30x220 FOR END CAP M32x1.0</t>
  </si>
  <si>
    <t>(AL 6061 T6) ALU TUBE M35x30x240 FOR END CAP M32x1.9</t>
  </si>
  <si>
    <t>(AL 6061 T6) ALU TUBE M35x30x300 FOR END CAP M32x1.0</t>
  </si>
  <si>
    <t>(AL 6061 T6) ALU TUBE M35x30x90 FOR END CAP M32x1.0</t>
  </si>
  <si>
    <t xml:space="preserve">(AL 6063 T6) ALU TUBE-M35X30X110  </t>
  </si>
  <si>
    <t>(AL 6063 T6)ALU TUBE-M35X30X115</t>
  </si>
  <si>
    <t xml:space="preserve">(AL 6063 T6)ALU TUBE-M35X30X120 </t>
  </si>
  <si>
    <t xml:space="preserve">(AL 6063 T6)ALU TUBE-M35X30X125  </t>
  </si>
  <si>
    <t xml:space="preserve">(AL 6063 T6)ALU TUBE-M35X30X130  </t>
  </si>
  <si>
    <t xml:space="preserve">(AL 6063 T6)ALU TUBE M35X30X135  </t>
  </si>
  <si>
    <t xml:space="preserve">(AL 6063 T6)ALU TUBE-M35X30X140  </t>
  </si>
  <si>
    <t xml:space="preserve">(AL 6063 T6)ALU TUBE-M35X30X145 </t>
  </si>
  <si>
    <t>(AL 6063 T6)ALU TUBE-M35X30X150</t>
  </si>
  <si>
    <t xml:space="preserve">(AL 6063 T6)ALU TUBE-M35X30X155 </t>
  </si>
  <si>
    <t xml:space="preserve">(AL 6063 T6)ALU TUBE-M35X30X160  </t>
  </si>
  <si>
    <t>(AL 6063 T6)ALU TUBE-M35X30X165</t>
  </si>
  <si>
    <t>(AL 6063 T6)ALU TUBE-M35X30X175</t>
  </si>
  <si>
    <t xml:space="preserve">(AL 6063 T6)ALU TUBE-M35X30X180 </t>
  </si>
  <si>
    <t>(AL 6063 T6)ALU TUBE M35X30X195</t>
  </si>
  <si>
    <t>(AL 6063 T6)ALU TUBE-M35X30X200</t>
  </si>
  <si>
    <t xml:space="preserve">(AL 6063 T6)ALU TUBE-M35X30X205 </t>
  </si>
  <si>
    <t xml:space="preserve">(AL 6063 T6)ALU TUBE-M35X30X215 </t>
  </si>
  <si>
    <t>(AL 6063 T6)ALU TUBE-M35X30X220</t>
  </si>
  <si>
    <t>(AL 6063 T6)ALU TUBE-M35X30X210</t>
  </si>
  <si>
    <t>(AL 6063 T6)ALU TUBE M35x30x115 FOR ENDCAP</t>
  </si>
  <si>
    <t>(AL 6063 T6)ALU TUBE M35x30x120 FOR ENDCAP</t>
  </si>
  <si>
    <t>(AL 6063 T6)ALU TUBE M35x30x160 FOR ENDCAP</t>
  </si>
  <si>
    <t>(AL 6063 T6)ALU TUBE M35x30x105 FOR ENDCAP</t>
  </si>
  <si>
    <t>(AL 6063 T6)ALU TUBE DTG_PLUS 220 M35X30X205X20</t>
  </si>
  <si>
    <t>(AL 6063 T6)ALU TUBE DTG_PLUS 220 M35X30X140X20</t>
  </si>
  <si>
    <t>(AL 6063 T6)ALU TUBE DTG-PLUS 220 M35X30X145X20 .</t>
  </si>
  <si>
    <t>(AL 6063 T6)ALU TUBE DTG_PLUS 220 M35X30X150X20</t>
  </si>
  <si>
    <t xml:space="preserve">(AL 6063 T6)ALU TUBE DTG_PLUS 220 M35X30X155X22  </t>
  </si>
  <si>
    <t xml:space="preserve">(AL 6063 T6)ALU TUBE DTG_PLUS 220 M35X30X160X20  </t>
  </si>
  <si>
    <t xml:space="preserve">(AL 6063 T6)ALU TUBE DTG_PLUS 220 M35X30X165X20  </t>
  </si>
  <si>
    <t xml:space="preserve">(AL 6063 T6)ALU TUBE DTG_PLUS 220 M35X30X170X20 </t>
  </si>
  <si>
    <t>(AL 6063 T6)ALU TUBE DTG_PLUS 220 M35X30X175X20</t>
  </si>
  <si>
    <t xml:space="preserve">(AL 6063 T6)ALU TUBE DTG_PLUS 220 M35X30X180X20  </t>
  </si>
  <si>
    <t xml:space="preserve">(AL 6063 T6)ALU TUBE DTG_PLUS 220 M35X30X200X20  </t>
  </si>
  <si>
    <t>(AL 6063 T6)ALU TUBE DTG_PLUS 222 M35X30X31.5X145X20</t>
  </si>
  <si>
    <t>(AL 6063 T6)ALU TUBE DTG_PLUS 222 M35X30X31.5X155X20</t>
  </si>
  <si>
    <t>(AL 6063 T6)ALU TUBE DTG_PLUS 222 M35X30X31.5X160X20</t>
  </si>
  <si>
    <t xml:space="preserve">(AL 6063 T6)ALU TUBE DTG_PLUS 222 M35X30X31.5X165X20 </t>
  </si>
  <si>
    <t xml:space="preserve">(AL 6063 T6)ALU TUBE DTG_PLUS 222 M35X30X31.5X170X20  </t>
  </si>
  <si>
    <t xml:space="preserve">(AL 6063 T6)ALU TUBE DTG_PLUS 222 M35X30X31.5X180X25 </t>
  </si>
  <si>
    <t xml:space="preserve">(AL 6063 T6)ALU TUBE M35x30x85/35 FOR END CAP </t>
  </si>
  <si>
    <t xml:space="preserve">(AL 6063 T6)ALU TUBE M35x30x90/35 FOR END CAP </t>
  </si>
  <si>
    <t xml:space="preserve">(AL 6063 T6)ALU TUBE M35x30x100/35 FOR END CAP </t>
  </si>
  <si>
    <t xml:space="preserve">(AL 6063 T6)ALU TUBE M35x30x110/35 FOR END CAP </t>
  </si>
  <si>
    <t xml:space="preserve">(AL 6063 T6)ALU TUBE M35x30x120/35 FOR END CAP </t>
  </si>
  <si>
    <t>(AL 6063 T6)ALU TUBE M35x30x105/35 FOR END CAP</t>
  </si>
  <si>
    <t>(AL 6063 T6)ALU TUBE M35x30x115/35 FOR END CAP</t>
  </si>
  <si>
    <t>DR-TW-2B69M330-01-03</t>
  </si>
  <si>
    <t>2B69M465-00</t>
  </si>
  <si>
    <t>ALU TUBE-M35X30X140-30 FOR CAP M33</t>
  </si>
  <si>
    <t>2B69M466-00</t>
  </si>
  <si>
    <t>ALU TUBE-M35X30X145-30 FOR CAP M33</t>
  </si>
  <si>
    <t>(AL6061 T6) ALU TUBE-M35X30X155-30 FOR CAP M32</t>
  </si>
  <si>
    <t>(AL6061 T6) ALU TUBE-M35X30X170-30 FOR CAP M32</t>
  </si>
  <si>
    <t>(AL6061 T6) ALU TUBE-M35X30X180-30 FOR CAP M32</t>
  </si>
  <si>
    <t>(AL6061 T6) ALU TUBE-M35X30X200-30 FOR CAP M32</t>
  </si>
  <si>
    <t>(AL6061 T6) ALU TUBE-M35X30X230-30 FOR CAP M32</t>
  </si>
  <si>
    <t>(AL6061 T6) ALU TUBE-M35X30X140-30 FOR CAP M32</t>
  </si>
  <si>
    <t>(AL6061 T6) ALU TUBE-M35X30X145-30 FOR CAP M32</t>
  </si>
  <si>
    <t>DR-TW-2B69M463-00-00</t>
  </si>
  <si>
    <t>2B69M463-00</t>
  </si>
  <si>
    <t xml:space="preserve">RESERVOIR TOP COMP HI-LOW 24x1.0xM48 </t>
  </si>
  <si>
    <t>DR-TW-2B19F090-00-02</t>
  </si>
  <si>
    <t>2B19F230-00</t>
  </si>
  <si>
    <t>ALU TUBE M35x30x230 FOR END CAP M32x1.0</t>
  </si>
  <si>
    <t>(AL 6061 T6) ALU TUBE M35x30x230 FOR END CAP M32x1.0</t>
  </si>
  <si>
    <t>DR-TW-2B24E100-00-01</t>
  </si>
  <si>
    <t>2B24E075-00</t>
  </si>
  <si>
    <t xml:space="preserve">RESERVOIR 58X75/M60X1.0/60X1.0 </t>
  </si>
  <si>
    <t xml:space="preserve">RESERVOIR 58X100/M60X1.0/60X1.0 </t>
  </si>
  <si>
    <t>DR-TW-2B52-253-04-01</t>
  </si>
  <si>
    <t xml:space="preserve">ALU TUBE M32x30x253  </t>
  </si>
  <si>
    <t xml:space="preserve">ALU TUBE M32X30X283 </t>
  </si>
  <si>
    <t xml:space="preserve">ALU TUBE M32X30X293 </t>
  </si>
  <si>
    <t xml:space="preserve">(AL6061 T6) ALU TUBE M32X30X283 </t>
  </si>
  <si>
    <t xml:space="preserve">(AL6061 T6) ALU TUBE M32X30X293 </t>
  </si>
  <si>
    <t xml:space="preserve">(AL6061 T6) ALU TUBE M32X30X253 </t>
  </si>
  <si>
    <t>DR-TW-2B69M471-00-00</t>
  </si>
  <si>
    <t>2B69M471-00</t>
  </si>
  <si>
    <t>BODY HOUSE 18XM12X125</t>
  </si>
  <si>
    <t>DR-TW-2B69N468-00-00</t>
  </si>
  <si>
    <t>2B69M468-00</t>
  </si>
  <si>
    <t>ALU TUBE M34x30x130 FOR SEAL BLOCK M32</t>
  </si>
  <si>
    <t>DR-TW-2B69M468-00-00</t>
  </si>
  <si>
    <t xml:space="preserve">     </t>
  </si>
  <si>
    <t>2B69M467-00</t>
  </si>
  <si>
    <t>(AL6061 T6) ALU TUBE-M35X30X150-30 FOR CAP M32</t>
  </si>
  <si>
    <t>DR-TW-2B69M321-02-00</t>
  </si>
  <si>
    <t>2B69M321-02</t>
  </si>
  <si>
    <t>2B69M332-02</t>
  </si>
  <si>
    <t>DR-TW-2B69M322-02-00</t>
  </si>
  <si>
    <t>2B69M322-02</t>
  </si>
  <si>
    <t>Z-EYE TAPER 20X18X55-M35-M58X1.0</t>
  </si>
  <si>
    <t>DR-TW-2B69M328-03-00</t>
  </si>
  <si>
    <t>2B69M328-03</t>
  </si>
  <si>
    <t>2B69M359-03</t>
  </si>
  <si>
    <t>2B69M360-03</t>
  </si>
  <si>
    <t>ALU TUBE COVER 45x59x135/M58x1.0</t>
  </si>
  <si>
    <t>ALU TUBE COVER 45x59x155/M58x1.0</t>
  </si>
  <si>
    <t>ALU TUBE COVER 45x59x185/M58x1.0</t>
  </si>
  <si>
    <t>2B69M422-00</t>
  </si>
  <si>
    <t>ALU TUBE COVER 45x59x165/M58x1.0</t>
  </si>
  <si>
    <t>2B69M457-02</t>
  </si>
  <si>
    <t>ALU TUBE COVER 45x59x205/M58x1.0</t>
  </si>
  <si>
    <t>Row Labels</t>
  </si>
  <si>
    <t>Grand Total</t>
  </si>
  <si>
    <t>(All)</t>
  </si>
  <si>
    <t>DR-TW-2B69M481-01-00</t>
  </si>
  <si>
    <t>2B69M481-01</t>
  </si>
  <si>
    <t>FORK W BLACK SIDE REB 26x27x66xM10/M12x1.25 LEFT</t>
  </si>
  <si>
    <t>2B69M482-01</t>
  </si>
  <si>
    <t>FORK W BLACK SIDE REB 26x27x66xM10/M12x1.25 RIGHT</t>
  </si>
  <si>
    <t>DR-TW-2B69M330-02-00</t>
  </si>
  <si>
    <t>2B69M330-02</t>
  </si>
  <si>
    <t>ALU TUBE M35x30x160/30 FOR CAP M32</t>
  </si>
  <si>
    <t>2B69M361-01</t>
  </si>
  <si>
    <t>2B69M362-01</t>
  </si>
  <si>
    <t>ALU TUBE M35x30x175/30 FOR CAP M32</t>
  </si>
  <si>
    <t>ALU TUBE M35x30x185/30 FOR CAP M32</t>
  </si>
  <si>
    <t>2B69M458-01</t>
  </si>
  <si>
    <t>ALU TUBE M35x30x205/30 FOR CAP M32</t>
  </si>
  <si>
    <t>2B69M459-01</t>
  </si>
  <si>
    <t>ALU TUBE M35x30x240/30 FOR CAP M32</t>
  </si>
  <si>
    <t>2B69M466-01</t>
  </si>
  <si>
    <t>ALU TUBE M35x30x150/30 FOR CAP M32</t>
  </si>
  <si>
    <t>2B69M467-01</t>
  </si>
  <si>
    <t>(AL6061 T6) ALU TUBE-M35X30X160-30 FOR CAP M32</t>
  </si>
  <si>
    <t>(AL6061 T6) ALU TUBE-M35X30X175-30 FOR CAP M32</t>
  </si>
  <si>
    <t>(AL6061 T6) ALU TUBE-M35X30X185-30 FOR CAP M32</t>
  </si>
  <si>
    <t>(AL6061 T6) ALU TUBE-M35X30X205-30 FOR CAP M32</t>
  </si>
  <si>
    <t>(AL6061 T6) ALU TUBE-M35X30X240-30 FOR CAP M32</t>
  </si>
  <si>
    <t>DR-TW-2B69M365-01-00</t>
  </si>
  <si>
    <t>2B69M365-01</t>
  </si>
  <si>
    <t>Z EYE TAPER 20x18x55xM8/M35/M58 DENTED</t>
  </si>
  <si>
    <t>DR-TW-2B69M456-01-00</t>
  </si>
  <si>
    <t>2B69M456-01</t>
  </si>
  <si>
    <t>Z EYE  TAPER 20x14x60xM8/M35x1.25/M58x1.0</t>
  </si>
  <si>
    <t>ALU TUBE COVER 54x64x135/M58x1.0</t>
  </si>
  <si>
    <t>ALU TUBE COVER 54x64x155/M58x1.0</t>
  </si>
  <si>
    <t>DR-TW-2B25-120-02-01</t>
  </si>
  <si>
    <t>DR-TW-2B69M328-03-01</t>
  </si>
  <si>
    <t>ALU TUBE COVER 54x64x185/M58x1.0</t>
  </si>
  <si>
    <t>ALU TUBE COVER 54x64x165/M58x1.0</t>
  </si>
  <si>
    <t>ALU TUBE COVER 54x64x205/M58x1.0</t>
  </si>
  <si>
    <t>DR-TW-2B69M384-00-01</t>
  </si>
  <si>
    <t>2B69M384-00</t>
  </si>
  <si>
    <t>RESERVOIR 50x130 W -FREEPISTON</t>
  </si>
  <si>
    <t>DR-TW-2B91-300-00-00</t>
  </si>
  <si>
    <t>2B91-300-00-00</t>
  </si>
  <si>
    <t>FORK SCREW 30x25x55x12MM/M16x1.0 22 DEGREE SET</t>
  </si>
  <si>
    <t>2B91-300-00</t>
  </si>
  <si>
    <t>70.5</t>
  </si>
  <si>
    <t>ALU TUBE M22X20X25X215 RED</t>
  </si>
  <si>
    <t>ALU TUBE M22X20X25X260 RED</t>
  </si>
  <si>
    <t>ALU TUBE M22X20X25X300 RED</t>
  </si>
  <si>
    <t>DR-TW-2B51-215-02-00</t>
  </si>
  <si>
    <t>2B51-215-02</t>
  </si>
  <si>
    <t>2B51-260-02</t>
  </si>
  <si>
    <t>2B51-300-01</t>
  </si>
  <si>
    <t>2B51-350-01</t>
  </si>
  <si>
    <t>2B19G135-00</t>
  </si>
  <si>
    <t>ALU TUBE M35X30X135 /30 FOR CAP M32</t>
  </si>
  <si>
    <t>2B19G150-00</t>
  </si>
  <si>
    <t>2B19G155-00</t>
  </si>
  <si>
    <t>ALU TUBE M35X30X150 /30 FOR CAP M32</t>
  </si>
  <si>
    <t>2B19G160-00</t>
  </si>
  <si>
    <t>2B19G165-00</t>
  </si>
  <si>
    <t>2B19G170-00</t>
  </si>
  <si>
    <t>2B19G175-00</t>
  </si>
  <si>
    <t>2B19G185-00</t>
  </si>
  <si>
    <t>2B19G205-00</t>
  </si>
  <si>
    <t>2B19G240-00</t>
  </si>
  <si>
    <t>ALU TUBE M35X30X155 /30 FOR CAP M32</t>
  </si>
  <si>
    <t>ALU TUBE M35X30X160 /30 FOR CAP M32</t>
  </si>
  <si>
    <t>ALU TUBE M35X30X165 /30 FOR CAP M32</t>
  </si>
  <si>
    <t>ALU TUBE M35X30X170 /30 FOR CAP M32</t>
  </si>
  <si>
    <t>ALU TUBE M35X30X175 /30 FOR CAP M32</t>
  </si>
  <si>
    <t>ALU TUBE M35X30X185 /30 FOR CAP M32</t>
  </si>
  <si>
    <t>ALU TUBE M35X30X205 /30 FOR CAP M32</t>
  </si>
  <si>
    <t>ALU TUBE M35X30X240 /30 FOR CAP M32</t>
  </si>
  <si>
    <t>(AL6061 T6) ALU TUBE M35X30X135 /30 FOR CAP M32</t>
  </si>
  <si>
    <t>(AL6061 T6) ALU TUBE M35X30X150 /30 FOR CAP M32</t>
  </si>
  <si>
    <t>(AL6061 T6) ALU TUBE M35X30X155 /30 FOR CAP M32</t>
  </si>
  <si>
    <t>(AL6061 T6) ALU TUBE M35X30X160 /30 FOR CAP M32</t>
  </si>
  <si>
    <t>(AL6061 T6) ALU TUBE M35X30X165 /30 FOR CAP M32</t>
  </si>
  <si>
    <t>(AL6061 T6) ALU TUBE M35X30X170 /30 FOR CAP M32</t>
  </si>
  <si>
    <t>(AL6061 T6) ALU TUBE M35X30X175 /30 FOR CAP M32</t>
  </si>
  <si>
    <t>(AL6061 T6) ALU TUBE M35X30X185 /30 FOR CAP M32</t>
  </si>
  <si>
    <t>(AL6061 T6) ALU TUBE M35X30X205 /30 FOR CAP M32</t>
  </si>
  <si>
    <t>(AL6061 T6) ALU TUBE M35X30X240 /30 FOR CAP M32</t>
  </si>
  <si>
    <t>DR-TW-2B26-145-00-00</t>
  </si>
  <si>
    <t>2B26-145-00</t>
  </si>
  <si>
    <t>Z EYE TAPER 20X14X60XM8/M35X1.25/M58X1.0</t>
  </si>
  <si>
    <t>DR-TW-2B40-030-00-00</t>
  </si>
  <si>
    <t>2B40-030-00</t>
  </si>
  <si>
    <t>DR-TW-2B25-331-00-00</t>
  </si>
  <si>
    <t>2B25-331-00</t>
  </si>
  <si>
    <t>2B40-035-00</t>
  </si>
  <si>
    <t>2B40-037-00</t>
  </si>
  <si>
    <t>2B40-036-00</t>
  </si>
  <si>
    <t>2B40-031-00</t>
  </si>
  <si>
    <t>2B40-032-00</t>
  </si>
  <si>
    <t>2B40-033-00</t>
  </si>
  <si>
    <t>2B40-034-00</t>
  </si>
  <si>
    <t>ALU TUBE COVER 54X64X115/M58X1.0</t>
  </si>
  <si>
    <t>ALU TUBE COVER 54X64X125/M58X1.0</t>
  </si>
  <si>
    <t>ALU TUBE COVER 54X64X135/M58X1.0</t>
  </si>
  <si>
    <t>ALU TUBE COVER 54X64X145/M58X1.0</t>
  </si>
  <si>
    <t>ALU TUBE COVER 54X64X155/M58X1.0</t>
  </si>
  <si>
    <t>ALU TUBE COVER 54X64X165/M58X1.0</t>
  </si>
  <si>
    <t>ALU TUBE COVER 54X64X185/M58X1.0</t>
  </si>
  <si>
    <t>ALU TUBE COVER 54X64X205/M58X1.0</t>
  </si>
  <si>
    <t>PF-H7632</t>
  </si>
  <si>
    <t>ท่ออลูมิเนียม 65.5x45 สี่แฉก</t>
  </si>
  <si>
    <t>PL 13743</t>
  </si>
  <si>
    <t>ท่ออลูมิเนียม 60.5x49.5 แปดแฉก</t>
  </si>
  <si>
    <t>DR-TW-2B25-332-00-00</t>
  </si>
  <si>
    <t>2B25-332-00</t>
  </si>
  <si>
    <t>FORK W-BLACK SIDE REB 26x27x66xM10/M12z1.25 LEFT</t>
  </si>
  <si>
    <t>2B25-333-00</t>
  </si>
  <si>
    <t>FORK W-BLACK SIDE REB 26x27x66xM10/M12z1.25 RIGHT</t>
  </si>
  <si>
    <t>FORK W-BLACK REBOUND 20x22x61xM8/M12X1.25/M40x1.0 LEFT</t>
  </si>
  <si>
    <t>FORK W-BLACK REBOUND 20x22x61xM8/M12X1.25/M40x1.0 RIGHT</t>
  </si>
  <si>
    <t>DR-TW-2B26-144-00-00</t>
  </si>
  <si>
    <t>2B26-144-00</t>
  </si>
  <si>
    <t>Z EYE TAPER 20x18x55xM8/M35x1.25/M58x1.0</t>
  </si>
  <si>
    <t>2B25-330-00</t>
  </si>
  <si>
    <t>DR-TW-2B69A032-00-00</t>
  </si>
  <si>
    <t>2B69A032-00</t>
  </si>
  <si>
    <t xml:space="preserve">RESERVOIR TOP M52xM12 FOR FRONT </t>
  </si>
  <si>
    <t>RESERVOIR TOP M52xM12 FOR FRONT (2B69A032-00-00)</t>
  </si>
  <si>
    <t>DR-TW-2B69A030-00-00</t>
  </si>
  <si>
    <t>2B69A030-00</t>
  </si>
  <si>
    <t>DR-TW-2B69M512-00-00</t>
  </si>
  <si>
    <t>2B69M512-00</t>
  </si>
  <si>
    <t>FORK W-BLACK SIDE REB.20x22x39xM8/M12x1.25/M40 LEFT</t>
  </si>
  <si>
    <t>DR-TW-2B69M513-00-00</t>
  </si>
  <si>
    <t>Z-EYE TAPER 20X14x60-M35-M58X1.0 DOWN SIDE</t>
  </si>
  <si>
    <t>2B69M513-00</t>
  </si>
  <si>
    <t>DR-TW-2B26-143-00-00</t>
  </si>
  <si>
    <t>Z EYE TAPER 20x18x55xM8/M35x1.25/M58X1.0</t>
  </si>
  <si>
    <t>Z EYE TAPER 20x18x55xM8/M35/M58X1.0</t>
  </si>
  <si>
    <t>DR-TW-2B26-143-00-01</t>
  </si>
  <si>
    <t>DR-TW-2B26-144-00-01</t>
  </si>
  <si>
    <t>DR-TW-2B69M514-00-00</t>
  </si>
  <si>
    <t>2B69M514-00</t>
  </si>
  <si>
    <t>FORK W-REB 18x52x88x12xM8/M12x1.25</t>
  </si>
  <si>
    <t>DR-TW-2B26-520-01-00</t>
  </si>
  <si>
    <t>2B26-520-01</t>
  </si>
  <si>
    <t>63</t>
  </si>
  <si>
    <t xml:space="preserve"> FORK SCREW 26X28X63XM10/M16X1.0 SET/</t>
  </si>
  <si>
    <t>DR-TW-2B51-215-02-01</t>
  </si>
  <si>
    <t>ALU TUBE M22X20X25X240 RED</t>
  </si>
  <si>
    <t>ALU TUBE M22X20X25X260</t>
  </si>
  <si>
    <t>ALU TUBE M22X20X25X350</t>
  </si>
  <si>
    <t>2B51-240-00</t>
  </si>
  <si>
    <t>ALU TUBE M22X20X25X240</t>
  </si>
  <si>
    <t>DR-TW-2B94-091-00-00</t>
  </si>
  <si>
    <t>2B94-091-00</t>
  </si>
  <si>
    <t>PRELOAD 56/M50X1.5X17.5XM6/72 SET</t>
  </si>
  <si>
    <t>45</t>
  </si>
  <si>
    <t>110</t>
  </si>
  <si>
    <t>DR-TW-2B25-332-00-01</t>
  </si>
  <si>
    <t>DR-TW-2B25-331-00-01</t>
  </si>
  <si>
    <t>DR-TW-2B29-421-02-00</t>
  </si>
  <si>
    <t>2B29-421-02</t>
  </si>
  <si>
    <t>DR-TW-2B19F090-00-03</t>
  </si>
  <si>
    <t>2B19F235-00</t>
  </si>
  <si>
    <t>ALU TUBE M35x30x235 FOR END CAP M32x1.0</t>
  </si>
  <si>
    <t>(AL 6061 T6) ALU TUBE M35x30x235 FOR END CAP M32x1.0</t>
  </si>
  <si>
    <t>DR-TW-2B04-450-02-00</t>
  </si>
  <si>
    <t>2B04-450-02</t>
  </si>
  <si>
    <t>DR-TW-2B24-230-02-00</t>
  </si>
  <si>
    <t>2B24-230-02</t>
  </si>
  <si>
    <t>DR-TW-2B26-218-05-00</t>
  </si>
  <si>
    <t>2B26-218-05</t>
  </si>
  <si>
    <t>DR-TW-2B26-272-07-00</t>
  </si>
  <si>
    <t>2B26-272-07</t>
  </si>
  <si>
    <t>DR-TW-2B30-021-05-00</t>
  </si>
  <si>
    <t>2B30-021-05</t>
  </si>
  <si>
    <t>DR-TW-2B29-433-02-00</t>
  </si>
  <si>
    <t>2B29-433-02</t>
  </si>
  <si>
    <t>RESERVOIR TOP M48 W-COM 30 CLICK STD.</t>
  </si>
  <si>
    <t>DR-TW-2B26-146-00-00</t>
  </si>
  <si>
    <t>2B26-146-00</t>
  </si>
  <si>
    <t>22</t>
  </si>
  <si>
    <t>DR-TW-2B27-301-00-02</t>
  </si>
  <si>
    <t>DR-TW-2B26-231-05-00</t>
  </si>
  <si>
    <t>2B26-231-05</t>
  </si>
  <si>
    <t>G NUT 48XM5XM44/M35X1.25/M16x1.0</t>
  </si>
  <si>
    <t>DR-TW-2B26-244-04-00</t>
  </si>
  <si>
    <t>2B26-244-04</t>
  </si>
  <si>
    <t xml:space="preserve">FORK SCREW 50X28X63X10MM/M16X1.0 SET </t>
  </si>
  <si>
    <t>FORK SCREW 50X28X63X10MM/M16</t>
  </si>
  <si>
    <t>2B26-280-05</t>
  </si>
  <si>
    <t>DR-TW-2B26-280-05-00</t>
  </si>
  <si>
    <t>1</t>
  </si>
  <si>
    <t>DR-TW-2B69A037-00-00</t>
  </si>
  <si>
    <t>2B69A067-00</t>
  </si>
  <si>
    <t>DR-TW-2B69A038-00-00</t>
  </si>
  <si>
    <t>2B69A038-00</t>
  </si>
  <si>
    <t>RESERVOIR TOP M53x1.0/M12x1.25/M20x1.0 W-COM</t>
  </si>
  <si>
    <t>RESERVOIR TOP M53x1.0/M22x1.0/M20x1.0 W-COM</t>
  </si>
  <si>
    <t>2B26-193-01</t>
  </si>
  <si>
    <t>DR-TW-2B26-193-01-00</t>
  </si>
  <si>
    <t>2B26-285-02</t>
  </si>
  <si>
    <t>DR-TW-2B26-285-02-00</t>
  </si>
  <si>
    <t>2B69A044-00</t>
  </si>
  <si>
    <t>LOCK NUT RESERVOIR M52x57x5</t>
  </si>
  <si>
    <t>DR-TW-2B69A044-00-00</t>
  </si>
  <si>
    <t>DR-TW-2B69A045-00-00</t>
  </si>
  <si>
    <t>2B69A045-00</t>
  </si>
  <si>
    <t>LOCK NUT M22x1.0x32x5</t>
  </si>
  <si>
    <t>2B69A049-00</t>
  </si>
  <si>
    <t>DR-TW-2B69A049-00-00</t>
  </si>
  <si>
    <t>RESERVOIR M53x60x135/W-FREE PISTON</t>
  </si>
  <si>
    <t>2B69A046-00</t>
  </si>
  <si>
    <t>RESERVOIR M53x60x125/W-FREE PISTON</t>
  </si>
  <si>
    <t>2B69A047-00</t>
  </si>
  <si>
    <t>RESERVOIR M53x60x120/W-FREE PISTON</t>
  </si>
  <si>
    <t>2B69A048-00</t>
  </si>
  <si>
    <t>RESERVOIR M53x60x115/W-FREE PISTON</t>
  </si>
  <si>
    <t>2B69A050-00</t>
  </si>
  <si>
    <t>RESERVOIR M53x60x140/W-FREE PISTON</t>
  </si>
  <si>
    <t>2B69A051-00</t>
  </si>
  <si>
    <t>RESERVOIR M53x60x145/W-FREE PISTON</t>
  </si>
  <si>
    <t>2B69A052-00</t>
  </si>
  <si>
    <t>RESERVOIR M53x60x150/W-FREE PISTON</t>
  </si>
  <si>
    <t>2B69A037-00</t>
  </si>
  <si>
    <t>DR-TW-2B04-462-01-00</t>
  </si>
  <si>
    <t>2B04-462-01</t>
  </si>
  <si>
    <t>DR-TW-2B26-064-04-00</t>
  </si>
  <si>
    <t>2B26-064-04</t>
  </si>
  <si>
    <t>DR-TW-2B26-081-02-00</t>
  </si>
  <si>
    <t>2B26-081-02</t>
  </si>
  <si>
    <t>DR-TW-2B26-451-01-00</t>
  </si>
  <si>
    <t>2B26-451-01</t>
  </si>
  <si>
    <t>2B26-500-01</t>
  </si>
  <si>
    <t>DR-TW-2B26-500-01-00</t>
  </si>
  <si>
    <t>DR-TW-2B26-521-01-00</t>
  </si>
  <si>
    <t>2B26-521-01</t>
  </si>
  <si>
    <t>DR-TW-2B26-581-01-00</t>
  </si>
  <si>
    <t>2B26-581-01</t>
  </si>
  <si>
    <t>127</t>
  </si>
  <si>
    <t>2B26-282-01</t>
  </si>
  <si>
    <t>DR-TW-2B26-282-01-00</t>
  </si>
  <si>
    <t>2B26-085-01</t>
  </si>
  <si>
    <t>DR-TW-2B26-085-01-00</t>
  </si>
  <si>
    <t>2B26-235-04</t>
  </si>
  <si>
    <t>DR-TW-2B26-235-04-00</t>
  </si>
  <si>
    <t>2B26-233-01</t>
  </si>
  <si>
    <t>DR-TW-2B26-233-01-00</t>
  </si>
  <si>
    <t>2B26-234-05</t>
  </si>
  <si>
    <t>DR-TW-2B26-234-05-00</t>
  </si>
  <si>
    <t>2B26-295-02</t>
  </si>
  <si>
    <t>DR-TW-2B26-295-02-00</t>
  </si>
  <si>
    <t>2B26-294-01</t>
  </si>
  <si>
    <t>DR-TW-2B26-294-01-00</t>
  </si>
  <si>
    <t>2B26-523-01</t>
  </si>
  <si>
    <t>DR-TW-2B26-523-01-00</t>
  </si>
  <si>
    <t>2B26-292-01</t>
  </si>
  <si>
    <t>DR-TW-2B26-292-01-00</t>
  </si>
  <si>
    <t>2B26-296-02</t>
  </si>
  <si>
    <t>DR-TW-2B04-450-02-01</t>
  </si>
  <si>
    <t>DR-TW-2B04-425-02-01</t>
  </si>
  <si>
    <t>2B04-425-02</t>
  </si>
  <si>
    <t>DR-TW-2B25-334-00-00</t>
  </si>
  <si>
    <t>2B25-334-00</t>
  </si>
  <si>
    <t xml:space="preserve">FORK W-BLACK SIDE REB 20x22x39xM8/M12x1.25/M40 LEFT </t>
  </si>
  <si>
    <t>DR-TW-2B26-043-09-00</t>
  </si>
  <si>
    <t>2B26-043-09</t>
  </si>
  <si>
    <t>DR-TW-2B26-147-00-00</t>
  </si>
  <si>
    <t>2B26-147-00</t>
  </si>
  <si>
    <t>Z EYE TAPER 20x18x55/M35x1.25/M58x1.0/M8</t>
  </si>
  <si>
    <t>DR-TW-2B26-215-08-00</t>
  </si>
  <si>
    <t>2B26-215-08</t>
  </si>
  <si>
    <t>DR-TW-2B26-219-04-00</t>
  </si>
  <si>
    <t>2B26-219-04</t>
  </si>
  <si>
    <t>2B29-431-02</t>
  </si>
  <si>
    <t>DR-TW-2B29-431-02-00</t>
  </si>
  <si>
    <t>2B29-429-01</t>
  </si>
  <si>
    <t>DR-TW-2B29-429-01-00</t>
  </si>
  <si>
    <t>2B26-062-06</t>
  </si>
  <si>
    <t>DR-TW-2B26-062-06-00</t>
  </si>
  <si>
    <t>DR-TW-2B19G135-00-00</t>
  </si>
  <si>
    <t>DR-TW-2B19G135-00-01</t>
  </si>
  <si>
    <t>2B19G145-00</t>
  </si>
  <si>
    <t>ALU TUBE M35X30X145 /30 FOR CAP M32</t>
  </si>
  <si>
    <t>2B19G200-00</t>
  </si>
  <si>
    <t>ALU TUBE M35X30X200 /30 FOR CAP M32</t>
  </si>
  <si>
    <t>(AL6061 T6) ALU TUBE M35X30X200 /30 FOR CAP M32</t>
  </si>
  <si>
    <t>(AL6061 T6) ALU TUBE M35X30X145 /30 FOR CAP M32</t>
  </si>
  <si>
    <t>DR-TW-2B40-030-00-01</t>
  </si>
  <si>
    <t>2B40-039-00</t>
  </si>
  <si>
    <t>ALU TUBE COVER 54X64X175/M58X1.0</t>
  </si>
  <si>
    <t>DR-TW-2B26-082-02-00</t>
  </si>
  <si>
    <t>2B26-082-02</t>
  </si>
  <si>
    <t>2B30-029-02</t>
  </si>
  <si>
    <t>DR-TW-2B30-029-02-00</t>
  </si>
  <si>
    <t>26.5</t>
  </si>
  <si>
    <t>2B24F125-00</t>
  </si>
  <si>
    <t>RESERVOIR M53x50x125/W-FREE PISTON</t>
  </si>
  <si>
    <t>2B24F120-00</t>
  </si>
  <si>
    <t>RESERVOIR M53x50x120/W-FREE PISTON</t>
  </si>
  <si>
    <t>2B24F115-00</t>
  </si>
  <si>
    <t>RESERVOIR M53x50x115/W-FREE PISTON</t>
  </si>
  <si>
    <t>2B24F135-00</t>
  </si>
  <si>
    <t>RESERVOIR M53x50x135/W-FREE PISTON</t>
  </si>
  <si>
    <t>2B24F140-00</t>
  </si>
  <si>
    <t>RESERVOIR M53x50x140/W-FREE PISTON</t>
  </si>
  <si>
    <t>2B24F145-00</t>
  </si>
  <si>
    <t>RESERVOIR M53x50x145/W-FREE PISTON</t>
  </si>
  <si>
    <t>2B24F150-00</t>
  </si>
  <si>
    <t>RESERVOIR M53x50x150/W-FREE PISTON</t>
  </si>
  <si>
    <t>DR-TW-2B27-070-00-00</t>
  </si>
  <si>
    <t>2B27-070-00</t>
  </si>
  <si>
    <t>LOCK NUT RESERVOIRM53x57X5</t>
  </si>
  <si>
    <t>DR-TW-2B27-071-00-00</t>
  </si>
  <si>
    <t>2B27-071-00</t>
  </si>
  <si>
    <t>DR-TW-2B29-461-00-00</t>
  </si>
  <si>
    <t>2B29-461-00</t>
  </si>
  <si>
    <t>RESERVOIR TOP M53x1.0 /M22x1.0M20x1.0 W-COM</t>
  </si>
  <si>
    <t>DR-TW-2B29-462-00-00</t>
  </si>
  <si>
    <t>2B29-462-00</t>
  </si>
  <si>
    <t>RESERVOIR TOP M53x1.0 /M12x1.25 ON TOP /M20x1.0 W-COM</t>
  </si>
  <si>
    <t>DR-TW-2B26-480-00-00</t>
  </si>
  <si>
    <t>2B26-480-00</t>
  </si>
  <si>
    <t>NEW C-EYE 26x27x50xM6xM44/M35x1.25</t>
  </si>
  <si>
    <t>2B29-460-00</t>
  </si>
  <si>
    <t>DR-TW-2B29-460-00-00</t>
  </si>
  <si>
    <t>RESERVOIR TOP M53x1.0 /M12x1.25 /M20x1.0 W-COM</t>
  </si>
  <si>
    <t>DR-TW-2B26-148-00-00</t>
  </si>
  <si>
    <t>2B26-148-00</t>
  </si>
  <si>
    <t>Z EYEY TAPER 20x18x60xM8/M35x1.25/M58x1.0 DOWN SIDE</t>
  </si>
  <si>
    <t>2B26-228-02</t>
  </si>
  <si>
    <t>DR-TW-2B26-228-02-00</t>
  </si>
  <si>
    <t>DR-TW-2B26-229-03-00</t>
  </si>
  <si>
    <t>2B26-229-03</t>
  </si>
  <si>
    <t>500</t>
  </si>
  <si>
    <t>5</t>
  </si>
  <si>
    <t>DR-TW-2B26-258-00-00</t>
  </si>
  <si>
    <t>NEW C BOLT 29xM6xM44xM35xM10x1.5</t>
  </si>
  <si>
    <t>DR-TW-2B26-263-00-00</t>
  </si>
  <si>
    <t>NEW C FORK 20x22x53xM8xM6xM44/M35x1.25 OFF 2.5 RIGHT SIDE</t>
  </si>
  <si>
    <t>DR-TW-2B26-264-00-00</t>
  </si>
  <si>
    <t>2B26-264-00</t>
  </si>
  <si>
    <t>NEW C FORK 20x22x53xM8xM6xM44/M35x1.25 OFF 2.5 LEFT SIDE</t>
  </si>
  <si>
    <t>DR-TW-2B26-351-00-00</t>
  </si>
  <si>
    <t>2B26-351-00</t>
  </si>
  <si>
    <t>NEW C BOLT 29xM5xM48/M35x1.25/M10x1.25</t>
  </si>
  <si>
    <t>DR-TW-2B26-430-04-00</t>
  </si>
  <si>
    <t>2B26-430-04</t>
  </si>
  <si>
    <t>2B26-431-04</t>
  </si>
  <si>
    <t>DR-TW-2B26-431-04-00</t>
  </si>
  <si>
    <t>DR-TW-2B26-490-03-00</t>
  </si>
  <si>
    <t>2B26-490-03</t>
  </si>
  <si>
    <t>DR-TW-2B26-491-03-00</t>
  </si>
  <si>
    <t>2B26-491-03</t>
  </si>
  <si>
    <t>DR-TW-2B69M472-00-00</t>
  </si>
  <si>
    <t>2B69M472-00</t>
  </si>
  <si>
    <t xml:space="preserve">ALU BODY HOUSE 54x82x28xM10 ON TOP </t>
  </si>
  <si>
    <t>137</t>
  </si>
  <si>
    <t>FORK-NUT-26X28X46-M10-16</t>
  </si>
  <si>
    <t>DR-TW-2B25-096-01-02</t>
  </si>
  <si>
    <t>28</t>
  </si>
  <si>
    <t>DR-TW-2B25-150-03-00</t>
  </si>
  <si>
    <t>FORK-W-REB-30X30X70X10MM-M16</t>
  </si>
  <si>
    <t>DR-TW-2B25-155-03-01</t>
  </si>
  <si>
    <t>FORK-W-REB-30X30X70X12MM-M16</t>
  </si>
  <si>
    <t>55</t>
  </si>
  <si>
    <t>30</t>
  </si>
  <si>
    <t>62</t>
  </si>
  <si>
    <t>52</t>
  </si>
  <si>
    <t>122</t>
  </si>
  <si>
    <t>147</t>
  </si>
  <si>
    <t>172</t>
  </si>
  <si>
    <t>JATP-011-00</t>
  </si>
  <si>
    <t>DR-TW-JATP-011-00-00</t>
  </si>
  <si>
    <t>jig-anodizing-dai-15.965x14MM</t>
  </si>
  <si>
    <t>JATP-012-00</t>
  </si>
  <si>
    <t>DR-TW-JATP-012-00-00</t>
  </si>
  <si>
    <t>jig-anodizing-dai-15.975x20MM</t>
  </si>
  <si>
    <t>DR-TW-2B69M536-00-00</t>
  </si>
  <si>
    <t>2B69M536-00</t>
  </si>
  <si>
    <t xml:space="preserve">Z EYE (+25) 26x18x70xM10/M50x1.5 WITH SIDE </t>
  </si>
  <si>
    <t>88.5</t>
  </si>
  <si>
    <t>68</t>
  </si>
  <si>
    <t>2B25-135-02</t>
  </si>
  <si>
    <t>DR-TW-2B25-135-02-00</t>
  </si>
  <si>
    <t>FORK W-SIDE REB 30x30x75xM10x1.25/M16x1.5</t>
  </si>
  <si>
    <t>90.5</t>
  </si>
  <si>
    <t>2B26-255-07</t>
  </si>
  <si>
    <t>DR-TW-2B26-255-07-00</t>
  </si>
  <si>
    <t>ATP Code</t>
  </si>
  <si>
    <t>TU7413-AL61</t>
  </si>
  <si>
    <t>DR-TW-2B24F135-00-01</t>
  </si>
  <si>
    <t>DR-TW-2B25-010-0C-00</t>
  </si>
  <si>
    <t>2B25-010-0C</t>
  </si>
  <si>
    <t>2B25-023-0A</t>
  </si>
  <si>
    <t>O EYE W-REB 26x18x48/M12x1.25</t>
  </si>
  <si>
    <t>DR-TW-2B91-108-02-00</t>
  </si>
  <si>
    <t>2B91-108-02</t>
  </si>
  <si>
    <t>O EYE SCREW TAPER (+10) 20x14x48xM16x1.0</t>
  </si>
  <si>
    <t>2B26-207-04</t>
  </si>
  <si>
    <t>DR-TW-2B26-207-04-00</t>
  </si>
  <si>
    <t>DR-TW-2B29-401-03-00</t>
  </si>
  <si>
    <t>2B29-401-03</t>
  </si>
  <si>
    <t>2B29-432-02</t>
  </si>
  <si>
    <t>DR-TW-2B29-432-02-00</t>
  </si>
  <si>
    <t>DR-TW-2B29-428-04-00</t>
  </si>
  <si>
    <t>2B29-428-04</t>
  </si>
  <si>
    <t>2B29-402-03</t>
  </si>
  <si>
    <t>DR-TW-2B29-402-03-00</t>
  </si>
  <si>
    <t>DR-TW-2B29-417-00-01</t>
  </si>
  <si>
    <t>DR-TW-2B69M417-00-01</t>
  </si>
  <si>
    <t>DR-TW-2B27-071-00-01</t>
  </si>
  <si>
    <t>DR-TW-2B26-123-08-00</t>
  </si>
  <si>
    <t>2B26-123-08</t>
  </si>
  <si>
    <t>93.5</t>
  </si>
  <si>
    <t>2B19E095-00</t>
  </si>
  <si>
    <t xml:space="preserve">ALU TUBE M35x30x95/35 FOR END CAP </t>
  </si>
  <si>
    <t>2B19E125-00</t>
  </si>
  <si>
    <t xml:space="preserve">ALU TUBE M35x30x125/35 FOR END CAP </t>
  </si>
  <si>
    <t>2B19E130-00</t>
  </si>
  <si>
    <t xml:space="preserve">ALU TUBE M35x30x130/35 FOR END CAP </t>
  </si>
  <si>
    <t>97</t>
  </si>
  <si>
    <t xml:space="preserve">(AL 6063 T6)ALU TUBE M35x30x95/35 FOR END CAP </t>
  </si>
  <si>
    <t xml:space="preserve">(AL 6063 T6)ALU TUBE M35x30x125/35 FOR END CAP </t>
  </si>
  <si>
    <t xml:space="preserve">(AL 6063 T6)ALU TUBE M35x30x130/35 FOR END CAP </t>
  </si>
  <si>
    <t>132</t>
  </si>
  <si>
    <t>DR-TW-2B24F135-00-02</t>
  </si>
  <si>
    <t>2B25-180-03</t>
  </si>
  <si>
    <t>FORK-W-REB-37X30X70X12MM-M16X1.5</t>
  </si>
  <si>
    <t>DR-TW-2B29-435-00-01</t>
  </si>
  <si>
    <t>2B29-435-00</t>
  </si>
  <si>
    <t>60</t>
  </si>
  <si>
    <t>G-EYE W-COM 14X18X35XM16XM35-M32</t>
  </si>
  <si>
    <t>DR-TW-2B69M494-00-00</t>
  </si>
  <si>
    <t>2B69M494-00</t>
  </si>
  <si>
    <t>DR-TW-2B69M493-00-00</t>
  </si>
  <si>
    <t>2B69M493-00</t>
  </si>
  <si>
    <t>O EYE 14x18x32 W BLACK SIDE REBOUND M12x1.25</t>
  </si>
  <si>
    <t>46.5</t>
  </si>
  <si>
    <t>DR-TW-2B26-142-06-00</t>
  </si>
  <si>
    <t>2B26-142-06</t>
  </si>
  <si>
    <t>DR-TW-2B69M554-00-00</t>
  </si>
  <si>
    <t>2B69M554-00</t>
  </si>
  <si>
    <t>NEW PRELOAD 38/M35x1.25</t>
  </si>
  <si>
    <t>DR-TW-2B69M547-00-00</t>
  </si>
  <si>
    <t>2B69M547-00</t>
  </si>
  <si>
    <t>ALU TUBE M35X30X130-40 FOR END CAP</t>
  </si>
  <si>
    <t>(AL 6061 T6) ALU TUBE M35X30X130-40 FOR END CAP</t>
  </si>
  <si>
    <t>O EYE SCREW TAPER (+10)20x18x48/M16x1.0/12 MM</t>
  </si>
  <si>
    <t>65</t>
  </si>
  <si>
    <t>DR-TW-2B91-216-01-00</t>
  </si>
  <si>
    <t>DR-TW-2B19E100-00-00</t>
  </si>
  <si>
    <t>DR-TW-2B24-060-02-R-00</t>
  </si>
  <si>
    <t>RESERVOIR 46X60 W-FREE-PISTON-FOR-RACING</t>
  </si>
  <si>
    <t>2B24-060-02-R</t>
  </si>
  <si>
    <t>2B24-065-02-R</t>
  </si>
  <si>
    <t>2B24-070-02-R</t>
  </si>
  <si>
    <t>2B24-080-02-R</t>
  </si>
  <si>
    <t>2B24-085B02-R</t>
  </si>
  <si>
    <t>2B24-090B03-R</t>
  </si>
  <si>
    <t>2B24-120B03-R</t>
  </si>
  <si>
    <t>2B24-140-01-R</t>
  </si>
  <si>
    <t>2B24-160-01-R</t>
  </si>
  <si>
    <t>2B24-200B01-R</t>
  </si>
  <si>
    <t>2B24-220B01-R</t>
  </si>
  <si>
    <t>RESERVOIR 46X65 W-FREE-PISTON-FOR-RACING</t>
  </si>
  <si>
    <t>RESERVOIR 46X70 W-FREE-PISTON-FOR-RACING</t>
  </si>
  <si>
    <t>RESERVOIR 46X75 W-FREE-PISTON-FOR-RACING</t>
  </si>
  <si>
    <t>RESERVOIR 46X80 W-FREE-PISTON-FOR-RACING</t>
  </si>
  <si>
    <t>2B24-075B03-R</t>
  </si>
  <si>
    <t>RESERVOIR 46X85 W-FREE-PISTON-FOR-RACING</t>
  </si>
  <si>
    <t>RESERVOIR 46X90 W-FREE-PISTON-FOR-RACING</t>
  </si>
  <si>
    <t>RESERVOIR 46X120 W-FREE-PISTON-FOR-RACING</t>
  </si>
  <si>
    <t>RESERVOIR 46X140 W-FREE-PISTON</t>
  </si>
  <si>
    <t>RESERVOIR 46X160 W-FREE-PISTON</t>
  </si>
  <si>
    <t>RESERVOIR 46X200 W-FREE-PISTON</t>
  </si>
  <si>
    <t>DR-TW-2B24-251-01-00</t>
  </si>
  <si>
    <t>2B24-251-01</t>
  </si>
  <si>
    <t>2B24-252-01</t>
  </si>
  <si>
    <t>DR-TW-2B24B090-01-00</t>
  </si>
  <si>
    <t>2B24B075-01</t>
  </si>
  <si>
    <t>2B24B065-01</t>
  </si>
  <si>
    <t>2B24B090-01</t>
  </si>
  <si>
    <t>2B24B105-01</t>
  </si>
  <si>
    <t>2B24B120-01</t>
  </si>
  <si>
    <t>DR-TW-2B24C110-01-00</t>
  </si>
  <si>
    <t>2B24C110-01</t>
  </si>
  <si>
    <t>2B24D075-01</t>
  </si>
  <si>
    <t>2B24D085-01</t>
  </si>
  <si>
    <t>2B24D100-01</t>
  </si>
  <si>
    <t>2B24D120-01</t>
  </si>
  <si>
    <t>DR-TW-2B24D085-01-00</t>
  </si>
  <si>
    <t xml:space="preserve">Z EYE (+30) 26x18x75xM10/M50x1.5 WITH SIDE </t>
  </si>
  <si>
    <t>DR-TW-2B26-119-00-00</t>
  </si>
  <si>
    <t>2B26-119-00</t>
  </si>
  <si>
    <t>DR-TW-2B69M557-00-00</t>
  </si>
  <si>
    <t>2B69M557-00</t>
  </si>
  <si>
    <t>Z EYE 16x28x59.5xM5/M35x1.25/90 DEGREE</t>
  </si>
  <si>
    <t>74</t>
  </si>
  <si>
    <t>DR-TW-2B25-108-02-00</t>
  </si>
  <si>
    <t xml:space="preserve">FORK LONG 20X35X88/M10 </t>
  </si>
  <si>
    <t>DR-TW-2B25-228-02-00</t>
  </si>
  <si>
    <t>DR-TW-2B26-006-06-00</t>
  </si>
  <si>
    <t>2B26-006-06</t>
  </si>
  <si>
    <t>X EYE 20x18x38xM10/M42x1.5</t>
  </si>
  <si>
    <t>77.5</t>
  </si>
  <si>
    <t>DR-TW-2B91-231-00-00</t>
  </si>
  <si>
    <t>2B91-231-00</t>
  </si>
  <si>
    <t>O EYE SCREW SHOT 26x18x56/16x1.0x21 (SP) SET</t>
  </si>
  <si>
    <t>DR-TW-2B29-435-00-02</t>
  </si>
  <si>
    <t>DR-TW-2B04-450-03-00</t>
  </si>
  <si>
    <t>2B04-450-03</t>
  </si>
  <si>
    <t>DR-TW-2B04A120-01-R-01</t>
  </si>
  <si>
    <t>ALU TUBE M50x45x145</t>
  </si>
  <si>
    <t>2B04A165-01-R</t>
  </si>
  <si>
    <t>ALU TUBE M50x45x165</t>
  </si>
  <si>
    <t>ALU TUBE M50x45x170</t>
  </si>
  <si>
    <t>ALU TUBE M50x45x175</t>
  </si>
  <si>
    <t>ALU TUBE M50x45x185</t>
  </si>
  <si>
    <t>2B04A210-01-R</t>
  </si>
  <si>
    <t>ALU TUBE M50x45x210</t>
  </si>
  <si>
    <t>2B04A215-01-R</t>
  </si>
  <si>
    <t>ALU TUBE M50x45x215</t>
  </si>
  <si>
    <t>2B04A220-01-R</t>
  </si>
  <si>
    <t>ALU TUBE M50x45x220</t>
  </si>
  <si>
    <t>2B04A235-01-R</t>
  </si>
  <si>
    <t>ALU TUBE M50x45x235</t>
  </si>
  <si>
    <t>DR-TW-2B25-026-03-00</t>
  </si>
  <si>
    <t>2B25-026-03</t>
  </si>
  <si>
    <t>O EYE W-REB +10 26x18x60/M16x1.5 OFFSET 3 MM.</t>
  </si>
  <si>
    <t>DR-TW-2B26-001-07-00</t>
  </si>
  <si>
    <t>2B26-001-07</t>
  </si>
  <si>
    <t>X EYE 20x22x48xM10/M35x1.25 LONG</t>
  </si>
  <si>
    <t>DR-TW-2B36-003-00-00</t>
  </si>
  <si>
    <t>2B36-003-00</t>
  </si>
  <si>
    <t xml:space="preserve">HALF NUT M16x1.0x5 </t>
  </si>
  <si>
    <t>DR-TW-2B91-017A03-00</t>
  </si>
  <si>
    <t>2B91-017A03</t>
  </si>
  <si>
    <t>FORK SCREW 20x28x63xM8/M16x1.0 SET</t>
  </si>
  <si>
    <t>2B91-021A03</t>
  </si>
  <si>
    <t>FORK SCREW 30x28x63xM8/M16x1.0 SET</t>
  </si>
  <si>
    <t>DR-TW-2B91-021A03-00</t>
  </si>
  <si>
    <t>72</t>
  </si>
  <si>
    <t>2B04A185-00-R</t>
  </si>
  <si>
    <t>DR-TW-2B69M548-00-00</t>
  </si>
  <si>
    <t>2B69M548-00</t>
  </si>
  <si>
    <t>RETAINER 38x11</t>
  </si>
  <si>
    <t>13</t>
  </si>
  <si>
    <t>187</t>
  </si>
  <si>
    <t>2B29-427-02</t>
  </si>
  <si>
    <t>DR-TW-2B29-427-02-00</t>
  </si>
  <si>
    <t>66</t>
  </si>
  <si>
    <t>79.5</t>
  </si>
  <si>
    <t>54.5</t>
  </si>
  <si>
    <t>505</t>
  </si>
  <si>
    <t>DR-TW-2B26-286-01-00</t>
  </si>
  <si>
    <t>2B26-286-01</t>
  </si>
  <si>
    <t>2B26-522-01</t>
  </si>
  <si>
    <t>DR-TW-2B26-522-01-00</t>
  </si>
  <si>
    <t>61</t>
  </si>
  <si>
    <t>DR-TW-2B91-147A02-00</t>
  </si>
  <si>
    <t>2B91-147A02</t>
  </si>
  <si>
    <t>FORK SCREW (+10)26x28x73xM10/M16x1.0</t>
  </si>
  <si>
    <t>G EYE W-COM 14x18x35xM16xM35/M32x1.0</t>
  </si>
  <si>
    <t>2B25-154-03</t>
  </si>
  <si>
    <t>83</t>
  </si>
  <si>
    <t>DR-TW-2B25-221-00-00</t>
  </si>
  <si>
    <t>2B25-221-00</t>
  </si>
  <si>
    <t>O EYE 23x22x33/M12x1.25</t>
  </si>
  <si>
    <t>DR-TW-2B91-003-03-00</t>
  </si>
  <si>
    <t>2B91-003-03</t>
  </si>
  <si>
    <t>FORK SCREW 26x28x63xM10/M16x1.0</t>
  </si>
  <si>
    <t>DR-TW-2B91-033A02-00</t>
  </si>
  <si>
    <t>2B91-033A02</t>
  </si>
  <si>
    <t>O-EYE SCREW TAPER (+10) 20X18X48XM16X1.0</t>
  </si>
  <si>
    <t>DR-TW-2B91-217-02-00</t>
  </si>
  <si>
    <t>2B91-217-02</t>
  </si>
  <si>
    <t>DR-TW-2B91-241-02-01</t>
  </si>
  <si>
    <t>2B91-241-02</t>
  </si>
  <si>
    <t>O-EYE SCREW 20X14X38-M16 SET</t>
  </si>
  <si>
    <t>D R-TW-2B94-031-00-00</t>
  </si>
  <si>
    <t>2B94-031-00</t>
  </si>
  <si>
    <t>PRELOAD 40/M35X1.25X14XM6 WITH WORM SCREW M6 SET</t>
  </si>
  <si>
    <t>DR-TW-2B27-216-00-00</t>
  </si>
  <si>
    <t>LOCK RING M56</t>
  </si>
  <si>
    <t>DR-TW-2B91-033-03-00</t>
  </si>
  <si>
    <t>2B91-033-03</t>
  </si>
  <si>
    <t>FORK SCREW 26x28x63xM10/M16x1.0 SET</t>
  </si>
  <si>
    <t>DR-TW-2B25-011-08-00</t>
  </si>
  <si>
    <t>2B25-233-02</t>
  </si>
  <si>
    <t>O EYE W REB 26x18x55xM16x1.5</t>
  </si>
  <si>
    <t>2B25-011-08</t>
  </si>
  <si>
    <t>69</t>
  </si>
  <si>
    <t xml:space="preserve">O-EYE W-REB  26X18X55/M16X1.5 </t>
  </si>
  <si>
    <t>DR-TW-2B25-041-07-01</t>
  </si>
  <si>
    <t>85.5</t>
  </si>
  <si>
    <t xml:space="preserve">FORK W-REB 26X28X68/M8/M12X1.25X1.25 </t>
  </si>
  <si>
    <t>37</t>
  </si>
  <si>
    <t>80</t>
  </si>
  <si>
    <t>DR-TW-2B25-055-03-00</t>
  </si>
  <si>
    <t>59.5</t>
  </si>
  <si>
    <t>DR-TW-2B26-130-05-00</t>
  </si>
  <si>
    <t>2B26-130-05</t>
  </si>
  <si>
    <t>Z EYE 26X18X52XM10XM50X1.5 MTO SP</t>
  </si>
  <si>
    <t>DR-TW-2B26-211-04-00</t>
  </si>
  <si>
    <t>2B26-211-04</t>
  </si>
  <si>
    <t>2B24B075-30</t>
  </si>
  <si>
    <t>DR-TW-2B04-425-03-01</t>
  </si>
  <si>
    <t>2B04-425-03</t>
  </si>
  <si>
    <t>DR-TW-2B04-450-03-01</t>
  </si>
  <si>
    <t>430</t>
  </si>
  <si>
    <t>DR-TW-2B27-340-00-00</t>
  </si>
  <si>
    <t>2B27-340-00</t>
  </si>
  <si>
    <t>DR-TW-2B29-435-01-00</t>
  </si>
  <si>
    <t>2B29-435-01</t>
  </si>
  <si>
    <t>DR-TW-2B94-021-00-00</t>
  </si>
  <si>
    <t>2B94-021-00</t>
  </si>
  <si>
    <t>NEW PRELOAD 38/M35x1.25x12</t>
  </si>
  <si>
    <t>DR-TW-2B91-052-03-00</t>
  </si>
  <si>
    <t>2B91-052-03</t>
  </si>
  <si>
    <t>O EYE SCREW +30 26x18x89/M16x1.0 SET</t>
  </si>
  <si>
    <t>91.5</t>
  </si>
  <si>
    <t>O-EYE SCREW TAPER 20X18X38XM16X1.0</t>
  </si>
  <si>
    <t>DR-TW-2B91-205-02-00</t>
  </si>
  <si>
    <t>2B91-205-02</t>
  </si>
  <si>
    <t>56</t>
  </si>
  <si>
    <t>DR-TW-2B69A026-01-00</t>
  </si>
  <si>
    <t>2B69A026-01</t>
  </si>
  <si>
    <t>O EYE W-BLACK SIDE REB. 40x30x133/M16x1.5</t>
  </si>
  <si>
    <t>2B69A042-01</t>
  </si>
  <si>
    <t>O EYE W-BLACK SIDE REB. 40x30x100/M16x1.5</t>
  </si>
  <si>
    <t>DR-TW-2B69A043-00-00</t>
  </si>
  <si>
    <t>2B69A043-00</t>
  </si>
  <si>
    <t>O EYE W-REB 40x30x65/M16x1.5</t>
  </si>
  <si>
    <t>162.5</t>
  </si>
  <si>
    <t>129.5</t>
  </si>
  <si>
    <t>95.5</t>
  </si>
  <si>
    <t>G</t>
  </si>
  <si>
    <t>HARD GOLD</t>
  </si>
  <si>
    <t xml:space="preserve">OUTTER TUBE 39x56x450 </t>
  </si>
  <si>
    <t>DR-TW-2B25-239-01-00</t>
  </si>
  <si>
    <t>2B25-239-01</t>
  </si>
  <si>
    <t>O EYE TAPER 20x18x43/M12x1.25 SP</t>
  </si>
  <si>
    <t>60.5</t>
  </si>
  <si>
    <t>DR-TW-2B25-107-01-01</t>
  </si>
  <si>
    <t>2B25-107-01</t>
  </si>
  <si>
    <t>FORK LONG 26X35X88XM8X1.25</t>
  </si>
  <si>
    <t>DR-TW-2B91-206-01-00</t>
  </si>
  <si>
    <t>2B91-206-01</t>
  </si>
  <si>
    <t>O-EYE SCREW TAPER (+20) 20X18X58XM16X1.0</t>
  </si>
  <si>
    <t>DR-TW-2B91-207-01-00</t>
  </si>
  <si>
    <t>2B91-207-01</t>
  </si>
  <si>
    <t>O-EYE SCREW TAPER 20x18x42/M16x1.0 SET</t>
  </si>
  <si>
    <t>O-EYE SCREW TAPER (+20) 20X18X58XM16X1.0 SET</t>
  </si>
  <si>
    <t>51.5</t>
  </si>
  <si>
    <t>DR-TW-2B69A057-00-00</t>
  </si>
  <si>
    <t>2B69A057-00</t>
  </si>
  <si>
    <t>PRELOAD ADJUSTER 65/M60x75x10</t>
  </si>
  <si>
    <t>DR-TW-2B69A056-00-00</t>
  </si>
  <si>
    <t>2B69A056-00</t>
  </si>
  <si>
    <t>PRELOAD ADJUSTER 67/M60x1.5x20</t>
  </si>
  <si>
    <t>DR-TW-2B69M583-00-00</t>
  </si>
  <si>
    <t>2B69M583-00</t>
  </si>
  <si>
    <t>FORK W-BLACK SIDE REB 26x27x66xM12/M12x1.25LEFT</t>
  </si>
  <si>
    <t>2B69M584-00</t>
  </si>
  <si>
    <t>FORK W-BLACK SIDE REB 26x27x66xM12/M12x1.25 RIGHT</t>
  </si>
  <si>
    <t>DR-TW-2B69M587-00-00</t>
  </si>
  <si>
    <t>2B69M587-00</t>
  </si>
  <si>
    <t>ALU TUBE M50x45x550</t>
  </si>
  <si>
    <t>DR-TW-2B69A060-00-00</t>
  </si>
  <si>
    <t>2B69A060-00</t>
  </si>
  <si>
    <t>RESERVOIR CAMP B 59x25x96/M5</t>
  </si>
  <si>
    <t>DR-TW-2B69A059-00-00</t>
  </si>
  <si>
    <t>2B69A059-00</t>
  </si>
  <si>
    <t>RESERVOIR CAMP A 59x25x96/M5</t>
  </si>
  <si>
    <t>200 (ได้13 ชิ้น)</t>
  </si>
  <si>
    <t>80.5</t>
  </si>
  <si>
    <t>DR-TW-2B26-250-06-00</t>
  </si>
  <si>
    <t>2B26-250-06</t>
  </si>
  <si>
    <t>500 /ได้ 12ชิ้น</t>
  </si>
  <si>
    <t>DR-TW-2B69M579-00-00</t>
  </si>
  <si>
    <t>2B69M579-00</t>
  </si>
  <si>
    <t xml:space="preserve">ALU TUBE M22x1.0x20x25x350 </t>
  </si>
  <si>
    <t>2B69A039-01</t>
  </si>
  <si>
    <t>Z EYE 40x30x65xM12/M50x1.5</t>
  </si>
  <si>
    <t>2B69A053-00</t>
  </si>
  <si>
    <t>Z NUT 60/M50x1.5/M12x1.25</t>
  </si>
  <si>
    <t>PF-S7851</t>
  </si>
  <si>
    <t>PF-S7473</t>
  </si>
  <si>
    <t>เพลาอลูมีเนี่ยมโต 46.3 มม.</t>
  </si>
  <si>
    <t>MQ</t>
  </si>
  <si>
    <t>DR-TW-2B69A039-01-01</t>
  </si>
  <si>
    <t>DR-TW-2B69A053-00-01</t>
  </si>
  <si>
    <t>DR-TW-2B26-270-02-00</t>
  </si>
  <si>
    <t>2B26-270-02</t>
  </si>
  <si>
    <t xml:space="preserve">C EYE W COM 16X28X40X55XM35X1.25 90 DEGREE </t>
  </si>
  <si>
    <t>DR-TW-2B25-208-02-01</t>
  </si>
  <si>
    <t>DR-TW-2B04-540-01-00</t>
  </si>
  <si>
    <t>2B04-540-01</t>
  </si>
  <si>
    <t>l1</t>
  </si>
  <si>
    <t>2B04B500-01</t>
  </si>
  <si>
    <t>2B25-029-03</t>
  </si>
  <si>
    <t>O EYE H-L 26x18x25/38</t>
  </si>
  <si>
    <t>2B25-062-03</t>
  </si>
  <si>
    <t>O EYE H-L (+5) 26x18x30/38</t>
  </si>
  <si>
    <t>2B25-064-03</t>
  </si>
  <si>
    <t>O EYE H-L (+15) 26x18x40/38</t>
  </si>
  <si>
    <t>2B25-065-03</t>
  </si>
  <si>
    <t>O EYE H-L (+30) 26x18x55/38</t>
  </si>
  <si>
    <t>2B25-274-01</t>
  </si>
  <si>
    <t>O EYE H-L (+10) 26x18x35/38</t>
  </si>
  <si>
    <t>48.5</t>
  </si>
  <si>
    <t>64</t>
  </si>
  <si>
    <t>O-EYE 20x18x33/M12x1.25</t>
  </si>
  <si>
    <t>RESERVOIR TOP IDOL 30 CLICK M48xM20x12</t>
  </si>
  <si>
    <t>DR-TW-2B24-229-05-00</t>
  </si>
  <si>
    <t>2B24-229-05</t>
  </si>
  <si>
    <t>82 (ผ่าได้ 2 ชิ้น)</t>
  </si>
  <si>
    <t>DR-TW-2B69M554-01-00</t>
  </si>
  <si>
    <t>2B69M554-01</t>
  </si>
  <si>
    <t>ท่อหน้าตัด 6 ร่อง 63มม.*รูใน 33.5มม. (REV.เกรด 9/2562)</t>
  </si>
  <si>
    <t>67</t>
  </si>
  <si>
    <t>O-EYE SCREW 20X22X38/M16X1.0 FOR SET</t>
  </si>
  <si>
    <t xml:space="preserve"> O EYE SCREW  20X22X38/M16X1.0 SET </t>
  </si>
  <si>
    <t>DR-TW-2B91-215-01-00</t>
  </si>
  <si>
    <t>FORK-W-REB-22X30X70X10MM-M16</t>
  </si>
  <si>
    <t>89.5</t>
  </si>
  <si>
    <t>DR-TW-2B25-036-00-00</t>
  </si>
  <si>
    <t xml:space="preserve">O-EYE-W-BLACK-SIDE-REB-40X30X55-M16  </t>
  </si>
  <si>
    <t>DR-TW-2B69A067-00-00</t>
  </si>
  <si>
    <t>84</t>
  </si>
  <si>
    <t>DR-TW-2B69M601-00-00</t>
  </si>
  <si>
    <t>2B69M601-00</t>
  </si>
  <si>
    <t>NEW BODYHOUSE 18/M12x1.0x125/0.8</t>
  </si>
  <si>
    <t>16</t>
  </si>
  <si>
    <t>DR-TW-2B69M518-00-00</t>
  </si>
  <si>
    <t>2B69M518-00</t>
  </si>
  <si>
    <t>ALU TUBE M30x25x95</t>
  </si>
  <si>
    <t>2B69M592-00</t>
  </si>
  <si>
    <t>ALU TUBE M30x25x100</t>
  </si>
  <si>
    <t>2B69M593-00</t>
  </si>
  <si>
    <t>ALU TUBE M30x25x105</t>
  </si>
  <si>
    <t>102</t>
  </si>
  <si>
    <t>107</t>
  </si>
  <si>
    <t>DR-TW-2B25-106-01-00</t>
  </si>
  <si>
    <t>61.5</t>
  </si>
  <si>
    <t>2B91-207A01</t>
  </si>
  <si>
    <t>2B91-179-00</t>
  </si>
  <si>
    <t>DR-TW-2B91-179-00-00</t>
  </si>
  <si>
    <t>FORK SCREW LONG 30x33x63xM10/M16x1.0 OFFSET 3MM. LEFT</t>
  </si>
  <si>
    <t>DR-TW-2B26-252-02-00</t>
  </si>
  <si>
    <t>2B26-252-02</t>
  </si>
  <si>
    <t>DR-TW-2B91-178-00-00</t>
  </si>
  <si>
    <t>2B91-178-00</t>
  </si>
  <si>
    <t>FORK SCREW 30x33x63xM10/M16x1.0 SET (2B25-178-00-01)</t>
  </si>
  <si>
    <t>DR-TW-2B25-390-00-00</t>
  </si>
  <si>
    <t>2B25-390-00</t>
  </si>
  <si>
    <t>DR-TW-2B04B500-01-01</t>
  </si>
  <si>
    <t>DR-TW-2B19H125-00-01</t>
  </si>
  <si>
    <t>2B19H125-00</t>
  </si>
  <si>
    <t>ALU TUBE M35x30x125/40 FOR END CAP</t>
  </si>
  <si>
    <t>2B19H130-00</t>
  </si>
  <si>
    <t>ALU TUBE M35x30x130/40 FOR END CAP</t>
  </si>
  <si>
    <t>2B19H135-00</t>
  </si>
  <si>
    <t>ALU TUBE M35x30x135/40 FOR END CAP</t>
  </si>
  <si>
    <t>(6061 T6) ALU TUBE M35x30x125/40 FOR END CAP</t>
  </si>
  <si>
    <t>(6061 T6) ALU TUBE M35x30x130/40 FOR END CAP</t>
  </si>
  <si>
    <t>(6061 T6) ALU TUBE M35x30x135/40 FOR END CAP</t>
  </si>
  <si>
    <t>DR-TW-2B25-062-03-01</t>
  </si>
  <si>
    <t>DR-TW-2B26-325-00-00</t>
  </si>
  <si>
    <t>2B25-295-00</t>
  </si>
  <si>
    <t>REB EYE BASE W-SIDE REBOUND 50/M12x1.25/M16x1.0</t>
  </si>
  <si>
    <t>DR-TW-2B25-395-00-00</t>
  </si>
  <si>
    <t>2B25-395-00</t>
  </si>
  <si>
    <t>O EYE TAPER W-REB 30x30x65/M16x1.5</t>
  </si>
  <si>
    <t>DR-TW-2B26-112-00-00</t>
  </si>
  <si>
    <t>2B26-112-00</t>
  </si>
  <si>
    <t>Z EYE TAPER 30x27.5x65/M50x1.5/M12x1.25</t>
  </si>
  <si>
    <t>DR-TW-2B26-365-00-00</t>
  </si>
  <si>
    <t>2B26-365-00</t>
  </si>
  <si>
    <t>DR-TW-2B27-059-00-00</t>
  </si>
  <si>
    <t>2B27-059-00</t>
  </si>
  <si>
    <t>PRELOAD 65/M60x1.5x23</t>
  </si>
  <si>
    <t>DR-TW-2B25-289-00-00</t>
  </si>
  <si>
    <t>2B25-289-00</t>
  </si>
  <si>
    <t>2B25-288-00</t>
  </si>
  <si>
    <t>2B27-186-00</t>
  </si>
  <si>
    <t>PRELOAD ADJUSTER M60x76x10</t>
  </si>
  <si>
    <t>DR-TW-2B29-463-00-00</t>
  </si>
  <si>
    <t>2B29-463-00</t>
  </si>
  <si>
    <t>RESERVOIR TOP M53x1.0 /O-RING M12 W-COM</t>
  </si>
  <si>
    <t>DR-TW-2B29-464-00-00</t>
  </si>
  <si>
    <t>2B29-464-00</t>
  </si>
  <si>
    <t>RESERVOIR TOP M53x1.0 /O-RING M12 ON-TOP/W-COM</t>
  </si>
  <si>
    <t>DR-TW-2B48-362-00-00</t>
  </si>
  <si>
    <t>2B48-362-00</t>
  </si>
  <si>
    <t>DR-TW-2B48-363-00-00</t>
  </si>
  <si>
    <t>2B48-363-00</t>
  </si>
  <si>
    <t>DR-TW-2B52-283A01-00</t>
  </si>
  <si>
    <t>2B52-283A01</t>
  </si>
  <si>
    <t>94</t>
  </si>
  <si>
    <t>40</t>
  </si>
  <si>
    <t>12</t>
  </si>
  <si>
    <t>25</t>
  </si>
  <si>
    <t>PCX STAND</t>
  </si>
  <si>
    <t>200</t>
  </si>
  <si>
    <t>DR-TW-PCX-STAND00-00</t>
  </si>
  <si>
    <t>PXC-STAND00</t>
  </si>
  <si>
    <t>PF-S7476</t>
  </si>
  <si>
    <t>เพลาอลูมีเนี่ยมโต 70.3 มม.</t>
  </si>
  <si>
    <t>DR-TW-2B25-128-01-00</t>
  </si>
  <si>
    <t>2B25-128-01</t>
  </si>
  <si>
    <t>FORK W-BLACK SIDE REB 20x22x49xM10/M12x1.25 LEFT OFFSET 3 MM.</t>
  </si>
  <si>
    <t>DR-TW-2B25-129-01-00</t>
  </si>
  <si>
    <t>2B25-129-01</t>
  </si>
  <si>
    <t>FORK W-BLACK SIDE REB 20x22x49xM10/M12x1.25 RIGHT</t>
  </si>
  <si>
    <t>DR-TW-2B25-295-00-01</t>
  </si>
  <si>
    <t>O EYE 14x18x32 W-BLACK SIDE REBOUND M12x1.25</t>
  </si>
  <si>
    <t>DR-TW-2B26-190-01-00</t>
  </si>
  <si>
    <t>2B26-190-01</t>
  </si>
  <si>
    <t>64.5</t>
  </si>
  <si>
    <t xml:space="preserve"> O EYE SCREW TAPER (2B25-217-50)(+10) 20X18X48/M16X1.0 SET/SET (กลึง L1 ก่อนกัด)</t>
  </si>
  <si>
    <t>O EYE SCREW TAPER 20x14x38/M16x1.0x16.5 SET  (กัด M1 ก่อนกลึง)</t>
  </si>
  <si>
    <t>O-EYE SCREW 20 TAPER 18X38/M16  (กัด M1 ก่อนกลึง)</t>
  </si>
  <si>
    <t>O EYE SCREW +30 26x18x89/M16x1.0 SET (กลึง L1 ก่อนกัด)</t>
  </si>
  <si>
    <t xml:space="preserve">FORK SCREW 40X45X88X12MM/M16X1.0 SET </t>
  </si>
  <si>
    <t>18</t>
  </si>
  <si>
    <t>76</t>
  </si>
  <si>
    <t>DR-TW-2B69M579-01-00</t>
  </si>
  <si>
    <t>2B69M579-01</t>
  </si>
  <si>
    <t>DR-TW-2B91-205-02-01</t>
  </si>
  <si>
    <t>2B26-325-00</t>
  </si>
  <si>
    <t>163</t>
  </si>
  <si>
    <t>DR-TW-2B24-225-06-00</t>
  </si>
  <si>
    <t>2B24-225-06</t>
  </si>
  <si>
    <t>BODY HOUSE 63X75X30XM8</t>
  </si>
  <si>
    <t>DR-TW-2B48-500-02-00</t>
  </si>
  <si>
    <t xml:space="preserve">TOP PLATE PCD 130X106.5X30/M12X1.25 </t>
  </si>
  <si>
    <t>113  (1 ชิ้นผลิตได้ 2 ตัว)</t>
  </si>
  <si>
    <t>70</t>
  </si>
  <si>
    <t>2B19-170-07</t>
  </si>
  <si>
    <t>ALU TUBE-M35X30X170</t>
  </si>
  <si>
    <t>(AL 6063 T6)ALU TUBE-M35X30X170</t>
  </si>
  <si>
    <t>2B26-330-00</t>
  </si>
  <si>
    <t>DR-TW-2B26-330-00-01</t>
  </si>
  <si>
    <t>DR-TW-2B26-361-00-00</t>
  </si>
  <si>
    <t>2B26-361-00</t>
  </si>
  <si>
    <t>DR-TW-2B94-021-00-01</t>
  </si>
  <si>
    <t>DR-TW-2B25-100-01-02</t>
  </si>
  <si>
    <t>77</t>
  </si>
  <si>
    <t>90</t>
  </si>
  <si>
    <t>DR-TW-2B48-530-02-00</t>
  </si>
  <si>
    <t>2B48-530-02</t>
  </si>
  <si>
    <t xml:space="preserve">TOP MOUNT PLATE 114x95xM10x1.5/34.5xM16x2 </t>
  </si>
  <si>
    <t>DR-TW-2B27-186-00-01</t>
  </si>
  <si>
    <t>FORK SCREW 28x28x63x12MM/M16</t>
  </si>
  <si>
    <t>108</t>
  </si>
  <si>
    <t>GM3524</t>
  </si>
  <si>
    <t>MATT FORDGE G M35 NEW 2024</t>
  </si>
  <si>
    <t>DR-TW-2B26-229-04-00</t>
  </si>
  <si>
    <t>2B26-229-04</t>
  </si>
  <si>
    <t>GM4223</t>
  </si>
  <si>
    <t>DR-TW-2B69A075-00-00</t>
  </si>
  <si>
    <t>2B69A075-00</t>
  </si>
  <si>
    <t>O EYE W-BLACK SIDE REB 35x24x75/M22x1.5</t>
  </si>
  <si>
    <t>102.5</t>
  </si>
  <si>
    <t>DR-TW-2B19C145A00-00</t>
  </si>
  <si>
    <t>2B19C145A00</t>
  </si>
  <si>
    <t>ALU TUBE DTG-PLUS 220 M35X30X145X30</t>
  </si>
  <si>
    <t>(6063 T6) ALU TUBE DTG-PLUS 220 M35X30X145X30</t>
  </si>
  <si>
    <t xml:space="preserve">FORK SCREW 20X28X63XM10/M16X1.0 SET </t>
  </si>
  <si>
    <t>DR-TW-2B25-086-00-01</t>
  </si>
  <si>
    <t>63.5</t>
  </si>
  <si>
    <t>DR-TW-2B69A084-00-00</t>
  </si>
  <si>
    <t>2B69A084-00</t>
  </si>
  <si>
    <t>RESERVOIR 64x230/M66x1.0</t>
  </si>
  <si>
    <t>DR-TW-2B69A092-00-00</t>
  </si>
  <si>
    <t>2B69A092-00</t>
  </si>
  <si>
    <t>G EYE W-COM 35x24x90xM45xM66/M75</t>
  </si>
  <si>
    <t>DR-TW-2B26-228-03-00</t>
  </si>
  <si>
    <t>2B26-228-03</t>
  </si>
  <si>
    <t>2B26-191-01</t>
  </si>
  <si>
    <t>DR-TW-2B25-421-00-00</t>
  </si>
  <si>
    <t>2B25-421-00</t>
  </si>
  <si>
    <t>DR-TW-2B27-154-01-00</t>
  </si>
  <si>
    <t>2B27-154-01</t>
  </si>
  <si>
    <t>PL 14204</t>
  </si>
  <si>
    <t>เพลาอลูมีเนี่ยมเส้นแบน 34.5 มม.xหนา 18.5 มม.</t>
  </si>
  <si>
    <t xml:space="preserve">O-EYE SCREW 20X14X38-M16 SET </t>
  </si>
  <si>
    <t>DR-TW-2B04-462-02-00</t>
  </si>
  <si>
    <t>2B04-462-02</t>
  </si>
  <si>
    <t>2B29-426-00</t>
  </si>
  <si>
    <t>DR-TW-2B29-426-00-00</t>
  </si>
  <si>
    <t>2B91-241A02</t>
  </si>
  <si>
    <t>23.5</t>
  </si>
  <si>
    <t>DR-TW-2B69M638-00-00</t>
  </si>
  <si>
    <t>2B69M638-00</t>
  </si>
  <si>
    <t>ALU TUBE M35X30X130 FOR CAP M32</t>
  </si>
  <si>
    <t>2B19B145-00</t>
  </si>
  <si>
    <t>(AL 6063 T6)ALU TUBE M35x30xL FOR ENDCAP</t>
  </si>
  <si>
    <t>DR-TW-2B26-121-00-00</t>
  </si>
  <si>
    <t>2B26-121-00</t>
  </si>
  <si>
    <t>DR-TW-2B27-116-01-03</t>
  </si>
  <si>
    <t>DR-TW-2B91-190-01-01</t>
  </si>
  <si>
    <t>DR-TW-2B25-010-0D-00</t>
  </si>
  <si>
    <t>2B25-010-0D</t>
  </si>
  <si>
    <t>2B25-023-0B</t>
  </si>
  <si>
    <t>DR-TW-2B25-289-01-00</t>
  </si>
  <si>
    <t>2B25-289-01</t>
  </si>
  <si>
    <t>2B25-288-01</t>
  </si>
  <si>
    <t>DR-TW-2B30-021-06-00</t>
  </si>
  <si>
    <t>2B30-021-06</t>
  </si>
  <si>
    <t xml:space="preserve">FORK-SCREW (+35)26X28X98XM10-M16 </t>
  </si>
  <si>
    <t>2B69M642-00</t>
  </si>
  <si>
    <t>DR-TW-2B69M642-00-00</t>
  </si>
  <si>
    <t>113.5</t>
  </si>
  <si>
    <t>DR-TW-2B26-128-01-00</t>
  </si>
  <si>
    <t>2B26-128-01</t>
  </si>
  <si>
    <t>Z EYE(+10) 26X18X55XM10/M50X1.5 ON TOP M10 SP</t>
  </si>
  <si>
    <t>73.5</t>
  </si>
  <si>
    <t>DR-TW-2B27-127-02-00</t>
  </si>
  <si>
    <t>2B27-127-02</t>
  </si>
  <si>
    <t>เอกสาร ขอแก้ไขแบบ(ECR.)</t>
  </si>
  <si>
    <t>DR-TW-2B19B115-00-04</t>
  </si>
  <si>
    <t>ALU TUBE M35x30x145 FOR ENDCAP</t>
  </si>
  <si>
    <t>ALU TUBE M35x30x105 FOR ENDCAP</t>
  </si>
  <si>
    <t>ALU TUBE M35x30x115 FOR ENDCAP</t>
  </si>
  <si>
    <t>ALU TUBE M35x30x120 FOR ENDCAP</t>
  </si>
  <si>
    <t>ALU TUBE M35x30x160 FOR ENDCAP</t>
  </si>
  <si>
    <t>2B19105-00</t>
  </si>
  <si>
    <t>DR-TW-2B40-030-00-02</t>
  </si>
  <si>
    <t>2B40-040-00</t>
  </si>
  <si>
    <t>ALU TUBE COVER 54X64X215/M58X1.0</t>
  </si>
  <si>
    <t>217</t>
  </si>
  <si>
    <t xml:space="preserve">FORK SCREW 22X28X63X10MM. SET </t>
  </si>
  <si>
    <t>DR-TW-2B26-471-01-00</t>
  </si>
  <si>
    <t>2B26-471-01</t>
  </si>
  <si>
    <t>DR-TW-2B26-470-01-00</t>
  </si>
  <si>
    <t>2B26-470-01</t>
  </si>
  <si>
    <t>DR-TW-2B26-452-01-00</t>
  </si>
  <si>
    <t>2B26-452-01</t>
  </si>
  <si>
    <t>DR-TW-2B26-421-01-00</t>
  </si>
  <si>
    <t>2B26-421-01</t>
  </si>
  <si>
    <t>285</t>
  </si>
  <si>
    <t>ALU TUBE M32X30X283</t>
  </si>
  <si>
    <t>DR-TW-2B69M644-00-00</t>
  </si>
  <si>
    <t>2B69M644-00</t>
  </si>
  <si>
    <t>DR-TW-2B19I125-00-00</t>
  </si>
  <si>
    <t>ALU TUBE M35x30x125/80 FOR CAP M32</t>
  </si>
  <si>
    <t>2B19I130-00</t>
  </si>
  <si>
    <t>2B19I125-00</t>
  </si>
  <si>
    <t>ALU TUBE M35x30x130/80 FOR CAP M32</t>
  </si>
  <si>
    <t>2B19I135-00</t>
  </si>
  <si>
    <t>ALU TUBE M35x30x135/80 FOR CAP M32</t>
  </si>
  <si>
    <t>(AL6061 T6) ALU TUBE M35x30x125/80 FOR CAP M32</t>
  </si>
  <si>
    <t>(AL6061 T6) ALU TUBE M35x30x130/80 FOR CAP M32</t>
  </si>
  <si>
    <t>(AL6061 T6) ALU TUBE M35x30x135/80 FOR CAP M32</t>
  </si>
  <si>
    <t>DR-TW-2B69M649-00-00</t>
  </si>
  <si>
    <t>2B69M649-00</t>
  </si>
  <si>
    <t>BODY HOUSE 59x62x24x8</t>
  </si>
  <si>
    <t>DR-TW-2B69M476-01-00</t>
  </si>
  <si>
    <t>2B69M476-01</t>
  </si>
  <si>
    <t>RETAINER 35x9</t>
  </si>
  <si>
    <t>107.5</t>
  </si>
  <si>
    <t>26</t>
  </si>
  <si>
    <t>DR-TW-2B69M522-01-00</t>
  </si>
  <si>
    <t>2B69M522-01</t>
  </si>
  <si>
    <t>O EYE TAPER 14.9x12.8x30.5/M10</t>
  </si>
  <si>
    <t>44.5</t>
  </si>
  <si>
    <t>DR-TW-2B25-527-00-00</t>
  </si>
  <si>
    <t>2B25-527-00</t>
  </si>
  <si>
    <t>O EYE 30x22x58/M12x1.25</t>
  </si>
  <si>
    <t>75.5</t>
  </si>
  <si>
    <t>DR-TW-2B26-019-00-00</t>
  </si>
  <si>
    <t>2B26-019-00</t>
  </si>
  <si>
    <t>X EYE 23x22x38xM10/M35x1.25</t>
  </si>
  <si>
    <t>55.5</t>
  </si>
  <si>
    <t>DR-TW-2B69M518-01-00</t>
  </si>
  <si>
    <t>2B69M518-01</t>
  </si>
  <si>
    <t>104</t>
  </si>
  <si>
    <t>2B69M520-01</t>
  </si>
  <si>
    <t>DR-TW-2B69M520-01-00</t>
  </si>
  <si>
    <t>G EYE TAPER W COM 14.9x12.8x37/M30</t>
  </si>
  <si>
    <t>DR-TW-2B69M650-00-00</t>
  </si>
  <si>
    <t>2B69M650-00</t>
  </si>
  <si>
    <t>FORK W-BLACK SIDE REB (+5) 22x32x7xM10/M12x1.25/M40 RIGHT</t>
  </si>
  <si>
    <t>DR-TW-2B26-201-05-00</t>
  </si>
  <si>
    <t>2B26-201-05</t>
  </si>
  <si>
    <t>71</t>
  </si>
  <si>
    <t>DR-TW-2B26-279-03-00</t>
  </si>
  <si>
    <t>2B26-279-03</t>
  </si>
  <si>
    <t xml:space="preserve">C-EYE 16X28X50XM5XM44/M35X1.25 225 DEGREE </t>
  </si>
  <si>
    <t>DR-TW-2B26-144-01-00</t>
  </si>
  <si>
    <t>2B26-144-01</t>
  </si>
  <si>
    <t>2B26-143-01</t>
  </si>
  <si>
    <t>DR-TW-2B26-143-01-00</t>
  </si>
  <si>
    <t>DR-TW-2B69M655-00-8-00</t>
  </si>
  <si>
    <t>ALU TUBE COVE 45x60x165-M50x1.0 MATT</t>
  </si>
  <si>
    <t>DR-TW-2B69M653-00-8-00</t>
  </si>
  <si>
    <t>2B69M653-00-8</t>
  </si>
  <si>
    <t>2B69M655-00-8</t>
  </si>
  <si>
    <t>Z EYE TAPER 20x18x60xM8/M50x1.0/M12x1.25 DENTED</t>
  </si>
  <si>
    <t>167</t>
  </si>
  <si>
    <t xml:space="preserve">ALU TUBE COVE 45x60x165-M50x1.0 </t>
  </si>
  <si>
    <t>ZM5823</t>
  </si>
  <si>
    <t>MATT FORDGE Z ตัวใหญ่ โมลเดล กลมทั้งตัว ปี2023</t>
  </si>
  <si>
    <t>PF-S3453</t>
  </si>
  <si>
    <t xml:space="preserve">เพลาอลูมีเนียม 95 มม. </t>
  </si>
  <si>
    <t>34.5</t>
  </si>
  <si>
    <t>DR-TW-2B69M666-00-00</t>
  </si>
  <si>
    <t>ALU TUBE M42x36x145/M38</t>
  </si>
  <si>
    <t>2B69M667-00</t>
  </si>
  <si>
    <t>ALU TUBE M42x36x150/M38</t>
  </si>
  <si>
    <t>2B69M668-00</t>
  </si>
  <si>
    <t>2B69M669-00</t>
  </si>
  <si>
    <t>ALU TUBE M42x36x155/M38</t>
  </si>
  <si>
    <t>2B69M672-00</t>
  </si>
  <si>
    <t>ALU TUBE M42x36x170/M38</t>
  </si>
  <si>
    <t>152</t>
  </si>
  <si>
    <t>157</t>
  </si>
  <si>
    <t>2B69M656-00-8</t>
  </si>
  <si>
    <t>DR-TW-2B69M656-00-8-00</t>
  </si>
  <si>
    <t>FORK 20X25X51XM8XM40x1.0</t>
  </si>
  <si>
    <t>65.5</t>
  </si>
  <si>
    <t>DR-TW-2B69M678-00-00</t>
  </si>
  <si>
    <t>2B69M678-00</t>
  </si>
  <si>
    <t xml:space="preserve">NEW PRELOAD 50-M42x1.5x15xM6 SET </t>
  </si>
  <si>
    <t>17</t>
  </si>
  <si>
    <t>DR-TW-2B69M677-00-00</t>
  </si>
  <si>
    <t>2B69M677-00</t>
  </si>
  <si>
    <t>PRELOAD 46-M42x1.5x14xM6 SET</t>
  </si>
  <si>
    <t>DR-TW-2B69M675-00-00</t>
  </si>
  <si>
    <t>2B69M675-00</t>
  </si>
  <si>
    <t>NEW RETAINER 50x12</t>
  </si>
  <si>
    <t>DR-TW-2B69M676-00-00</t>
  </si>
  <si>
    <t>2B69M676-00</t>
  </si>
  <si>
    <t>NEW RETAINER 46x11</t>
  </si>
  <si>
    <t>DR-TW-2B26-121-01-00</t>
  </si>
  <si>
    <t>2B26-121-01</t>
  </si>
  <si>
    <t>DR-TW-2B29-233-00-00</t>
  </si>
  <si>
    <t>2B29-233-00</t>
  </si>
  <si>
    <t>REB EYE BASE W-SIDE REBOUND 50/M16x1.5/M16x1.0/M24</t>
  </si>
  <si>
    <t>DR-TW-2B26-283-01-00</t>
  </si>
  <si>
    <t>2B26-283-01</t>
  </si>
  <si>
    <t>DR-TW-2B25-041-08-00</t>
  </si>
  <si>
    <t>2B25-181-03</t>
  </si>
  <si>
    <t>2B25-041-08</t>
  </si>
  <si>
    <t>2B25-040-08</t>
  </si>
  <si>
    <t>DR-TW-2B25-335-00-00</t>
  </si>
  <si>
    <t>2B25-335-00</t>
  </si>
  <si>
    <t>FORK W-BLACK SIDE REB +5 22x32x71xM10/M12x1.25/M40 RIGHT</t>
  </si>
  <si>
    <t>DR-TW-2B48-002-01-00</t>
  </si>
  <si>
    <t>2B48-002-01</t>
  </si>
  <si>
    <t>RESERVOIR CLAMP 46X14xM5</t>
  </si>
  <si>
    <t>DR-TW-2B48-006-00-00</t>
  </si>
  <si>
    <t>RESERVOIR CLAMP 46X16xM5</t>
  </si>
  <si>
    <t>DR-TW-2B26-191-01-01</t>
  </si>
  <si>
    <t>DR-TW-2B19J120-00-00</t>
  </si>
  <si>
    <t>2B19J155-00</t>
  </si>
  <si>
    <t>ALU TUBE M35x30x155 FOR SEAL BLOCK M32 (AL6061 T6)</t>
  </si>
  <si>
    <t>(AL6061 T6) ALU TUBE M35x30x155 FOR SEAL BLOCK M32</t>
  </si>
  <si>
    <t>+</t>
  </si>
  <si>
    <t>DR-TW-2B94-054-01-00</t>
  </si>
  <si>
    <t>2B94-054-01</t>
  </si>
  <si>
    <t>DR-TW-2B94-055-02-00</t>
  </si>
  <si>
    <t>2B94-055-02</t>
  </si>
  <si>
    <t>2B94-055-00</t>
  </si>
  <si>
    <t>DR-TW-2B94-092-03-00</t>
  </si>
  <si>
    <t>2B94-092-03</t>
  </si>
  <si>
    <t>PRELOAD 56/M50X1.5X17.5XM6 FOR 456 SERIES SET</t>
  </si>
  <si>
    <t>DR-TW-2B94-051-01-00</t>
  </si>
  <si>
    <t>2B94-051-01</t>
  </si>
  <si>
    <t>D R-TW-2B94-031-01-00</t>
  </si>
  <si>
    <t>2B94-031-01</t>
  </si>
  <si>
    <t>SPACER PRELOAD 39.5x61x7</t>
  </si>
  <si>
    <t>550 (ผลิตได้ 50 ชิ้น)</t>
  </si>
  <si>
    <t>DR-TW-2B94-170-00-00</t>
  </si>
  <si>
    <t>2B94-170-00</t>
  </si>
  <si>
    <t>DR-TW-2B69M681-00-00</t>
  </si>
  <si>
    <t>2B69M681-00</t>
  </si>
  <si>
    <t xml:space="preserve">FORK W-REB SHORT 20x24x59xM8/M14x1.5 </t>
  </si>
  <si>
    <t>DR-TW-2B69M664-00-00</t>
  </si>
  <si>
    <t>2B69M664-00</t>
  </si>
  <si>
    <t>G EYE W-COM (+5) 26x18x50xM20xM48-M42x1.5</t>
  </si>
  <si>
    <t>DR-TW-2B69M683-00-00</t>
  </si>
  <si>
    <t>2B69M683-00</t>
  </si>
  <si>
    <t>G EYE W-COM (+5) 26x18x50xM20xM48-M42x1.5 150 DEGREE</t>
  </si>
  <si>
    <t>DR-TW-2B69M684-00-00</t>
  </si>
  <si>
    <t>2B69M684-00</t>
  </si>
  <si>
    <t>G EYE W-COM (+5) 26x18x50xM20xM48-M42x1.5 210 DEGREE</t>
  </si>
  <si>
    <t>DR-TW-2B26-440-00-00</t>
  </si>
  <si>
    <t>2B26-440-00</t>
  </si>
  <si>
    <t>2B19J120-00</t>
  </si>
  <si>
    <t>ALU TUBE M35x30x120 FOR SEAL BLOCK M32 (AL6061 T6)</t>
  </si>
  <si>
    <t>2B19J130-00</t>
  </si>
  <si>
    <t>ALU TUBE M35x30x130 FOR SEAL BLOCK M32 (AL6061 T6)</t>
  </si>
  <si>
    <t>2B19J145-00</t>
  </si>
  <si>
    <t>ALU TUBE M35x30x145 FOR SEAL BLOCK M32 (AL6061 T6)</t>
  </si>
  <si>
    <t>2B19J150-00</t>
  </si>
  <si>
    <t>ALU TUBE M35x30x150 FOR SEAL BLOCK M32 (AL6061 T6)</t>
  </si>
  <si>
    <t>(AL6061 T6) ALU TUBE M35x30x120 FOR SEAL BLOCK M32</t>
  </si>
  <si>
    <t>(AL6061 T6) ALU TUBE M35x30x130 FOR SEAL BLOCK M32</t>
  </si>
  <si>
    <t>(AL6061 T6) ALU TUBE M35x30x145 FOR SEAL BLOCK M32</t>
  </si>
  <si>
    <t>(AL6061 T6) ALU TUBE M35x30x150 FOR SEAL BLOCK M32</t>
  </si>
  <si>
    <t>DR-TW-2B24-226-00-01</t>
  </si>
  <si>
    <t>DR-TW-XXXXMXXX-00-00</t>
  </si>
  <si>
    <t>XXXXMXXX-00</t>
  </si>
  <si>
    <t>ALU TUBE M44x36x150</t>
  </si>
  <si>
    <t>DR-TW-2B69A124-00-00</t>
  </si>
  <si>
    <t>2B69A124-00</t>
  </si>
  <si>
    <t>O EYE W-BLACK SIDE REB 40x30x100/M8x1.5</t>
  </si>
  <si>
    <t>DR-TW-2B69A125-00-00</t>
  </si>
  <si>
    <t>2B69A125-00</t>
  </si>
  <si>
    <t>O EYE W-REB 40x30x65/M18x1.5</t>
  </si>
  <si>
    <t>2B69A127-00</t>
  </si>
  <si>
    <t>Z EYE 60/M56x1.5/40x30x68</t>
  </si>
  <si>
    <t>DR-TW-2B69A128-00-00</t>
  </si>
  <si>
    <t>2B69A128-00</t>
  </si>
  <si>
    <t>Z NUT 70/M63x1.5/M12x1.5</t>
  </si>
  <si>
    <t>DR-TW-2B69A129-00-00</t>
  </si>
  <si>
    <t>2B69A129-00</t>
  </si>
  <si>
    <t>RETAINER 76(+20)</t>
  </si>
  <si>
    <t>2B69A130-00</t>
  </si>
  <si>
    <t>PRELOAD 76/M62x1.5x25</t>
  </si>
  <si>
    <t>DR-TW-2B69A131-00-00</t>
  </si>
  <si>
    <t>2B69A131-00</t>
  </si>
  <si>
    <t>RESERVOIR TOP H-L M53xM20x10</t>
  </si>
  <si>
    <t>36</t>
  </si>
  <si>
    <t>DR-TW-2B69A127-00-01</t>
  </si>
  <si>
    <t>27</t>
  </si>
  <si>
    <t>2B69A106-00</t>
  </si>
  <si>
    <t>O-EYE WITH BLACK SIDE REB 40X30X133XM18</t>
  </si>
  <si>
    <t>130</t>
  </si>
  <si>
    <t>DR-TW-2B69A138-00-00</t>
  </si>
  <si>
    <t>2B69A138-00</t>
  </si>
  <si>
    <t>RESERVOIR 64x76x160/M66x1.0</t>
  </si>
  <si>
    <t>DR-TW-2B69A132-00-00</t>
  </si>
  <si>
    <t>2B69A132-00</t>
  </si>
  <si>
    <t>RESERVOIR TOP H-L SPEED M67XM20X3/4-16 UNF</t>
  </si>
  <si>
    <t>PF-7952</t>
  </si>
  <si>
    <t>ท่อเฟือง 61มม. รู 33.5 มม.</t>
  </si>
  <si>
    <t>DR-TW-2B69A141-00-00</t>
  </si>
  <si>
    <t>2B69A141-00</t>
  </si>
  <si>
    <t xml:space="preserve">O EYE W-BLACK SIDE REB 34x30x58/M18x1.5 </t>
  </si>
  <si>
    <t>DR-TW-2N25-157-00-00</t>
  </si>
  <si>
    <t>GM4225</t>
  </si>
  <si>
    <t>MATT FORDGE G M42 NEW 2025</t>
  </si>
  <si>
    <t>DR-TW-2B26-441-00-00</t>
  </si>
  <si>
    <t>2B26-441-00</t>
  </si>
  <si>
    <t>DR-TW-2B26-442-00-00</t>
  </si>
  <si>
    <t>2B26-442-00</t>
  </si>
  <si>
    <t>DR-TW-2B27-087-00-00</t>
  </si>
  <si>
    <t>2B27-087-00</t>
  </si>
  <si>
    <t>ALL NEW RETAINER 46x11</t>
  </si>
  <si>
    <t>DR-TW-2B27-155-00-00</t>
  </si>
  <si>
    <t>2B27-155-00</t>
  </si>
  <si>
    <t>ALL NEW RETAINER 50x12</t>
  </si>
  <si>
    <t>DR-TW-2B94-060-00-00</t>
  </si>
  <si>
    <t>2B94-060-00</t>
  </si>
  <si>
    <t>DR-TW-2B94-070-00-00</t>
  </si>
  <si>
    <t>2B94-070-00</t>
  </si>
  <si>
    <t xml:space="preserve">NEW PRELOAD 50-M42x1.5x14xM6 SET </t>
  </si>
  <si>
    <t>DR-TW-2B69A140-00-00</t>
  </si>
  <si>
    <t>2B69A140-00</t>
  </si>
  <si>
    <t>LOCK NUT RESERVOIR M66x76x8</t>
  </si>
  <si>
    <t>DR-TW-2B69A130-00-01</t>
  </si>
  <si>
    <t>PELOAD 76/M62x1.5x25</t>
  </si>
  <si>
    <t>DR-TW-2B25-422-00-00</t>
  </si>
  <si>
    <t>2B25-422-00</t>
  </si>
  <si>
    <t>FORK W-REB SHORT 20x24x59xM8/M14x1.5</t>
  </si>
  <si>
    <t>DR-TW-2B25-307-00-00</t>
  </si>
  <si>
    <t>2B25-307-00</t>
  </si>
  <si>
    <t>FORK W-REB 22x28x68x10x1.25/M14x1.5</t>
  </si>
  <si>
    <t>DR-TW-2B69A142-00-01</t>
  </si>
  <si>
    <t>2B69A142-00</t>
  </si>
  <si>
    <t xml:space="preserve">Z EYE TAPER 75/M60x1.5/3/4-16 UNF </t>
  </si>
  <si>
    <t>101.5</t>
  </si>
  <si>
    <t>82.5</t>
  </si>
  <si>
    <t>82</t>
  </si>
  <si>
    <t>71.5</t>
  </si>
  <si>
    <t xml:space="preserve"> FORK SCREW(2B25-157-93) 30X28X63XM10X12MM/M16X1.0 SET</t>
  </si>
  <si>
    <t>DR-TW-2B69M714-00-00</t>
  </si>
  <si>
    <t>2B69M714-00</t>
  </si>
  <si>
    <t>RESERVOIR 22x80xM28/M10x1.25</t>
  </si>
  <si>
    <t>DR-TW-2B48-211-00-00</t>
  </si>
  <si>
    <t>DR-TW-2B69A132-01-00</t>
  </si>
  <si>
    <t>2B69A132-01</t>
  </si>
  <si>
    <t>MATT FORDGE G/C M35 NEW 2023 SET C JUMBO</t>
  </si>
  <si>
    <t>PF-S4668</t>
  </si>
  <si>
    <t>เพลาอลูมีเนี่ยมโต 41.5 มม.</t>
  </si>
  <si>
    <t>PF-H7849</t>
  </si>
  <si>
    <t>ท่ออลูมิเนียมโต 61 มม. รุใน 29มม.</t>
  </si>
  <si>
    <t>PL14599</t>
  </si>
  <si>
    <t>ท่ออลูมีเนียมโต 35.6 มม.xรูใน 30 มม.</t>
  </si>
  <si>
    <t>57</t>
  </si>
  <si>
    <t>PF-7477</t>
  </si>
  <si>
    <t>เพลาอลูมีเนี่ยมโต 36.3มม.</t>
  </si>
  <si>
    <t>PF-7708</t>
  </si>
  <si>
    <t xml:space="preserve">ท่ออลูมิเนียม 64.45มม. X รู 52 มม. </t>
  </si>
  <si>
    <t>DR-TW-2B69A142-01-00</t>
  </si>
  <si>
    <t>2B69A142-01</t>
  </si>
  <si>
    <t>98.5</t>
  </si>
  <si>
    <t>2B25-079-02</t>
  </si>
  <si>
    <t>FORK-W-REBOUND-40X30X70X12M-M16</t>
  </si>
  <si>
    <t>LOCK NUT M22x1.0x32x5 (500MM/53 PCS)</t>
  </si>
  <si>
    <t>LOCK NUT RESERVOIRM53x57X5 (500MM/53 PCS)</t>
  </si>
  <si>
    <t>O-EYE 16X6X23/M8X1.25  (500 MM/12 PCS)</t>
  </si>
  <si>
    <t>DR-TW-2B69A127-01-00</t>
  </si>
  <si>
    <t>DR-TW-2B69A127-00-00</t>
  </si>
  <si>
    <t>2B69A127-01</t>
  </si>
  <si>
    <t>94.5</t>
  </si>
  <si>
    <t>DR-TW-2B24B090-03-00</t>
  </si>
  <si>
    <t>2B24B090-03</t>
  </si>
  <si>
    <t>92</t>
  </si>
  <si>
    <t>MATT FORDGE G M42 NEW 2023 SET JUMBO</t>
  </si>
  <si>
    <t>DR-TW-2B25-095-02-00</t>
  </si>
  <si>
    <t>DR-TW-2B69M712-00-00</t>
  </si>
  <si>
    <t>2B69M712-00</t>
  </si>
  <si>
    <t>MOVING BUSH 53x72x55</t>
  </si>
  <si>
    <t>DR-TW-2B69M711-00-00</t>
  </si>
  <si>
    <t>2B69M711-00</t>
  </si>
  <si>
    <t>MOVING BUSH 50x60x35</t>
  </si>
  <si>
    <t>DR-TW-2B69M710-00-00</t>
  </si>
  <si>
    <t>2B69M710-00</t>
  </si>
  <si>
    <t>BODY HOUSE 63x75x28xM10</t>
  </si>
  <si>
    <t>DR-TW-2B69M010-00-00</t>
  </si>
  <si>
    <t>2B69M010-00</t>
  </si>
  <si>
    <t>O EYE(+10) 20x18x68/M12x1.25</t>
  </si>
  <si>
    <t>DR-TW-2B69M002-00-00</t>
  </si>
  <si>
    <t>2B69M002-00</t>
  </si>
  <si>
    <t>G EYE 20x18x50xM5xM44/M35x1.25</t>
  </si>
  <si>
    <t>2B69A138-01</t>
  </si>
  <si>
    <t>DR-TW-2B69A138-01-00</t>
  </si>
  <si>
    <t>RESERVOIR 64x76x160/M67x1.0</t>
  </si>
  <si>
    <t>Z EYE TAPER 20x18x55 WITH COVER L.145</t>
  </si>
  <si>
    <t>DR-TW-2B88-001-00-08</t>
  </si>
  <si>
    <t>2B88-006-00</t>
  </si>
  <si>
    <t>2B19J115-00</t>
  </si>
  <si>
    <t>(AL6061 T6) ALU TUBE M35x30x115 FOR SEAL BLOCK M32</t>
  </si>
  <si>
    <t>117</t>
  </si>
  <si>
    <t>86</t>
  </si>
  <si>
    <t>75</t>
  </si>
  <si>
    <t>MOVING BUSH 50x60x35                        (MATT 1 ชิ้นผลิตได้ 2 ตัว)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</si>
</sst>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187041E]d\ mmm\ yy;@"/>
    <numFmt numFmtId="166" formatCode="[$-107041E]d\ mmm\ yy;@"/>
    <numFmt numFmtId="167" formatCode="[$-107041E]d\ mmmm\ yyyy;@"/>
  </numFmts>
  <fonts count="4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6"/>
      <name val="Angsana New"/>
      <family val="1"/>
    </font>
    <font>
      <sz val="14"/>
      <name val="Angsana New"/>
      <family val="1"/>
    </font>
    <font>
      <sz val="11"/>
      <color rgb="FF000000"/>
      <name val="Calibri"/>
      <family val="2"/>
      <scheme val="minor"/>
    </font>
    <font>
      <sz val="11"/>
      <name val="Tahoma"/>
      <family val="2"/>
    </font>
    <font>
      <sz val="9.35"/>
      <name val="Calibri"/>
      <family val="2"/>
    </font>
    <font>
      <sz val="11"/>
      <name val="Calibri"/>
      <family val="2"/>
    </font>
    <font>
      <sz val="14"/>
      <name val="Calibri"/>
      <family val="2"/>
    </font>
    <font>
      <sz val="14"/>
      <name val="Tahoma"/>
      <family val="2"/>
    </font>
    <font>
      <sz val="12"/>
      <color rgb="FF000000"/>
      <name val="Calibri Light"/>
      <family val="2"/>
      <scheme val="major"/>
    </font>
    <font>
      <sz val="10"/>
      <name val="Arial"/>
      <family val="2"/>
    </font>
    <font>
      <sz val="10"/>
      <name val="Calibri"/>
      <family val="2"/>
      <scheme val="minor"/>
    </font>
    <font>
      <sz val="14"/>
      <color rgb="FF000000"/>
      <name val="TH SarabunPSK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4"/>
      <name val="Arial Narrow"/>
      <family val="2"/>
    </font>
    <font>
      <sz val="24"/>
      <name val="Angsana New"/>
      <family val="1"/>
    </font>
    <font>
      <sz val="24"/>
      <color theme="1"/>
      <name val="Calibri"/>
      <family val="2"/>
      <scheme val="minor"/>
    </font>
    <font>
      <i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 Light"/>
      <family val="2"/>
      <scheme val="major"/>
    </font>
    <font>
      <sz val="18"/>
      <name val="Angsana New"/>
      <family val="1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sz val="2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name val="Angsana New"/>
      <family val="1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9"/>
      <name val="Angsana New"/>
      <family val="1"/>
    </font>
    <font>
      <sz val="12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theme="5" tint="-0.249977111117893"/>
      </right>
      <top style="dashed">
        <color theme="5" tint="-0.249977111117893"/>
      </top>
      <bottom style="dashed">
        <color theme="5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1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3" applyNumberFormat="1" applyFont="1" applyFill="1" applyBorder="1" applyAlignment="1">
      <alignment horizontal="left" vertical="center"/>
    </xf>
    <xf numFmtId="49" fontId="4" fillId="0" borderId="4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3" applyNumberFormat="1" applyFont="1" applyFill="1" applyBorder="1" applyAlignment="1">
      <alignment horizontal="left" vertical="center"/>
    </xf>
    <xf numFmtId="49" fontId="4" fillId="0" borderId="0" xfId="4" applyNumberFormat="1" applyFont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3" applyNumberFormat="1" applyFont="1" applyFill="1" applyBorder="1" applyAlignment="1">
      <alignment horizontal="left" vertical="center"/>
    </xf>
    <xf numFmtId="0" fontId="4" fillId="0" borderId="0" xfId="4" applyFont="1" applyAlignment="1">
      <alignment horizontal="left" vertical="center"/>
    </xf>
    <xf numFmtId="0" fontId="0" fillId="0" borderId="0" xfId="0" applyAlignment="1">
      <alignment horizontal="left"/>
    </xf>
    <xf numFmtId="49" fontId="4" fillId="0" borderId="10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0" borderId="1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4" fillId="0" borderId="7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0" xfId="2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0" xfId="0" pivotButton="1"/>
    <xf numFmtId="49" fontId="4" fillId="0" borderId="0" xfId="3" applyNumberFormat="1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4" fillId="0" borderId="0" xfId="4" applyNumberFormat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10" xfId="2" quotePrefix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left" vertical="center"/>
    </xf>
    <xf numFmtId="49" fontId="11" fillId="0" borderId="0" xfId="6" applyNumberFormat="1" applyFont="1" applyFill="1" applyBorder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0" fontId="0" fillId="0" borderId="0" xfId="0" applyAlignment="1">
      <alignment horizontal="left" indent="1"/>
    </xf>
    <xf numFmtId="0" fontId="4" fillId="0" borderId="0" xfId="1" applyFont="1" applyAlignment="1">
      <alignment horizontal="center" vertical="center"/>
    </xf>
    <xf numFmtId="0" fontId="4" fillId="0" borderId="0" xfId="3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165" fontId="4" fillId="0" borderId="13" xfId="0" applyNumberFormat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49" fontId="4" fillId="0" borderId="1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49" fontId="4" fillId="0" borderId="15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165" fontId="4" fillId="0" borderId="1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4" fillId="0" borderId="15" xfId="0" applyFont="1" applyBorder="1" applyAlignment="1">
      <alignment horizontal="left" vertical="center" wrapText="1"/>
    </xf>
    <xf numFmtId="49" fontId="4" fillId="0" borderId="11" xfId="1" applyNumberFormat="1" applyFont="1" applyBorder="1" applyAlignment="1">
      <alignment horizontal="left" vertical="center"/>
    </xf>
    <xf numFmtId="0" fontId="8" fillId="0" borderId="10" xfId="0" applyFont="1" applyBorder="1"/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 wrapText="1"/>
    </xf>
    <xf numFmtId="0" fontId="17" fillId="0" borderId="13" xfId="0" applyFont="1" applyBorder="1"/>
    <xf numFmtId="0" fontId="1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7" fillId="0" borderId="7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4" fillId="2" borderId="11" xfId="0" applyFont="1" applyFill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0" fontId="8" fillId="0" borderId="0" xfId="0" applyFont="1"/>
    <xf numFmtId="0" fontId="18" fillId="0" borderId="0" xfId="0" applyFont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49" fontId="7" fillId="0" borderId="15" xfId="1" applyNumberFormat="1" applyFont="1" applyBorder="1" applyAlignment="1">
      <alignment horizontal="left" vertical="center"/>
    </xf>
    <xf numFmtId="49" fontId="6" fillId="0" borderId="10" xfId="1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2" fontId="20" fillId="0" borderId="9" xfId="5" applyNumberFormat="1" applyFont="1" applyFill="1" applyBorder="1" applyAlignment="1">
      <alignment horizontal="center" vertical="center"/>
    </xf>
    <xf numFmtId="49" fontId="21" fillId="0" borderId="10" xfId="1" applyNumberFormat="1" applyFont="1" applyBorder="1" applyAlignment="1">
      <alignment horizontal="center" vertical="center"/>
    </xf>
    <xf numFmtId="49" fontId="21" fillId="0" borderId="3" xfId="2" applyNumberFormat="1" applyFont="1" applyBorder="1" applyAlignment="1">
      <alignment horizontal="left" vertical="center"/>
    </xf>
    <xf numFmtId="1" fontId="21" fillId="0" borderId="3" xfId="0" applyNumberFormat="1" applyFont="1" applyBorder="1" applyAlignment="1">
      <alignment horizontal="center" vertical="center"/>
    </xf>
    <xf numFmtId="49" fontId="21" fillId="0" borderId="3" xfId="0" quotePrefix="1" applyNumberFormat="1" applyFont="1" applyBorder="1" applyAlignment="1">
      <alignment horizontal="center" vertical="center"/>
    </xf>
    <xf numFmtId="2" fontId="21" fillId="0" borderId="3" xfId="5" quotePrefix="1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2" fontId="21" fillId="0" borderId="3" xfId="5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3" xfId="5" applyNumberFormat="1" applyFont="1" applyFill="1" applyBorder="1" applyAlignment="1">
      <alignment horizontal="center" vertical="center"/>
    </xf>
    <xf numFmtId="49" fontId="21" fillId="0" borderId="10" xfId="1" applyNumberFormat="1" applyFont="1" applyBorder="1" applyAlignment="1">
      <alignment horizontal="center" vertical="center" wrapText="1"/>
    </xf>
    <xf numFmtId="49" fontId="21" fillId="0" borderId="12" xfId="1" applyNumberFormat="1" applyFont="1" applyBorder="1" applyAlignment="1">
      <alignment horizontal="center" vertical="center"/>
    </xf>
    <xf numFmtId="0" fontId="21" fillId="0" borderId="3" xfId="5" quotePrefix="1" applyNumberFormat="1" applyFont="1" applyFill="1" applyBorder="1" applyAlignment="1">
      <alignment horizontal="center" vertical="center"/>
    </xf>
    <xf numFmtId="49" fontId="21" fillId="0" borderId="13" xfId="2" applyNumberFormat="1" applyFont="1" applyBorder="1" applyAlignment="1">
      <alignment horizontal="left" vertical="center"/>
    </xf>
    <xf numFmtId="49" fontId="21" fillId="0" borderId="10" xfId="1" applyNumberFormat="1" applyFont="1" applyBorder="1" applyAlignment="1">
      <alignment horizontal="center"/>
    </xf>
    <xf numFmtId="49" fontId="21" fillId="0" borderId="3" xfId="2" applyNumberFormat="1" applyFont="1" applyBorder="1" applyAlignment="1">
      <alignment horizontal="left"/>
    </xf>
    <xf numFmtId="49" fontId="21" fillId="0" borderId="12" xfId="1" applyNumberFormat="1" applyFont="1" applyBorder="1" applyAlignment="1">
      <alignment horizontal="center"/>
    </xf>
    <xf numFmtId="49" fontId="21" fillId="0" borderId="13" xfId="2" applyNumberFormat="1" applyFont="1" applyBorder="1" applyAlignment="1">
      <alignment horizontal="left"/>
    </xf>
    <xf numFmtId="49" fontId="21" fillId="0" borderId="3" xfId="1" applyNumberFormat="1" applyFont="1" applyBorder="1" applyAlignment="1">
      <alignment horizontal="left" vertical="center"/>
    </xf>
    <xf numFmtId="49" fontId="21" fillId="0" borderId="3" xfId="2" applyNumberFormat="1" applyFont="1" applyBorder="1"/>
    <xf numFmtId="49" fontId="21" fillId="0" borderId="10" xfId="2" applyNumberFormat="1" applyFont="1" applyBorder="1" applyAlignment="1">
      <alignment horizontal="center" vertical="center"/>
    </xf>
    <xf numFmtId="49" fontId="21" fillId="0" borderId="3" xfId="2" applyNumberFormat="1" applyFont="1" applyBorder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49" fontId="21" fillId="0" borderId="14" xfId="0" applyNumberFormat="1" applyFont="1" applyBorder="1" applyAlignment="1">
      <alignment vertical="center"/>
    </xf>
    <xf numFmtId="0" fontId="21" fillId="0" borderId="3" xfId="5" quotePrefix="1" applyNumberFormat="1" applyFont="1" applyBorder="1" applyAlignment="1">
      <alignment horizontal="center" vertical="center"/>
    </xf>
    <xf numFmtId="49" fontId="21" fillId="0" borderId="3" xfId="1" applyNumberFormat="1" applyFont="1" applyBorder="1" applyAlignment="1">
      <alignment horizontal="left"/>
    </xf>
    <xf numFmtId="49" fontId="21" fillId="0" borderId="3" xfId="0" applyNumberFormat="1" applyFont="1" applyBorder="1" applyAlignment="1">
      <alignment horizontal="left" vertical="center"/>
    </xf>
    <xf numFmtId="49" fontId="21" fillId="0" borderId="10" xfId="2" quotePrefix="1" applyNumberFormat="1" applyFont="1" applyBorder="1" applyAlignment="1">
      <alignment horizontal="center" vertical="center"/>
    </xf>
    <xf numFmtId="49" fontId="21" fillId="0" borderId="3" xfId="1" quotePrefix="1" applyNumberFormat="1" applyFont="1" applyBorder="1" applyAlignment="1">
      <alignment horizontal="left" vertical="center"/>
    </xf>
    <xf numFmtId="1" fontId="21" fillId="0" borderId="3" xfId="1" applyNumberFormat="1" applyFont="1" applyBorder="1" applyAlignment="1">
      <alignment horizontal="center" vertical="center"/>
    </xf>
    <xf numFmtId="2" fontId="21" fillId="0" borderId="0" xfId="5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49" fontId="21" fillId="0" borderId="11" xfId="0" applyNumberFormat="1" applyFont="1" applyBorder="1" applyAlignment="1">
      <alignment vertical="center"/>
    </xf>
    <xf numFmtId="49" fontId="21" fillId="0" borderId="11" xfId="0" applyNumberFormat="1" applyFont="1" applyBorder="1" applyAlignment="1">
      <alignment horizontal="center" vertical="center"/>
    </xf>
    <xf numFmtId="2" fontId="21" fillId="0" borderId="11" xfId="5" applyNumberFormat="1" applyFont="1" applyBorder="1" applyAlignment="1">
      <alignment horizontal="center" vertical="center"/>
    </xf>
    <xf numFmtId="49" fontId="21" fillId="0" borderId="15" xfId="1" applyNumberFormat="1" applyFont="1" applyBorder="1" applyAlignment="1">
      <alignment horizontal="center" vertical="center"/>
    </xf>
    <xf numFmtId="49" fontId="21" fillId="0" borderId="11" xfId="1" applyNumberFormat="1" applyFont="1" applyBorder="1" applyAlignment="1">
      <alignment horizontal="left" vertical="center"/>
    </xf>
    <xf numFmtId="2" fontId="21" fillId="0" borderId="11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3" xfId="1" applyNumberFormat="1" applyFont="1" applyBorder="1" applyAlignment="1">
      <alignment horizontal="left" vertical="center"/>
    </xf>
    <xf numFmtId="49" fontId="19" fillId="0" borderId="3" xfId="0" applyNumberFormat="1" applyFont="1" applyBorder="1" applyAlignment="1">
      <alignment horizontal="left" vertical="center"/>
    </xf>
    <xf numFmtId="49" fontId="19" fillId="0" borderId="3" xfId="1" applyNumberFormat="1" applyFont="1" applyBorder="1" applyAlignment="1">
      <alignment horizontal="left" vertical="center"/>
    </xf>
    <xf numFmtId="49" fontId="23" fillId="0" borderId="3" xfId="1" applyNumberFormat="1" applyFont="1" applyBorder="1" applyAlignment="1">
      <alignment horizontal="left" vertical="center"/>
    </xf>
    <xf numFmtId="49" fontId="19" fillId="0" borderId="3" xfId="2" applyNumberFormat="1" applyFont="1" applyBorder="1" applyAlignment="1">
      <alignment horizontal="left" vertical="center"/>
    </xf>
    <xf numFmtId="49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49" fontId="19" fillId="0" borderId="3" xfId="3" applyNumberFormat="1" applyFont="1" applyFill="1" applyBorder="1" applyAlignment="1">
      <alignment horizontal="left" vertical="center"/>
    </xf>
    <xf numFmtId="49" fontId="19" fillId="0" borderId="4" xfId="1" applyNumberFormat="1" applyFont="1" applyBorder="1" applyAlignment="1">
      <alignment horizontal="left" vertical="center"/>
    </xf>
    <xf numFmtId="49" fontId="19" fillId="0" borderId="4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18" fillId="0" borderId="3" xfId="0" applyFont="1" applyBorder="1"/>
    <xf numFmtId="49" fontId="19" fillId="0" borderId="1" xfId="1" applyNumberFormat="1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3" xfId="4" applyNumberFormat="1" applyFont="1" applyBorder="1" applyAlignment="1">
      <alignment horizontal="left" vertical="center"/>
    </xf>
    <xf numFmtId="0" fontId="24" fillId="0" borderId="3" xfId="0" applyFont="1" applyBorder="1"/>
    <xf numFmtId="49" fontId="19" fillId="0" borderId="10" xfId="1" applyNumberFormat="1" applyFont="1" applyBorder="1" applyAlignment="1">
      <alignment horizontal="left" vertical="center"/>
    </xf>
    <xf numFmtId="49" fontId="19" fillId="0" borderId="7" xfId="1" applyNumberFormat="1" applyFont="1" applyBorder="1" applyAlignment="1">
      <alignment horizontal="left" vertical="center"/>
    </xf>
    <xf numFmtId="49" fontId="19" fillId="0" borderId="0" xfId="1" applyNumberFormat="1" applyFont="1" applyAlignment="1">
      <alignment horizontal="left" vertical="center"/>
    </xf>
    <xf numFmtId="49" fontId="19" fillId="0" borderId="7" xfId="0" applyNumberFormat="1" applyFont="1" applyBorder="1" applyAlignment="1">
      <alignment horizontal="left" vertical="center" wrapText="1"/>
    </xf>
    <xf numFmtId="49" fontId="19" fillId="0" borderId="0" xfId="0" applyNumberFormat="1" applyFont="1" applyAlignment="1">
      <alignment horizontal="left" vertical="center" wrapText="1"/>
    </xf>
    <xf numFmtId="49" fontId="19" fillId="0" borderId="13" xfId="0" applyNumberFormat="1" applyFont="1" applyBorder="1" applyAlignment="1">
      <alignment horizontal="left" vertical="center" wrapText="1"/>
    </xf>
    <xf numFmtId="49" fontId="19" fillId="0" borderId="15" xfId="0" applyNumberFormat="1" applyFont="1" applyBorder="1" applyAlignment="1">
      <alignment horizontal="left" vertical="center" wrapText="1"/>
    </xf>
    <xf numFmtId="49" fontId="19" fillId="0" borderId="15" xfId="1" applyNumberFormat="1" applyFont="1" applyBorder="1" applyAlignment="1">
      <alignment horizontal="left" vertical="center"/>
    </xf>
    <xf numFmtId="0" fontId="25" fillId="0" borderId="13" xfId="0" applyFont="1" applyBorder="1"/>
    <xf numFmtId="49" fontId="19" fillId="0" borderId="13" xfId="2" applyNumberFormat="1" applyFont="1" applyBorder="1" applyAlignment="1">
      <alignment horizontal="left" vertical="center"/>
    </xf>
    <xf numFmtId="49" fontId="19" fillId="0" borderId="13" xfId="0" applyNumberFormat="1" applyFont="1" applyBorder="1" applyAlignment="1">
      <alignment horizontal="left" vertical="center"/>
    </xf>
    <xf numFmtId="49" fontId="19" fillId="0" borderId="13" xfId="3" applyNumberFormat="1" applyFont="1" applyFill="1" applyBorder="1" applyAlignment="1">
      <alignment horizontal="left" vertical="center"/>
    </xf>
    <xf numFmtId="49" fontId="19" fillId="0" borderId="7" xfId="2" applyNumberFormat="1" applyFont="1" applyBorder="1" applyAlignment="1">
      <alignment horizontal="left" vertical="center"/>
    </xf>
    <xf numFmtId="0" fontId="24" fillId="0" borderId="13" xfId="0" applyFont="1" applyBorder="1"/>
    <xf numFmtId="49" fontId="19" fillId="0" borderId="13" xfId="4" applyNumberFormat="1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49" fontId="19" fillId="0" borderId="10" xfId="0" applyNumberFormat="1" applyFont="1" applyBorder="1" applyAlignment="1">
      <alignment horizontal="left" vertical="center"/>
    </xf>
    <xf numFmtId="49" fontId="26" fillId="0" borderId="10" xfId="1" applyNumberFormat="1" applyFont="1" applyBorder="1" applyAlignment="1">
      <alignment horizontal="left" vertical="center"/>
    </xf>
    <xf numFmtId="49" fontId="27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27" fillId="0" borderId="15" xfId="1" applyNumberFormat="1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49" fontId="7" fillId="0" borderId="15" xfId="1" applyNumberFormat="1" applyFont="1" applyBorder="1" applyAlignment="1">
      <alignment horizontal="center" vertical="center"/>
    </xf>
    <xf numFmtId="0" fontId="0" fillId="0" borderId="3" xfId="0" applyBorder="1"/>
    <xf numFmtId="49" fontId="4" fillId="0" borderId="13" xfId="2" applyNumberFormat="1" applyFont="1" applyBorder="1" applyAlignment="1">
      <alignment horizontal="left" vertical="center"/>
    </xf>
    <xf numFmtId="0" fontId="33" fillId="3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horizontal="center" vertical="center"/>
    </xf>
    <xf numFmtId="49" fontId="33" fillId="2" borderId="3" xfId="0" applyNumberFormat="1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left" vertical="center"/>
    </xf>
    <xf numFmtId="49" fontId="33" fillId="3" borderId="3" xfId="0" applyNumberFormat="1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0" fillId="0" borderId="0" xfId="0" quotePrefix="1" applyAlignment="1">
      <alignment horizontal="left"/>
    </xf>
    <xf numFmtId="49" fontId="27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7" fillId="0" borderId="10" xfId="0" applyNumberFormat="1" applyFont="1" applyBorder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5" fillId="0" borderId="0" xfId="0" applyFont="1"/>
    <xf numFmtId="49" fontId="27" fillId="0" borderId="0" xfId="0" applyNumberFormat="1" applyFont="1" applyAlignment="1">
      <alignment horizontal="left" vertical="center"/>
    </xf>
    <xf numFmtId="49" fontId="27" fillId="0" borderId="0" xfId="1" applyNumberFormat="1" applyFont="1" applyAlignment="1">
      <alignment horizontal="left" vertical="center"/>
    </xf>
    <xf numFmtId="49" fontId="36" fillId="0" borderId="15" xfId="1" applyNumberFormat="1" applyFont="1" applyBorder="1" applyAlignment="1">
      <alignment horizontal="left" vertical="center"/>
    </xf>
    <xf numFmtId="49" fontId="6" fillId="0" borderId="15" xfId="1" applyNumberFormat="1" applyFont="1" applyBorder="1" applyAlignment="1">
      <alignment horizontal="left" vertical="center"/>
    </xf>
    <xf numFmtId="49" fontId="27" fillId="0" borderId="13" xfId="1" applyNumberFormat="1" applyFont="1" applyBorder="1" applyAlignment="1">
      <alignment horizontal="left" vertical="center"/>
    </xf>
    <xf numFmtId="49" fontId="26" fillId="0" borderId="15" xfId="1" applyNumberFormat="1" applyFont="1" applyBorder="1" applyAlignment="1">
      <alignment horizontal="left" vertical="top"/>
    </xf>
    <xf numFmtId="0" fontId="19" fillId="0" borderId="13" xfId="1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left" vertical="center"/>
    </xf>
    <xf numFmtId="49" fontId="21" fillId="0" borderId="15" xfId="1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7" fillId="0" borderId="15" xfId="0" applyFont="1" applyBorder="1"/>
    <xf numFmtId="0" fontId="38" fillId="0" borderId="0" xfId="0" applyFont="1"/>
    <xf numFmtId="49" fontId="26" fillId="0" borderId="15" xfId="1" applyNumberFormat="1" applyFont="1" applyBorder="1" applyAlignment="1">
      <alignment horizontal="left" vertical="center"/>
    </xf>
    <xf numFmtId="49" fontId="39" fillId="0" borderId="15" xfId="1" applyNumberFormat="1" applyFont="1" applyBorder="1" applyAlignment="1">
      <alignment horizontal="left" vertical="center"/>
    </xf>
    <xf numFmtId="0" fontId="32" fillId="3" borderId="3" xfId="0" applyFont="1" applyFill="1" applyBorder="1" applyAlignment="1">
      <alignment vertical="center"/>
    </xf>
    <xf numFmtId="0" fontId="32" fillId="0" borderId="3" xfId="0" applyFont="1" applyBorder="1" applyAlignment="1">
      <alignment horizontal="center"/>
    </xf>
    <xf numFmtId="0" fontId="32" fillId="0" borderId="3" xfId="0" applyFont="1" applyBorder="1"/>
    <xf numFmtId="167" fontId="0" fillId="2" borderId="3" xfId="0" applyNumberForma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/>
    </xf>
    <xf numFmtId="0" fontId="32" fillId="2" borderId="3" xfId="0" applyFont="1" applyFill="1" applyBorder="1"/>
    <xf numFmtId="49" fontId="28" fillId="0" borderId="0" xfId="0" applyNumberFormat="1" applyFont="1" applyAlignment="1">
      <alignment horizontal="left" vertical="center"/>
    </xf>
    <xf numFmtId="49" fontId="27" fillId="0" borderId="18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49" fontId="40" fillId="0" borderId="15" xfId="1" applyNumberFormat="1" applyFont="1" applyBorder="1" applyAlignment="1">
      <alignment horizontal="left" vertical="center"/>
    </xf>
    <xf numFmtId="0" fontId="34" fillId="0" borderId="3" xfId="0" applyFont="1" applyBorder="1" applyAlignment="1">
      <alignment horizontal="center" vertical="center"/>
    </xf>
  </cellXfs>
  <cellStyles count="8">
    <cellStyle name="Comma" xfId="5" builtinId="3"/>
    <cellStyle name="Comma 3" xfId="3" xr:uid="{A958E22E-641A-43C8-8EF6-CC3A8A44678C}"/>
    <cellStyle name="Currency" xfId="6" builtinId="4"/>
    <cellStyle name="Normal" xfId="0" builtinId="0"/>
    <cellStyle name="Normal 2" xfId="2" xr:uid="{3D2A4C0C-C143-41B5-B48B-3E1BF87BAA91}"/>
    <cellStyle name="Normal 4" xfId="1" xr:uid="{A2E40066-77B5-4737-A5DB-69A172A37355}"/>
    <cellStyle name="Normal 4 2" xfId="7" xr:uid="{1A98F425-9900-4D35-8878-A37F44DFC7BF}"/>
    <cellStyle name="Normal 5" xfId="4" xr:uid="{A6D06908-7E44-43BF-A4DF-EACAC408CB22}"/>
  </cellStyles>
  <dxfs count="8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187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187041E]d\ mmm\ 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685798</xdr:colOff>
      <xdr:row>0</xdr:row>
      <xdr:rowOff>14287</xdr:rowOff>
    </xdr:from>
    <xdr:to>
      <xdr:col>8</xdr:col>
      <xdr:colOff>619123</xdr:colOff>
      <xdr:row>10</xdr:row>
      <xdr:rowOff>38099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4A161081-6D71-4255-99E6-AB7495399E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061" y="14287"/>
              <a:ext cx="3986213" cy="1833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ak Noibuddee" refreshedDate="45626.561594212966" createdVersion="6" refreshedVersion="8" minRefreshableVersion="3" recordCount="1436" xr:uid="{35686D45-70CF-4ACA-9258-039F28FAEAF5}">
  <cacheSource type="worksheet">
    <worksheetSource name="บันทึกนำเข้าDrawing"/>
  </cacheSource>
  <cacheFields count="9">
    <cacheField name="No" numFmtId="0">
      <sharedItems containsString="0" containsBlank="1" containsNumber="1" containsInteger="1" minValue="1" maxValue="952"/>
    </cacheField>
    <cacheField name="Date" numFmtId="0">
      <sharedItems containsNonDate="0" containsDate="1" containsString="0" containsBlank="1" minDate="2012-02-27T00:00:00" maxDate="2024-11-22T00:00:00" count="360">
        <d v="2012-02-27T00:00:00"/>
        <d v="2012-12-04T00:00:00"/>
        <d v="2013-03-09T00:00:00"/>
        <d v="2014-08-31T00:00:00"/>
        <d v="2015-04-28T00:00:00"/>
        <d v="2015-07-20T00:00:00"/>
        <d v="2015-09-08T00:00:00"/>
        <d v="2016-09-21T00:00:00"/>
        <d v="2016-06-17T00:00:00"/>
        <d v="2016-08-26T00:00:00"/>
        <d v="2016-09-04T00:00:00"/>
        <d v="2016-10-04T00:00:00"/>
        <d v="2016-11-12T00:00:00"/>
        <d v="2016-11-22T00:00:00"/>
        <d v="2016-12-24T00:00:00"/>
        <d v="2017-01-12T00:00:00"/>
        <d v="2017-02-19T00:00:00"/>
        <d v="2017-03-23T00:00:00"/>
        <d v="2017-05-08T00:00:00"/>
        <d v="2017-05-18T00:00:00"/>
        <d v="2017-05-26T00:00:00"/>
        <d v="2017-05-31T00:00:00"/>
        <d v="2017-06-03T00:00:00"/>
        <d v="2017-06-18T00:00:00"/>
        <d v="2017-06-21T00:00:00"/>
        <d v="2017-06-22T00:00:00"/>
        <d v="2017-07-06T00:00:00"/>
        <d v="2017-11-07T00:00:00"/>
        <d v="2018-01-10T00:00:00"/>
        <d v="2018-01-27T00:00:00"/>
        <d v="2018-02-13T00:00:00"/>
        <d v="2018-03-09T00:00:00"/>
        <d v="2018-03-10T00:00:00"/>
        <d v="2018-04-20T00:00:00"/>
        <d v="2018-04-28T00:00:00"/>
        <d v="2018-06-02T00:00:00"/>
        <d v="2018-06-08T00:00:00"/>
        <d v="2018-06-09T00:00:00"/>
        <d v="2018-06-14T00:00:00"/>
        <d v="2022-06-21T00:00:00"/>
        <d v="2018-11-05T00:00:00"/>
        <d v="2019-01-06T00:00:00"/>
        <d v="2019-02-04T00:00:00"/>
        <d v="2019-02-20T00:00:00"/>
        <d v="2019-03-26T00:00:00"/>
        <d v="2019-06-01T00:00:00"/>
        <d v="2019-10-17T00:00:00"/>
        <d v="2019-10-22T00:00:00"/>
        <d v="2019-11-16T00:00:00"/>
        <d v="2019-11-23T00:00:00"/>
        <d v="2019-12-02T00:00:00"/>
        <d v="2019-12-09T00:00:00"/>
        <d v="2019-12-19T00:00:00"/>
        <d v="2020-01-02T00:00:00"/>
        <d v="2020-01-04T00:00:00"/>
        <d v="2020-01-14T00:00:00"/>
        <d v="2020-02-10T00:00:00"/>
        <d v="2020-02-11T00:00:00"/>
        <d v="2020-02-12T00:00:00"/>
        <d v="2020-02-14T00:00:00"/>
        <d v="2020-02-15T00:00:00"/>
        <d v="2020-02-21T00:00:00"/>
        <d v="2020-02-24T00:00:00"/>
        <d v="2020-02-27T00:00:00"/>
        <d v="2020-03-05T00:00:00"/>
        <d v="2020-03-14T00:00:00"/>
        <d v="2020-03-16T00:00:00"/>
        <d v="2020-03-19T00:00:00"/>
        <d v="2020-03-26T00:00:00"/>
        <d v="2020-03-30T00:00:00"/>
        <d v="2020-03-31T00:00:00"/>
        <d v="2020-04-03T00:00:00"/>
        <d v="2020-04-09T00:00:00"/>
        <d v="2020-04-10T00:00:00"/>
        <d v="2020-04-14T00:00:00"/>
        <d v="2020-04-22T00:00:00"/>
        <d v="2020-04-27T00:00:00"/>
        <d v="2020-04-29T00:00:00"/>
        <d v="2020-05-07T00:00:00"/>
        <d v="2020-05-13T00:00:00"/>
        <d v="2020-05-14T00:00:00"/>
        <d v="2020-05-21T00:00:00"/>
        <d v="2020-05-25T00:00:00"/>
        <d v="2020-05-29T00:00:00"/>
        <d v="2020-06-12T00:00:00"/>
        <d v="2020-06-17T00:00:00"/>
        <d v="2020-06-20T00:00:00"/>
        <d v="2020-06-22T00:00:00"/>
        <d v="2020-07-02T00:00:00"/>
        <d v="2020-07-06T00:00:00"/>
        <d v="2020-07-09T00:00:00"/>
        <d v="2020-07-13T00:00:00"/>
        <d v="2020-07-20T00:00:00"/>
        <d v="2020-07-23T00:00:00"/>
        <d v="2020-08-02T00:00:00"/>
        <d v="2020-08-07T00:00:00"/>
        <d v="2020-08-14T00:00:00"/>
        <d v="2020-08-28T00:00:00"/>
        <d v="2020-09-03T00:00:00"/>
        <d v="2020-09-10T00:00:00"/>
        <d v="2020-10-01T00:00:00"/>
        <d v="2020-10-15T00:00:00"/>
        <d v="2020-10-16T00:00:00"/>
        <d v="2020-10-23T00:00:00"/>
        <d v="2020-10-26T00:00:00"/>
        <d v="2020-10-31T00:00:00"/>
        <d v="2020-11-13T00:00:00"/>
        <d v="2020-11-19T00:00:00"/>
        <d v="2020-11-21T00:00:00"/>
        <d v="2020-11-30T00:00:00"/>
        <d v="2020-12-02T00:00:00"/>
        <d v="2020-12-08T00:00:00"/>
        <d v="2020-12-10T00:00:00"/>
        <d v="2020-12-12T00:00:00"/>
        <d v="2020-12-13T00:00:00"/>
        <d v="2020-12-16T00:00:00"/>
        <d v="2020-12-21T00:00:00"/>
        <d v="2021-01-05T00:00:00"/>
        <d v="2021-01-08T00:00:00"/>
        <d v="2021-01-15T00:00:00"/>
        <d v="2021-01-25T00:00:00"/>
        <d v="2021-01-28T00:00:00"/>
        <d v="2021-02-05T00:00:00"/>
        <d v="2021-02-09T00:00:00"/>
        <d v="2021-02-11T00:00:00"/>
        <d v="2021-02-16T00:00:00"/>
        <d v="2021-02-17T00:00:00"/>
        <d v="2021-02-22T00:00:00"/>
        <d v="2021-02-24T00:00:00"/>
        <d v="2021-03-02T00:00:00"/>
        <d v="2021-03-13T00:00:00"/>
        <d v="2021-03-22T00:00:00"/>
        <d v="2021-03-29T00:00:00"/>
        <d v="2021-04-05T00:00:00"/>
        <d v="2021-04-07T00:00:00"/>
        <d v="2021-04-20T00:00:00"/>
        <d v="2021-04-24T00:00:00"/>
        <d v="2021-04-25T00:00:00"/>
        <d v="2021-05-04T00:00:00"/>
        <d v="2021-05-31T00:00:00"/>
        <d v="2021-06-02T00:00:00"/>
        <d v="2021-06-06T00:00:00"/>
        <d v="2021-06-09T00:00:00"/>
        <d v="2021-06-14T00:00:00"/>
        <d v="2021-06-18T00:00:00"/>
        <d v="2021-06-21T00:00:00"/>
        <d v="2021-06-29T00:00:00"/>
        <d v="2021-07-08T00:00:00"/>
        <d v="2021-07-09T00:00:00"/>
        <d v="2021-07-12T00:00:00"/>
        <d v="2021-07-24T00:00:00"/>
        <d v="2021-08-02T00:00:00"/>
        <d v="2024-01-29T00:00:00"/>
        <d v="2021-08-18T00:00:00"/>
        <d v="2021-09-11T00:00:00"/>
        <d v="2021-09-20T00:00:00"/>
        <d v="2021-09-23T00:00:00"/>
        <d v="2021-09-30T00:00:00"/>
        <d v="2021-10-12T00:00:00"/>
        <d v="2021-10-16T00:00:00"/>
        <d v="2021-11-04T00:00:00"/>
        <d v="2021-11-08T00:00:00"/>
        <d v="2021-11-09T00:00:00"/>
        <d v="2021-11-19T00:00:00"/>
        <d v="2021-11-27T00:00:00"/>
        <d v="2021-12-23T00:00:00"/>
        <d v="2022-01-14T00:00:00"/>
        <d v="2022-01-19T00:00:00"/>
        <d v="2022-01-26T00:00:00"/>
        <d v="2022-02-01T00:00:00"/>
        <d v="2022-02-11T00:00:00"/>
        <d v="2022-02-15T00:00:00"/>
        <d v="2022-02-16T00:00:00"/>
        <d v="2022-02-23T00:00:00"/>
        <d v="2022-02-26T00:00:00"/>
        <d v="2022-03-01T00:00:00"/>
        <d v="2022-03-05T00:00:00"/>
        <d v="2022-04-05T00:00:00"/>
        <d v="2022-04-09T00:00:00"/>
        <d v="2022-04-20T00:00:00"/>
        <d v="2022-05-18T00:00:00"/>
        <d v="2022-05-19T00:00:00"/>
        <d v="2024-10-28T00:00:00"/>
        <d v="2022-06-01T00:00:00"/>
        <d v="2022-06-02T00:00:00"/>
        <d v="2022-06-06T00:00:00"/>
        <d v="2022-06-14T00:00:00"/>
        <d v="2022-06-15T00:00:00"/>
        <d v="2022-06-24T00:00:00"/>
        <d v="2022-06-27T00:00:00"/>
        <d v="2022-06-29T00:00:00"/>
        <d v="2022-06-30T00:00:00"/>
        <d v="2022-07-12T00:00:00"/>
        <d v="2022-07-22T00:00:00"/>
        <d v="2022-08-03T00:00:00"/>
        <d v="2022-08-04T00:00:00"/>
        <d v="2022-08-23T00:00:00"/>
        <d v="2022-08-25T00:00:00"/>
        <d v="2022-08-31T00:00:00"/>
        <d v="2022-09-05T00:00:00"/>
        <d v="2022-09-06T00:00:00"/>
        <d v="2022-09-14T00:00:00"/>
        <d v="2022-09-15T00:00:00"/>
        <d v="2022-09-22T00:00:00"/>
        <d v="2022-09-26T00:00:00"/>
        <d v="2022-09-29T00:00:00"/>
        <d v="2022-10-03T00:00:00"/>
        <d v="2023-12-06T00:00:00"/>
        <d v="2022-10-04T00:00:00"/>
        <d v="2022-10-06T00:00:00"/>
        <d v="2022-10-12T00:00:00"/>
        <d v="2022-10-28T00:00:00"/>
        <d v="2022-11-05T00:00:00"/>
        <d v="2022-11-06T00:00:00"/>
        <d v="2022-11-12T00:00:00"/>
        <d v="2022-11-16T00:00:00"/>
        <d v="2022-11-17T00:00:00"/>
        <d v="2022-11-18T00:00:00"/>
        <d v="2022-11-19T00:00:00"/>
        <d v="2022-11-25T00:00:00"/>
        <d v="2022-12-02T00:00:00"/>
        <d v="2022-12-12T00:00:00"/>
        <d v="2022-12-16T00:00:00"/>
        <d v="2023-01-12T00:00:00"/>
        <d v="2023-01-14T00:00:00"/>
        <d v="2023-01-26T00:00:00"/>
        <d v="2023-02-02T00:00:00"/>
        <d v="2023-02-08T00:00:00"/>
        <d v="2023-02-09T00:00:00"/>
        <d v="2023-02-21T00:00:00"/>
        <d v="2023-02-22T00:00:00"/>
        <d v="2023-02-23T00:00:00"/>
        <d v="2023-02-24T00:00:00"/>
        <d v="2023-02-27T00:00:00"/>
        <d v="2023-03-06T00:00:00"/>
        <d v="2023-03-09T00:00:00"/>
        <d v="2023-03-10T00:00:00"/>
        <d v="2023-03-16T00:00:00"/>
        <d v="2023-03-24T00:00:00"/>
        <d v="2023-03-30T00:00:00"/>
        <d v="2023-04-03T00:00:00"/>
        <d v="2023-04-05T00:00:00"/>
        <d v="2023-04-19T00:00:00"/>
        <d v="2023-05-02T00:00:00"/>
        <d v="2023-05-05T00:00:00"/>
        <d v="2023-05-10T00:00:00"/>
        <d v="2023-05-30T00:00:00"/>
        <d v="2023-05-31T00:00:00"/>
        <d v="2023-06-13T00:00:00"/>
        <d v="2023-06-16T00:00:00"/>
        <d v="2023-07-03T00:00:00"/>
        <d v="2023-07-19T00:00:00"/>
        <d v="2023-08-03T00:00:00"/>
        <d v="2023-08-07T00:00:00"/>
        <d v="2023-08-18T00:00:00"/>
        <d v="2023-08-22T00:00:00"/>
        <d v="2023-08-28T00:00:00"/>
        <d v="2023-08-29T00:00:00"/>
        <d v="2023-08-31T00:00:00"/>
        <d v="2023-09-06T00:00:00"/>
        <d v="2023-09-12T00:00:00"/>
        <d v="2023-09-13T00:00:00"/>
        <d v="2023-09-18T00:00:00"/>
        <d v="2023-10-11T00:00:00"/>
        <m/>
        <d v="2023-10-12T00:00:00"/>
        <d v="2023-11-10T00:00:00"/>
        <d v="2023-11-08T00:00:00"/>
        <d v="2023-11-14T00:00:00"/>
        <d v="2023-11-16T00:00:00"/>
        <d v="2023-11-20T00:00:00"/>
        <d v="2023-11-23T00:00:00"/>
        <d v="2023-11-29T00:00:00"/>
        <d v="2023-11-15T00:00:00"/>
        <d v="2023-12-11T00:00:00"/>
        <d v="2023-12-19T00:00:00"/>
        <d v="2024-01-03T00:00:00"/>
        <d v="2024-01-08T00:00:00"/>
        <d v="2024-01-09T00:00:00"/>
        <d v="2024-01-11T00:00:00"/>
        <d v="2023-12-18T00:00:00"/>
        <d v="2024-01-23T00:00:00"/>
        <d v="2017-08-01T00:00:00"/>
        <d v="2024-01-30T00:00:00"/>
        <d v="2024-02-02T00:00:00"/>
        <d v="2023-02-03T00:00:00"/>
        <d v="2024-02-06T00:00:00"/>
        <d v="2018-06-11T00:00:00"/>
        <d v="2024-02-13T00:00:00"/>
        <d v="2024-02-20T00:00:00"/>
        <d v="2024-02-22T00:00:00"/>
        <d v="2024-02-23T00:00:00"/>
        <d v="2024-08-07T00:00:00"/>
        <d v="2024-02-26T00:00:00"/>
        <d v="2024-10-15T00:00:00"/>
        <d v="2024-02-27T00:00:00"/>
        <d v="2024-02-29T00:00:00"/>
        <d v="2024-03-01T00:00:00"/>
        <d v="2024-03-11T00:00:00"/>
        <d v="2024-03-14T00:00:00"/>
        <d v="2024-03-18T00:00:00"/>
        <d v="2024-03-20T00:00:00"/>
        <d v="2024-03-22T00:00:00"/>
        <d v="2024-03-26T00:00:00"/>
        <d v="2024-03-27T00:00:00"/>
        <d v="2024-03-29T00:00:00"/>
        <d v="2024-04-03T00:00:00"/>
        <d v="2024-04-05T00:00:00"/>
        <d v="2024-04-09T00:00:00"/>
        <d v="2024-04-24T00:00:00"/>
        <d v="2024-04-27T00:00:00"/>
        <d v="2024-04-29T00:00:00"/>
        <d v="2024-05-02T00:00:00"/>
        <d v="2024-05-03T00:00:00"/>
        <d v="2012-06-30T00:00:00"/>
        <d v="2024-05-10T00:00:00"/>
        <d v="2024-05-14T00:00:00"/>
        <d v="2024-05-21T00:00:00"/>
        <d v="2024-05-24T00:00:00"/>
        <d v="2024-05-30T00:00:00"/>
        <d v="2024-06-04T00:00:00"/>
        <d v="2017-08-15T00:00:00"/>
        <d v="2024-06-06T00:00:00"/>
        <d v="2024-06-15T00:00:00"/>
        <d v="2024-07-17T00:00:00"/>
        <d v="2024-06-27T00:00:00"/>
        <d v="2024-07-02T00:00:00"/>
        <d v="2018-03-05T00:00:00"/>
        <d v="2024-07-08T00:00:00"/>
        <d v="2024-07-11T00:00:00"/>
        <d v="2024-07-12T00:00:00"/>
        <d v="2024-08-17T00:00:00"/>
        <d v="2024-07-18T00:00:00"/>
        <d v="2024-07-19T00:00:00"/>
        <d v="2024-07-22T00:00:00"/>
        <d v="2024-09-21T00:00:00"/>
        <d v="2024-08-09T00:00:00"/>
        <d v="2024-08-08T00:00:00"/>
        <d v="2016-06-14T00:00:00"/>
        <d v="2024-09-02T00:00:00"/>
        <d v="2024-08-23T00:00:00"/>
        <d v="2024-09-20T00:00:00"/>
        <d v="2024-09-09T00:00:00"/>
        <d v="2024-09-10T00:00:00"/>
        <d v="2024-09-27T00:00:00"/>
        <d v="2024-10-04T00:00:00"/>
        <d v="2024-10-05T00:00:00"/>
        <d v="2024-10-22T00:00:00"/>
        <d v="2024-10-10T00:00:00"/>
        <d v="2019-10-11T00:00:00"/>
        <d v="2024-10-12T00:00:00"/>
        <d v="2024-11-04T00:00:00"/>
        <d v="2024-11-06T00:00:00"/>
        <d v="2024-11-09T00:00:00"/>
        <d v="2024-11-21T00:00:00"/>
        <d v="2024-11-12T00:00:00"/>
        <d v="2016-03-05T00:00:00" u="1"/>
        <d v="2022-05-24T00:00:00" u="1"/>
        <d v="2024-07-23T00:00:00" u="1"/>
        <d v="2021-02-15T00:00:00" u="1"/>
      </sharedItems>
    </cacheField>
    <cacheField name="Drawing No" numFmtId="0">
      <sharedItems containsBlank="1" count="977">
        <s v="DR-TW-2B25-021-08-00"/>
        <s v="DR-TW-2B24-216-02-00"/>
        <s v="DR-TW-2B27-316-01-01"/>
        <s v="DR-TW-2B04A180-00-00"/>
        <s v="DR-TW-2B27-105-01-00"/>
        <s v="DR-TW-2B25-016-02-02"/>
        <s v="DR-TW-2B27-134-02-00"/>
        <s v="DR-TW-2B25-008-04-07"/>
        <s v="DR-TW-2B48-036-01-00"/>
        <s v="DR-TW-2B29-429-00-01"/>
        <s v="DR-TW-2B24-218-00-00"/>
        <s v="DR-TW-2B48-212-01-00"/>
        <s v="DR-TW-2B25-118-00-00"/>
        <s v="DR-TW-2B29-201-00-01"/>
        <s v="DR-TW-2B27-142-01-R-00"/>
        <s v="DR-TW-2B24-227-00-00"/>
        <s v="DR-TW-2B24-228-00-00"/>
        <s v="DR-TW-2B29-424-00-R-00"/>
        <s v="DR-TW-2B24-210-01-00"/>
        <s v="DR-TW-2B25-044-01-02"/>
        <s v="DR-TW-2B25-034-02-05"/>
        <s v="DR-TW-2B30-024-02-00"/>
        <s v="DR-TW-2B25-030-02-00"/>
        <s v="DR-TW-2B29-432-01-00"/>
        <s v="DR-TW-2B24-230-01-01"/>
        <s v="DR-TW-2B29-427-01-00"/>
        <s v="DR-TW-2B29-428-03-01"/>
        <s v="DR-TW-2B25-007-00-00"/>
        <s v="DR-TW-2B26-350-00-00"/>
        <s v="DR-TW-2B24-251-00-00"/>
        <s v="DR-TW-2B26-174-00-00"/>
        <s v="DR-TW-2B25-226-01-00"/>
        <s v="DR-TW-2B25-022-05-08"/>
        <s v="DR-TW-2B27-162-00-01"/>
        <s v="DR-TW-2B27-161-00-01"/>
        <s v="DR-TW-2B25-099-01-02"/>
        <s v="DR-TW-2B26-160-01-01"/>
        <s v="DR-TW-2B27-127-01-00"/>
        <s v="DR-TW-2B25-134-00-00"/>
        <s v="DR-TW-2B24D085-00-00"/>
        <s v="DR-TW-2B24-220-03-R-01"/>
        <s v="DR-TW-2B27-152-00-00"/>
        <s v="DR-TW-2B24-200A00-R-00"/>
        <s v="DR-TW-2B25-284-00-00"/>
        <s v="DR-TW-2B24-060-01-R-01"/>
        <s v="DR-TW-2B26-002-0A-00"/>
        <s v="DR-TW-2B25-265-00-00"/>
        <s v="DR-TW-2B25-261-02-00"/>
        <s v="DR-TW-2B29-270-01-01"/>
        <s v="DR-TW-2B25-264-00-00"/>
        <s v="DR-TW-2B25-012-05-01"/>
        <s v="DR-TW-2B26-208-02-00"/>
        <s v="DR-TW-2B26-218-03-02"/>
        <s v="DR-TW-2B25-198-00-00"/>
        <s v="DR-TW-2B26-062-04-00"/>
        <s v="DR-TW-2B26-063-04-00"/>
        <s v="DR-TW-2B27-081-00-01"/>
        <s v="DR-TW-2B25-354-00-00"/>
        <s v="DR-TW-2B98M696-02-00"/>
        <s v="DR-TW-2B91-076-00-R-00"/>
        <s v="DR-TW-2B48-508-00-00"/>
        <s v="DR-TW-2B53-400-00-00"/>
        <s v="DR-TW-2B25-230-00-R-00"/>
        <s v="DR-TW-2B51-215-01-00"/>
        <s v="DR-TW-2B52-253-04-00"/>
        <s v="DR-TW-2B53-400-01-00"/>
        <s v="DR-TW-2B25-132-01-00"/>
        <s v="DR-TW-2B48-508-00-01"/>
        <s v="DR-TW-2B27-100-02-03"/>
        <s v="DR-TW-2B04A120-01-R-00"/>
        <s v="DR-TW-2B54-095-00-00"/>
        <s v="DR-TW-2B55-095-00-00"/>
        <s v="DR-TW-2B91-194-01-00"/>
        <s v="DR-TW-2B24-211-09-00"/>
        <s v="DR-TW-2B53-400-01-01"/>
        <s v="DR-TW-2B54-095-00-01"/>
        <s v="DR-TW-2B26-081-01-00"/>
        <s v="DR-TW-2B26-082-01-00"/>
        <s v="DR-TW-2B26-142-05-00"/>
        <s v="DR-TW-2B26-280-04-00"/>
        <s v="DR-TW-2B91-194-01-01"/>
        <s v="DR-TW-2B26-045-04-00"/>
        <s v="DR-TW-2B26-046-04-00"/>
        <s v="DR-TW-2B26-081-01-01"/>
        <s v="DR-TW-2B26-082-01-01"/>
        <s v="DR-TW-2B26-110-0F-00"/>
        <s v="DR-TW-2B26-118-04-00"/>
        <s v="DR-TW-2B26-215-07-00"/>
        <s v="DR-TW-2B26-228-01-01"/>
        <s v="DR-TW-2B26-229-02-00"/>
        <s v="DR-TW-2B26-234-04-00"/>
        <s v="DR-TW-2B26-235-03-00"/>
        <s v="DR-TW-2B26-236-01-00"/>
        <s v="DR-TW-2B26-244-03-00"/>
        <s v="DR-TW-2B26-281-02-00"/>
        <s v="DR-TW-2B19D140-02-02"/>
        <s v="DR-TW-2B26-003-03-00"/>
        <s v="DR-TW-2B26-009-02-00"/>
        <s v="DR-TW-2B26-043-08-00"/>
        <s v="DR-TW-2B26-051-03-00"/>
        <s v="DR-TW-2B26-052-02-00"/>
        <s v="DR-TW-2B26-055-02-00"/>
        <s v="DR-TW-2B26-122-06-00"/>
        <s v="DR-TW-2B26-126-0I-00"/>
        <s v="DR-TW-2B26-132-01-00"/>
        <s v="DR-TW-2B26-235-03-01"/>
        <s v="DR-TW-2B26-262-03-00"/>
        <s v="DR-TW-2B26-123-06-00"/>
        <s v="DR-TW-2B26-130-03-00"/>
        <s v="DR-TW-2B26-064-03-00"/>
        <s v="DR-TW-2B29-129-03-00"/>
        <s v="DR-TW-2B29-143-02-00"/>
        <s v="DR-TW-2B29-146-02-00"/>
        <s v="DR-TW-2B29-340-02-00"/>
        <s v="DR-TW-2B29-341-01-00"/>
        <s v="DR-TW-2B29-342-01-00"/>
        <s v="DR-TW-2B29-343-02-00"/>
        <s v="DR-TW-2B29-344-02-00"/>
        <s v="DR-TW-2B26-257-02-00"/>
        <s v="DR-TW-2B26-051-04-00"/>
        <s v="DR-TW-2B26-055-03-00"/>
        <s v="DR-TW-2B26-126-0J-00"/>
        <s v="DR-TW-2B26-252-00-00"/>
        <s v="DR-TW-2B26-276-00-00"/>
        <s v="DR-TW-2B26-228-01-00"/>
        <s v="DR-TW-2B26-048-02-00"/>
        <s v="DR-TW-2B26-049-07-00"/>
        <s v="DR-TW-2B26-050-05-00"/>
        <s v="DR-TW-2B69M009-00-00"/>
        <s v="DR-TW-2B26-003-04-00"/>
        <s v="DR-TW-2B26-122-07-00"/>
        <s v="DR-TW-2B26-124-03-00"/>
        <s v="DR-TW-2B26-130-04-00"/>
        <s v="DR-TW-2B26-142-05-01"/>
        <s v="DR-TW-2B26-262-04-00"/>
        <s v="DR-TW-2B26-272-06-00"/>
        <s v="DR-TW-2B98M674-01-00"/>
        <s v="DR-TW-2B25-058-01-00"/>
        <s v="DR-TW-2B26-126-0J-01"/>
        <s v="DR-TW-2B26-231-04-00"/>
        <s v="DR-TW-2B26-274-05-00"/>
        <s v="DR-TW-2B94-093-00-00"/>
        <s v="DR-TW-2B24-225-04-00"/>
        <s v="DR-TW-2B24-229-03-00"/>
        <s v="DR-TW-2B26-260-01-00"/>
        <s v="DR-TW-2B26-219-03-00"/>
        <s v="DR-TW-2B48-253-00-00"/>
        <s v="DR-TW-2B24-300-00-00"/>
        <s v="DR-TW-2B25-125-04-00"/>
        <s v="DR-TW-2B25-127-03-00"/>
        <s v="DR-TW-2B25-138-01-00"/>
        <s v="DR-TW-2B25-139-01-00"/>
        <s v="DR-TW-2B25-352-01-00"/>
        <s v="DR-TW-2B25-353-01-00"/>
        <s v="DR-TW-2B26-250-00-00"/>
        <s v="DR-TW-2B30-021-04-00"/>
        <s v="DR-TW-2B26-250-05-00"/>
        <s v="DR-TW-2B30-020-00-00"/>
        <s v="DR-TW-2B69A001-00-00"/>
        <s v="DR-TW-2B69A002-00-00"/>
        <s v="DR-TW-2B26-255-06-00"/>
        <s v="DR-TW-2B26-270-01-00"/>
        <s v="DR-TW-2B26-051-05-00"/>
        <s v="DR-TW-2B69M013-00-00"/>
        <s v="DR-TW-2B25-323-00-00"/>
        <s v="DR-TW-2B29-370-00-00"/>
        <s v="DR-TW-2B69A003-00-00"/>
        <s v="DR-TW-2B69A005-00-00"/>
        <s v="DR-TW-2B69A006-00-00"/>
        <s v="DR-TW-2B24-202C00-00"/>
        <s v="DR-TW-2B26-128-00-00"/>
        <s v="DR-TW-2B29-421-00-00"/>
        <s v="DR-TW-2B24-220C00-00"/>
        <s v="DR-TW-2B69A016-00-00"/>
        <s v="DR-TW-2B69M017-00-01"/>
        <s v="DR-TW-2B69M018-00-00"/>
        <s v="DR-TW-2B26-067-04-00"/>
        <s v="DR-TW-2B29-231-00-00"/>
        <s v="DR-TW-2B26-252-00-01"/>
        <s v="DR-TW-2B29-421-00-01"/>
        <s v="DR-TW-2B28A117-00-13"/>
        <s v="DR-TW-2B26-204-06-00"/>
        <s v="DR-TW-2B26-111-00-00"/>
        <s v="DR-TW-2B26-323-00-00"/>
        <s v="DR-TW-2B27-180-00-00"/>
        <s v="DR-TW-2B51-215-01-01"/>
        <s v="DR-TW-2B28-115-00-06"/>
        <s v="DR-TW-2B26-340-00-00"/>
        <s v="DR-TW-2B69M024-00-00"/>
        <s v="DR-TW-2B69M028-00-00"/>
        <s v="DR-TW-2B24-225-05-00"/>
        <s v="DR-TW-2B24-229-04-00"/>
        <s v="DR-TW-2B24-240-02-01"/>
        <s v="DR-TW-2B24-241-02-01"/>
        <s v="DR-TW-2B69M032-00-00"/>
        <s v="DR-TW-2B69M033-00-00"/>
        <s v="DR-TW-2B25-009-08-01"/>
        <s v="DR-TW-2B26-163-03-00"/>
        <s v="DR-TW-2B25-523-00-00"/>
        <s v="DR-TW-2B25-524-00-00"/>
        <s v="DR-TW-2B26-253-00-01"/>
        <s v="DR-TW-2B29-345-00-00"/>
        <s v="DR-TW-2B69M048-00-00"/>
        <s v="DR-TW-2B24-240-03-00"/>
        <s v="DR-TW-2B24-241-03-00"/>
        <s v="DR-TW-2B25-266-00-00"/>
        <s v="DR-TW-2B27-458-00-00"/>
        <s v="DR-TW-2B29-128-01-00"/>
        <s v="DR-TW-2B26-066-04-00"/>
        <s v="DR-TW-2B26-292-00-00"/>
        <s v="DR-TW-2B26-293-00-00"/>
        <s v="DR-TW-2B26-294-00-01"/>
        <s v="DR-TW-2B26-279-02-00"/>
        <s v="DR-TW-2B26-282-00-00"/>
        <s v="DR-TW-2B26-283-00-00"/>
        <s v="DR-TW-2B25-267-00-00"/>
        <s v="DR-TW-2B26-323-01-00"/>
        <s v="DR-TW-2B26-340-01-00"/>
        <s v="DR-TW-2B25-400-00-00"/>
        <s v="DR-TW-2B25-401-00-00"/>
        <s v="DR-TW-2B25-268-00-00"/>
        <s v="DR-TW-2B24-300-01-00"/>
        <s v="DR-TW-2B53-400-02-00"/>
        <s v="DR-TW-2B26-102-00-00"/>
        <s v="DR-TW-2B26-282-00-01"/>
        <s v="DR-TW-2B26-283-00-01"/>
        <s v="DR-TW-2B27-213-00-00"/>
        <s v="DR-TW-2B30-032-00-00"/>
        <s v="DR-TW-2B48-730-00-00"/>
        <s v="DR-TW-2B48-731-00-00"/>
        <s v="DR-TW-2B25-196-00-R-00"/>
        <s v="DR-TW-2B25-197-00-R-00"/>
        <s v="DR-TW-2B25-303-00-R"/>
        <s v="DR-TW-2B51-215-01-02"/>
        <s v="DR-TW-2B24E100-00-00"/>
        <s v="DR-TW-2B48-106-03-00"/>
        <s v="DR-TW-2B24-242-00-00"/>
        <s v="DR-TW-2B24-243-00-00"/>
        <s v="DR-TW-2B24-300-01-01"/>
        <s v="DR-TW-2B25-199-00-00"/>
        <s v="DR-TW-2B27-458-01-00"/>
        <s v="DR-TW-2B27-459-00-00"/>
        <s v="DR-TW-2B29-160-00-00"/>
        <s v="DR-TW-2B55-205-00-00"/>
        <s v="DR-TW-2B69M080-00-00"/>
        <s v="DR-TW-2B69M087-00-00"/>
        <s v="DR-TW-2B26-282-00-02"/>
        <s v="DR-TW-2B37-037-00-00"/>
        <s v="DR-TW-2B69M086-00-00"/>
        <s v="DR-TW-2B69M089-00-00"/>
        <s v="DR-TW-2B25-262-02-00"/>
        <s v="DR-TW-2B55-205-00-01"/>
        <s v="DR-TW-2B28A117-00-14"/>
        <s v="DR-TW-2B27-123-00-00"/>
        <s v="DR-TW-2B26-043-08-01"/>
        <s v="DR-TW-2B26-110-0F-01"/>
        <s v="DR-TW-2B26-118-04-01"/>
        <s v="DR-TW-2B26-142-05-02"/>
        <s v="DR-TW-2B26-370-00-00"/>
        <s v="DR-TW-2B26-371-00-00"/>
        <s v="DR-TW-2B27-453-03-00"/>
        <s v="DR-TW-2B25-420-00-00"/>
        <s v="DR-TW-2B25-290-00-01"/>
        <s v="DR-TW-2B69M111-00-00"/>
        <s v="DR-TW-2B28-115-00-07"/>
        <s v="DR-TW-2B91-097-00-00"/>
        <s v="DR-TW-2B91-247-00-00"/>
        <s v="DR-TW-2B25-305-00-00"/>
        <s v="DR-TW-2B25-305-00-01"/>
        <s v="DR-TW-2B91-097-00-01"/>
        <s v="DR-TW-2B26-111-01-00"/>
        <s v="DR-TW-2B25-400-01-00"/>
        <s v="DR-TW-2B25-401-01-00"/>
        <s v="DR-TW-2B26-400-00-00"/>
        <s v="DR-TW-2B26-203-01-00"/>
        <s v="DR-TW-2B91-147A01-01"/>
        <s v="DR-TW-2B26-276-01-00"/>
        <s v="DR-TW-2B91-248-00-00"/>
        <s v="DR-TW-2B91-249-00-00"/>
        <s v="DR-TW-2B29-273-00-00"/>
        <s v="DR-TW-2B28I085-00-05"/>
        <s v="DR-TW-2B25-199-01-00"/>
        <s v="DR-TW-2B91-450-00-00"/>
        <s v="DR-TW-2B91-451-00-00"/>
        <s v="DR-TW-2B91-452-00-00"/>
        <s v="DR-TW-2B91-453-00-00"/>
        <s v="DR-TW-2B91-454-00-00"/>
        <s v="DR-TW-2B91-455-00-00"/>
        <s v="DR-TW-2B91-456-00-0"/>
        <s v="DR-TW-2B91-457-00-00"/>
        <s v="DR-TW-2B27-180-00-01"/>
        <s v="DR-TW-2B24-300-02-00"/>
        <s v="DR-TW-2B53-400-03-00"/>
        <s v="DR-TW-2B91-450-00-01"/>
        <s v="DR-TW-2B91-451-00-01"/>
        <s v="DR-TW-2B91-452-00-01"/>
        <s v="DR-TW-2B91-455-00-01"/>
        <s v="DR-TW-2B26-203-01-01"/>
        <s v="DR-TW-2B29-370-00-01"/>
        <s v="DR-TW-2B94-071-02-00"/>
        <s v="DR-TW-2B27-109-01-01"/>
        <s v="DR-TW-2B27-110-03-00"/>
        <s v="DR-TW-2B91-457-00-01"/>
        <s v="DR-TW-2B91-456-00-01"/>
        <s v="DR-TW-2B91-455-00-02"/>
        <s v="DR-TW-2B91-454-00-01"/>
        <s v="DR-TW-2B91-453-00-01"/>
        <s v="DR-TW-2B91-452-00-02"/>
        <s v="DR-TW-2B91-451-00-02"/>
        <s v="DR-TW-2B91-450-00-02"/>
        <s v="DR-TW-2B26-278-03-00"/>
        <s v="DR-TW-2B48-207-01-03"/>
        <s v="DR-TW-2B91-017-02-07"/>
        <s v="DR-TW-2B25-238-01-00"/>
        <s v="DR-TW-2B53-400-03-01"/>
        <s v="DR-TW-2B24-300-02-01"/>
        <s v="DR-TW-2B91-240-00-00"/>
        <s v="DR-TW-2B26-233-00-00"/>
        <s v="DR-TW-2B69M135-00-00"/>
        <s v="DR-TW-2B69M134-00-00"/>
        <s v="DR-TW-2B25-018-00-00"/>
        <s v="DR-TW-2B69A010-00-00"/>
        <s v="DR-TW-2B91-450-01-00"/>
        <s v="DR-TW-2B91-453-01-00"/>
        <s v="DR-TW-2B91-454-01-00"/>
        <s v="DR-TW-2B91-455-01-00"/>
        <s v="DR-TW-2B91-456-01-00"/>
        <s v="DR-TW-2B91-457-01-00"/>
        <s v="DR-TW-2B91-098-00-00"/>
        <s v="DR-TW-2B26-030-00-00"/>
        <s v="DR-TW-2B28I085-00-06"/>
        <s v="DR-TW-2B69M136-00-00"/>
        <s v="DR-TW-2B25-137-00-00"/>
        <s v="DR-TW-2B04-462-00-00"/>
        <s v="DR-TW-2B28A117-00-15"/>
        <s v="DR-TW-2B26-370-00-01"/>
        <s v="DR-TW-2B26-371-00-01"/>
        <s v="DR-TW-2B69M140-00-00"/>
        <s v="DR-TW-2B27-123-01-00"/>
        <s v="DR-TW-2B48-034-03-00"/>
        <s v="DR-TW-2B26-117-00-00"/>
        <s v="DR-TW-2B69M146-01-00"/>
        <s v="DR-TW-2B69M148-00-00"/>
        <s v="DR-TW-2B69M152-00-00"/>
        <s v="DR-TW-2B69M150-00-00"/>
        <s v="DR-TW-2B69M151-00-00"/>
        <s v="DR-TW-2B29-402-01-01"/>
        <s v="DR-TW-2B48-051-01-02"/>
        <s v="DR-TW-2B29-401-01-00"/>
        <s v="DR-TW-2B26-276-02-01"/>
        <s v="DR-TW-2B26-253-01-01"/>
        <s v="DR-TW-2B26-252-01-01"/>
        <s v="DR-TW-2B25-052-03-01"/>
        <s v="DR-TW-2B26-252-01-02"/>
        <s v="DR-TW-2B26-276-02-02"/>
        <s v="DR-TW-2B26-284-00-00"/>
        <s v="DR-TW-2B26-285-00-00"/>
        <s v="DR-TW-2B69M155-00-00"/>
        <s v="DR-TW-2B69M156-00-00"/>
        <s v="DR-TW-2B19B115-00-00"/>
        <s v="DR-TW-2B69M170-00-00"/>
        <s v="DR-TW-2B28-115-00-08"/>
        <s v="DR-TW-2B19B115-00-01"/>
        <s v="DR-TW-2B26-284-01-00"/>
        <s v="DR-TW-2B26-285-01-00"/>
        <s v="DR-TW-2B69M169-00-00"/>
        <s v="DR-TW-2B69M166-00-00"/>
        <s v="DR-TW-2B69M165-00-00"/>
        <s v="DR-TW-2B69M154-00-00"/>
        <s v="DR-TW-2B25-120-01-01"/>
        <s v="DR-TW-2B27-117-03-00"/>
        <s v="DR-TW-2B55-205-00-02"/>
        <s v="DR-TW-2B91-450-01-01"/>
        <s v="DR-TW-2B91-451-01-00"/>
        <s v="DR-TW-2B91-452-01-00"/>
        <s v="DR-TW-2B91-454-01-01"/>
        <s v="DR-TW-2B91-455-01-01"/>
        <s v="DR-TW-2B91-456-01-01"/>
        <s v="DR-TW-2B91-457-01-01"/>
        <s v="DR-TW-2B69M171-00-00"/>
        <s v="DR-TW-2B69M172-00-00"/>
        <s v="DR-TW-2B69M166-00-01"/>
        <s v="DR-TW-2B69M165-00-01"/>
        <s v="DR-TW-2B26-051-05-01"/>
        <s v="DR-TW-2B26-055-03-01"/>
        <s v="DR-TW-2B26-126-0J-02"/>
        <s v="DR-TW-2B26-132-01-01"/>
        <s v="DR-TW-2B53-400-04-00"/>
        <s v="DR-TW-2B26-286-00-00"/>
        <s v="DR-TW-2B26-284-02-00"/>
        <s v="DR-TW-2B28A117-00-16"/>
        <s v="DR-TW-2B26-451-00-00"/>
        <s v="DR-TW-2B04B500-00-00"/>
        <s v="DR-TW-2B24-065-00-00"/>
        <s v="DR-TW-2B69M181-00-00"/>
        <s v="DR-TW-2B26-090-01-00"/>
        <s v="DR-TW-2B91-210-00-00"/>
        <s v="DR-TW-2B26-131-00-00"/>
        <s v="DR-TW-2B69A009-00-00"/>
        <s v="DR-TW-2B29-433-01-00"/>
        <s v="DR-TW-2B52-283A00-00"/>
        <s v="DR-TW-2B69M192-00-00"/>
        <s v="DR-TW-2B69M193-00-00"/>
        <s v="DR-TW-2B19B115-00-02"/>
        <s v="DR-TW-2B25-066-02-01"/>
        <s v="DR-TW-2B26-131-00-01"/>
        <s v="DR-TW-2B69M196-00-00"/>
        <s v="DR-TW-2B69M200-00-00"/>
        <s v="DR-TW-2B69M199-00-00"/>
        <s v="DR-TW-2B29-421-01-00"/>
        <s v="DR-TW-2B26-125-00-00"/>
        <s v="DR-TW-2B19B115-00-03"/>
        <s v="DR-TW-2B19E100-00-02"/>
        <s v="DR-TW-2B26-125-00-01"/>
        <s v="DR-TW-2B04-463-00-00"/>
        <s v="DR-TW-2B69M204-00-00"/>
        <s v="DR-TW-2B69M205-00-00"/>
        <s v="DR-TW-2B69M206-00-00"/>
        <s v="DR-TW-2B69M207-00-00"/>
        <s v="DR-TW-2B19E100-00-03"/>
        <s v="DR-TW-2B69M225-00-00"/>
        <s v="DR-TW-2B69M226-00-00"/>
        <s v="DR-TW-2B69M228-00-00"/>
        <s v="DR-TW-2B69M219-00-00"/>
        <s v="DR-TW-2B69M220-00-00"/>
        <s v="DR-TW-2B69M221-00-00"/>
        <s v="DR-TW-2B69M222-00-00"/>
        <s v="DR-TW-2B24-260-00-00"/>
        <s v="DR-TW-2B25-120-02-01"/>
        <s v="DR-TW-2B30-070-00-00"/>
        <s v="DR-TW-2B25-247-02-00"/>
        <s v="DR-TW-2B26-116-06-00"/>
        <s v="DR-TW-2B26-123-07-00"/>
        <s v="DR-TW-2B27-414-00-00"/>
        <s v="DR-TW-2B94-074-01-00"/>
        <s v="DR-TW-2B69N236-00-00"/>
        <s v="DR-TW-2B26-500-00-00"/>
        <s v="DR-TW-2B25-502-00-00"/>
        <s v="DR-TW-2B69M238-00-00"/>
        <s v="DR-TW-2B69M240-00-00"/>
        <s v="DR-TW-2B69M237-00-00"/>
        <s v="DR-TW-2B69M241-00-00"/>
        <s v="DR-TW-2B69M242-00-00"/>
        <s v="DR-TW-2B69M250-00-00"/>
        <s v="DR-TW-2B26-081-01-02"/>
        <s v="DR-TW-2B26-082-01-02"/>
        <s v="DR-TW-2B25-273-00-00"/>
        <s v="DR-TW-2B69M221-01-00"/>
        <s v="DR-TW-2B69A014-00-00"/>
        <s v="DR-TW-2B69A015-00-00"/>
        <s v="DR-TW-2B24B090-00-03"/>
        <s v="DR-TW-2B24C110-00-01"/>
        <s v="DR-TW-2B26-132-02-01"/>
        <s v="DR-TW-2B26-207-03-01"/>
        <s v="DR-TW-2B26-211-03-02"/>
        <s v="DR-TW-2B27-128-01-00"/>
        <s v="DR-TW-2B29-431-01-00"/>
        <s v="DR-TW-2B94-030-01-00"/>
        <s v="DR-TW-2B94-055-01-00"/>
        <s v="DR-TW-2B94-092-02-01"/>
        <s v="DR-TW-2B19-110-06-00"/>
        <s v="DR-TW-2B19C140-02-00"/>
        <s v="DR-TW-2B69A017-00-00"/>
        <s v="DR-TW-2B27-211-00-00"/>
        <s v="DR-TW-2B26-190-00-00"/>
        <s v="DR-TW-2B26-295-00-00"/>
        <s v="DR-TW-2B27-082-00-00"/>
        <s v="DR-TW-2B26-084-00-00"/>
        <s v="DR-TW-2B25-287-00-00"/>
        <s v="DR-TW-2B27-101-00-00"/>
        <s v="DR-TW-2B94-051-00-00"/>
        <s v="ATP-PCX-RH02-00-00"/>
        <s v="DR-TW-2B26-249-03-00"/>
        <s v="DR-TW-2B26-116-06-01"/>
        <s v="DR-TW-2B04-464-00-00"/>
        <s v="DR-TW-2B69M255-00-00"/>
        <s v="ATP-PCX-FH02-00-00"/>
        <s v="DR-TW-2B26-068-04-00"/>
        <s v="DR-TW-2B69M257-00-00"/>
        <s v="DR-TW-2B69M256-00-00"/>
        <s v="DR-TW-2B04-465-00-00"/>
        <s v="DR-TW-2B91-044-02-00"/>
        <s v="DR-TW-2B19D140-03-00"/>
        <s v="DR-TW-2B69M219-01-00"/>
        <s v="DR-TW-2B25-161-00-00"/>
        <s v="DR-TW-2B69M056-00-00"/>
        <s v="DR-TW-2B69M036-00-00"/>
        <s v="DR-TW-2B69M057-00-00"/>
        <s v="DR-TW-2B69M058-00-00"/>
        <s v="DR-TW-2B25-193-00-00"/>
        <s v="DR-TW-2B25-274-00-00"/>
        <s v="DR-TW-2B69M268-00-00"/>
        <s v="DR-TW-2B69M269-00-00"/>
        <s v="DR-TW-2B69M272-00-00"/>
        <s v="DR-TW-2B69M274-00-00"/>
        <s v="DR-TW-2B26-360-00-00"/>
        <s v="DR-TW-2B25-069-00-00"/>
        <s v="DR-TW-2B25-283-00-00"/>
        <s v="DR-TW-2B25-525-00-00"/>
        <s v="DR-TW-2B25-526-00-00"/>
        <s v="DR-TW-2B26-370-01-00"/>
        <s v="DR-TW-2B25-284-01-00"/>
        <s v="DR-TW-2B26-340-02-00"/>
        <s v="DR-TW-2B26-371-01-00"/>
        <s v="DR-TW-2B69M090-00-00"/>
        <s v="DR-TW-2B69M100-00-00"/>
        <s v="DR-TW-2B55-205-00-03"/>
        <s v="DR-TW-2B29-230-00-01"/>
        <s v="DR-TW-2B69M298-00-00"/>
        <s v="DR-TW-2B26-124-04-00"/>
        <s v="DR-TW-2B26-248-04-00"/>
        <s v="DR-TW-2B69M304-00-00"/>
        <s v="DR-TW-2B69M305-00-00"/>
        <s v="DR-TW-2B69M306-00-00"/>
        <s v="DR-TW-2B26-030-01-00"/>
        <s v="DR-TW-2B26-050-06-00"/>
        <s v="DR-TW-2B26-061-05-00"/>
        <s v="DR-TW-2B26-062-05-00"/>
        <s v="DR-TW-2B26-063-05-00"/>
        <s v="DR-TW-2B26-066-05-00"/>
        <s v="DR-TW-2B26-067-05-00"/>
        <s v="DR-TW-2B26-068-05-00"/>
        <s v="DR-TW-2B26-069-04-00"/>
        <s v="DR-TW-2B26-083-03-00"/>
        <s v="DR-TW-2B26-131-01-00"/>
        <s v="DR-TW-2B26-132-03-00"/>
        <s v="DR-TW-2B26-201-04-00"/>
        <s v="DR-TW-2B26-202-03-00"/>
        <s v="DR-TW-2B26-203-02-00"/>
        <s v="DR-TW-2B26-218-04-00"/>
        <s v="DR-TW-2B26-227-03-00"/>
        <s v="DR-TW-2B26-248-05-00"/>
        <s v="DR-TW-2B69M056-01-00"/>
        <s v="DR-TW-2B69M308-00-00"/>
        <s v="DR-TW-2B25-266-01-00"/>
        <s v="DR-TW-2B26-110-0G-00"/>
        <s v="DR-TW-2B26-470-00-00"/>
        <s v="DR-TW-2B26-471-00-00"/>
        <s v="DR-TW-2B25-550-00-00"/>
        <s v="DR-TW-2B26-249-04-00"/>
        <s v="DR-TW-2B25-012-06-00"/>
        <s v="DR-TW-2B25-066-03-00"/>
        <s v="DR-TW-2B51-215-01-03"/>
        <s v="DR-TW-2B25-260-03-00"/>
        <s v="DR-TW-2B25-262-03-00"/>
        <s v="DR-TW-2B25-263-02-00"/>
        <s v="DR-TW-2B25-264-01-00"/>
        <s v="DR-TW-2B25-265-01-00"/>
        <s v="DR-TW-2B25-268-01-00"/>
        <s v="DR-TW-2B25-282-02-00"/>
        <s v="DR-TW-2B91-247-01-00"/>
        <s v="DR-TW-2B91-248-01-00"/>
        <s v="DR-TW-2B69M318-00-00"/>
        <s v="DR-TW-2B69M319-00-00"/>
        <s v="DR-TW-2B69M320-00-00"/>
        <s v="DR-TW-2B25-267-01-00"/>
        <s v="DR-TW-2B48-430-00-00"/>
        <s v="DR-TW-2B48-431-00-00"/>
        <s v="DR-TW-2B48-308-00-00"/>
        <s v="DR-TW-2B48-307-00-00"/>
        <s v="DR-TW-2B48-432-00-00"/>
        <s v="DR-TW-2B48-433-00-00"/>
        <s v="DR-TW-2B69M330-00-00"/>
        <s v="DR-TW-2B69M328-00-00"/>
        <s v="DR-TW-2B69M322-00-00"/>
        <s v="DR-TW-2B69M321-00-00"/>
        <s v="DR-TW-2B69M330-01-00"/>
        <s v="DR-TW-2B26-295-00-01"/>
        <s v="DR-TW-2B26-042-00-00"/>
        <s v="DR-TW-2B26-041-00-00"/>
        <s v="DR-TW-2B26-191-00-00"/>
        <s v="DR-TW-2B26-191-00-01"/>
        <s v="DR-TW-2B26-400-01-00"/>
        <s v="DR-TW-2B26-295-01-00"/>
        <s v="DR-TW-2B69A020-01-00"/>
        <s v="DR-TW-2B69M350-00-00"/>
        <s v="DR-TW-2B69MXXX-00-00"/>
        <s v="DR-TW-2B27-120-02-00"/>
        <s v="DR-TW-2B27-063-00-00"/>
        <s v="DR-TW-2B27-111-02-00"/>
        <s v="DR-TW-2B27-112-02-00"/>
        <s v="DR-TW-2B27-102-01-00"/>
        <s v="DR-TW-2B26-401-00-00"/>
        <s v="DR-TW-2B91-220-00-00"/>
        <s v="DR-TW-2B26-430-00-00"/>
        <s v="DR-TW-2B26-431-00-00"/>
        <s v="DR-TW-2B26-490-00-00"/>
        <s v="DR-TW-2B26-491-00-00"/>
        <s v="DR-TW-2B25-019-06-00"/>
        <s v="DR-TW-2B91-301-00-R-00"/>
        <s v="DR-TW-2B69M365-00-00"/>
        <s v="DR-TW-2B69M330-01-01"/>
        <s v="DR-TW-2B69M328-00-01"/>
        <s v="DR-TW-2B26-150-09-00"/>
        <s v="DR-TW-2B22-090-00-01"/>
        <s v="DR-TW-2B19F090-00-00"/>
        <s v="DR-TW-2B26-085-00-00"/>
        <s v="DR-TW-2B27-157-00-00"/>
        <s v="DR-TW-2B94-054-00-00"/>
        <s v="DR-TW-2B27-085-00-00"/>
        <s v="DR-TW-2B27-086-00-00"/>
        <s v="DR-TW-2B29-232-00-00"/>
        <s v="DR-TW-2B69M328-01-00"/>
        <s v="DR-TW-2B26-162-02-00"/>
        <s v="DR-TW-2B27-084-00-00"/>
        <s v="DR-TW-2B26-430-01-00"/>
        <s v="DR-TW-2B26-431-01-00"/>
        <s v="DR-TW-2B26-490-01-00"/>
        <s v="DR-TW-2B26-491-01-00"/>
        <s v="DR-TW-2B25-133-00-00"/>
        <s v="DR-TW-2B26-520-00-00"/>
        <s v="DR-TW-2B26-521-00-00"/>
        <s v="DR-TW-2B26-522-00-00"/>
        <s v="DR-TW-2B26-523-00-00"/>
        <s v="DR-TW-2B26-581-00-00"/>
        <s v="DR-TW-2B26-600-00-00"/>
        <s v="DR-TW-2B26-601-00-00"/>
        <s v="DR-TW-2B26-602-00-00"/>
        <s v="DR-TW-2B26-603-00-00"/>
        <s v="DR-TW-2B27-158-00-00"/>
        <s v="DR-TW-2B27-159-00-00"/>
        <s v="DR-TW-2B94-057-00-00"/>
        <s v="DR-TW-2B94-072-00-00"/>
        <s v="DR-TW-2B26-273-01-00"/>
        <s v="DR-TW-2B26-430-03-00"/>
        <s v="DR-TW-2B26-431-03-00"/>
        <s v="DR-TW-2B26-490-02-00"/>
        <s v="DR-TW-2B04-540-00-00"/>
        <s v="DR-TW-2B26-491-02-00"/>
        <s v="DR-TW-2B04-450-00-00"/>
        <s v="DR-TW-2B19F090-00-01"/>
        <s v="DR-TW-2B24-301-00-00"/>
        <s v="DR-TW-2B26-086-00-00"/>
        <s v="DR-TW-2B26-087-00-00"/>
        <s v="DR-TW-2B26-297-00-00"/>
        <s v="DR-TW-2B26-581-00-01"/>
        <s v="DR-TW-2B26-041-01-00"/>
        <s v="DR-TW-2B26-042-01-00"/>
        <s v="DR-TW-2B26-581-00-02"/>
        <s v="DR-TW-2B26-582-00-00"/>
        <s v="DR-TW-2B29-402-02-00"/>
        <s v="DR-TW-2B26-193-00-00"/>
        <s v="DR-TW-2B26-085-00-01"/>
        <s v="DR-TW-2B26-420-00-00"/>
        <s v="DR-TW-2B29-401-02-00"/>
        <s v="DR-TW-2B29-417-00-00"/>
        <s v="DR-TW-2B26-550-00-00"/>
        <s v="DR-TW-2B29-424-01-R-00"/>
        <s v="DR-TW-2B26-421-00-00"/>
        <s v="DR-TW-2B27-154-00-01"/>
        <s v="DR-TW-2B04-425-00-00"/>
        <s v="DR-TW-2B24-080A00-01"/>
        <s v="DR-TW-2B48-430-00-01"/>
        <s v="DR-TW-2B48-431-00-01"/>
        <s v="DR-TW-2B48-432-00-01"/>
        <s v="DR-TW-2B48-433-00-01"/>
        <s v="DR-TW-2B69A023-00-00"/>
        <s v="DR-TW-2B26-452-00-00"/>
        <s v="DR-TW-2B55-205-00-05"/>
        <s v="DR-TW-2B04-425-01-00"/>
        <s v="DR-TW-2B04-450-01-00"/>
        <s v="DR-TW-2B69M454-00-00"/>
        <s v="DR-TW-2B69M434-01-00"/>
        <s v="DR-TW-2B69M431-01-00"/>
        <s v="DR-TW-2B69M446-00-00"/>
        <s v="DR-TW-2B69M455-00-00"/>
        <s v="DR-TW-2B69M456-00-00"/>
        <s v="DR-TW-2B69M447-00-01"/>
        <s v="DR-TW-2B69M451-00-00"/>
        <s v="DR-TW-2B69M452-00-00"/>
        <s v="DR-TW-2B69M450-00-00"/>
        <s v="DR-TW-2B69M322-01-00"/>
        <s v="DR-TW-2B69M363-00-00"/>
        <s v="DR-TW-2B69M463-00-00"/>
        <s v="DR-TW-2B69M330-01-02"/>
        <s v="DR-TW-2B69M328-01-01"/>
        <s v="DR-TW-2B69M330-01-03"/>
        <s v="DR-TW-2B19F090-00-02"/>
        <s v="DR-TW-2B24E100-00-01"/>
        <s v="DR-TW-2B52-253-04-01"/>
        <s v="DR-TW-2B69M471-00-00"/>
        <s v="DR-TW-2B69N468-00-00"/>
        <s v="DR-TW-2B69M321-02-00"/>
        <s v="DR-TW-2B69M322-02-00"/>
        <s v="DR-TW-2B69M328-03-00"/>
        <s v="DR-TW-2B69M481-01-00"/>
        <s v="DR-TW-2B69M330-02-00"/>
        <s v="DR-TW-2B69M365-01-00"/>
        <s v="DR-TW-2B69M456-01-00"/>
        <s v="DR-TW-2B69M328-03-01"/>
        <s v="DR-TW-2B69M384-00-01"/>
        <s v="DR-TW-2B91-300-00-00"/>
        <s v="DR-TW-2B51-215-02-00"/>
        <s v="DR-TW-2B19G135-00-00"/>
        <s v="DR-TW-2B26-145-00-00"/>
        <s v="DR-TW-2B25-331-00-00"/>
        <s v="DR-TW-2B40-030-00-00"/>
        <s v="DR-TW-2B25-332-00-00"/>
        <s v="DR-TW-2B26-144-00-00"/>
        <s v="DR-TW-2B69A032-00-00"/>
        <s v="DR-TW-2B69A030-00-00"/>
        <s v="DR-TW-2B69M512-00-00"/>
        <s v="DR-TW-2B69M513-00-00"/>
        <s v="DR-TW-2B26-143-00-00"/>
        <s v="DR-TW-2B26-143-00-01"/>
        <s v="DR-TW-2B26-144-00-01"/>
        <s v="DR-TW-2B69M514-00-00"/>
        <s v="DR-TW-2B26-520-01-00"/>
        <s v="DR-TW-2B51-215-02-01"/>
        <s v="DR-TW-2B94-091-00-00"/>
        <s v="DR-TW-2B25-332-00-01"/>
        <s v="DR-TW-2B29-421-02-00"/>
        <s v="DR-TW-2B19F090-00-03"/>
        <s v="DR-TW-2B04-450-02-00"/>
        <s v="DR-TW-2B24-230-02-00"/>
        <s v="DR-TW-2B26-272-07-00"/>
        <s v="DR-TW-2B30-021-05-00"/>
        <s v="DR-TW-2B29-433-02-00"/>
        <s v="DR-TW-2B26-146-00-00"/>
        <s v="DR-TW-2B27-301-00-02"/>
        <s v="DR-TW-2B26-218-05-00"/>
        <s v="DR-TW-2B26-231-05-00"/>
        <s v="DR-TW-2B26-244-04-00"/>
        <s v="DR-TW-2B26-280-05-00"/>
        <s v="DR-TW-2B69A037-00-00"/>
        <s v="DR-TW-2B69A038-00-00"/>
        <s v="DR-TW-2B26-193-01-00"/>
        <s v="DR-TW-2B69A044-00-00"/>
        <s v="DR-TW-2B69A045-00-00"/>
        <s v="DR-TW-2B69A049-00-00"/>
        <s v="DR-TW-2B04-462-01-00"/>
        <s v="DR-TW-2B26-064-04-00"/>
        <s v="DR-TW-2B26-081-02-00"/>
        <s v="DR-TW-2B26-451-01-00"/>
        <s v="DR-TW-2B26-500-01-00"/>
        <s v="DR-TW-2B26-521-01-00"/>
        <s v="DR-TW-2B26-581-01-00"/>
        <s v="DR-TW-2B91-195-00-00"/>
        <s v="DR-TW-2B04-450-02-01"/>
        <s v="DR-TW-2B04-425-02-01"/>
        <s v="DR-TW-2B25-334-00-00"/>
        <s v="DR-TW-2B26-043-09-00"/>
        <s v="DR-TW-2B26-085-01-00"/>
        <s v="DR-TW-2B26-147-00-00"/>
        <s v="DR-TW-2B26-215-08-00"/>
        <s v="DR-TW-2B26-219-04-00"/>
        <s v="DR-TW-2B26-233-01-00"/>
        <s v="DR-TW-2B26-235-04-00"/>
        <s v="DR-TW-2B26-282-01-00"/>
        <s v="DR-TW-2B26-292-01-00"/>
        <s v="DR-TW-2B26-294-01-00"/>
        <s v="DR-TW-2B29-431-02-00"/>
        <s v="DR-TW-2B19G135-00-01"/>
        <s v="DR-TW-2B40-030-00-01"/>
        <s v="DR-TW-2B26-295-02-00"/>
        <s v="DR-TW-2B26-082-02-00"/>
        <s v="DR-TW-2B30-029-02-00"/>
        <s v="DR-TW-2B24F135-00-01"/>
        <s v="DR-TW-2B27-070-00-00"/>
        <s v="DR-TW-2B27-071-00-00"/>
        <s v="DR-TW-2B29-461-00-00"/>
        <s v="DR-TW-2B29-462-00-00"/>
        <s v="DR-TW-2B26-480-00-00"/>
        <s v="DR-TW-2B29-460-00-00"/>
        <s v="DR-TW-2B26-148-00-00"/>
        <s v="DR-TW-2B26-228-02-00"/>
        <s v="DR-TW-2B26-229-03-00"/>
        <s v="DR-TW-2B26-258-00-00"/>
        <s v="DR-TW-2B26-263-00-00"/>
        <s v="DR-TW-2B26-264-00-00"/>
        <s v="DR-TW-2B26-351-00-00"/>
        <s v="DR-TW-2B26-430-04-00"/>
        <s v="DR-TW-2B26-431-04-00"/>
        <s v="DR-TW-2B26-490-03-00"/>
        <s v="DR-TW-2B26-491-03-00"/>
        <s v="DR-TW-2B69M472-00-00"/>
        <s v="DR-TW-2B25-096-01-02"/>
        <s v="DR-TW-2B25-150-03-00"/>
        <s v="DR-TW-2B25-155-03-01"/>
        <s v="DR-TW-2B25-237-00-00"/>
        <s v="DR-TW-2B25-063-03-04"/>
        <s v="DR-TW-2B25-229-04-00"/>
        <s v="DR-TW-2B69M536-00-00"/>
        <s v="DR-TW-2B25-135-02-00"/>
        <s v="DR-TW-2B25-010-0C-00"/>
        <s v="DR-TW-2B91-108-02-00"/>
        <s v="DR-TW-2B26-285-02-00"/>
        <s v="DR-TW-2B26-234-05-00"/>
        <s v="DR-TW-2B26-207-04-00"/>
        <s v="DR-TW-2B29-401-03-00"/>
        <s v="DR-TW-2B29-429-01-00"/>
        <s v="DR-TW-2B29-428-04-00"/>
        <s v="DR-TW-2B29-402-03-00"/>
        <s v="DR-TW-2B29-417-00-01"/>
        <s v="DR-TW-2B27-071-00-01"/>
        <s v="DR-TW-2B26-123-08-00"/>
        <s v="DR-TW-2B24F135-00-02"/>
        <s v="DR-TW-2B29-435-00-01"/>
        <s v="DR-TW-2B69M494-00-00"/>
        <s v="DR-TW-2B69M493-00-00"/>
        <s v="DR-TW-2B26-142-06-00"/>
        <s v="DR-TW-2B69M554-00-00"/>
        <s v="DR-TW-2B69M547-00-00"/>
        <s v="DR-TW-2B91-216-01-00"/>
        <s v="DR-TW-2B19E100-00-00"/>
        <s v="DR-TW-2B24-060-02-R-00"/>
        <s v="DR-TW-2B24-251-01-00"/>
        <s v="DR-TW-2B24B090-01-00"/>
        <s v="DR-TW-2B24C110-01-00"/>
        <s v="DR-TW-2B24D085-01-00"/>
        <s v="DR-TW-2B26-119-00-00"/>
        <s v="DR-TW-2B69M557-00-00"/>
        <s v="DR-TW-2B25-108-02-00"/>
        <s v="DR-TW-2B25-228-02-00"/>
        <s v="DR-TW-2B26-006-06-00"/>
        <s v="DR-TW-2B91-231-00-00"/>
        <s v="DR-TW-2B29-435-00-02"/>
        <s v="DR-TW-2B69M417-00-01"/>
        <s v="DR-TW-2B04-450-03-00"/>
        <s v="DR-TW-2B04A120-01-R-01"/>
        <s v="DR-TW-2B25-026-03-00"/>
        <s v="DR-TW-2B26-001-07-00"/>
        <s v="DR-TW-2B36-003-00-00"/>
        <s v="DR-TW-2B91-017A03-00"/>
        <s v="DR-TW-2B91-021A03-00"/>
        <s v="DR-TW-2B69M548-00-00"/>
        <s v="DR-TW-2B91-147A02-00"/>
        <s v="DR-TW-2B26-286-01-00"/>
        <s v="DR-TW-2B25-221-00-00"/>
        <s v="DR-TW-2B91-003-03-00"/>
        <s v="DR-TW-2B91-033A02-00"/>
        <s v="DR-TW-2B91-217-02-00"/>
        <s v="DR-TW-2B91-241-02-01"/>
        <s v="D R-TW-2B94-031-00-00"/>
        <s v="DR-TW-2B27-216-00-00"/>
        <s v="DR-TW-2B91-033-03-00"/>
        <s v="DR-TW-2B25-011-08-00"/>
        <s v="DR-TW-2B25-041-07-01"/>
        <s v="DR-TW-2B25-055-03-00"/>
        <s v="DR-TW-2B26-130-05-00"/>
        <s v="DR-TW-2B26-211-04-00"/>
        <s v="DR-TW-2B04-425-03-01"/>
        <s v="DR-TW-2B04-450-03-01"/>
        <s v="DR-TW-2B27-340-00-00"/>
        <s v="DR-TW-2B29-435-01-00"/>
        <s v="DR-TW-2B94-021-00-00"/>
        <s v="DR-TW-2B91-052-03-00"/>
        <s v="DR-TW-2B91-205-02-00"/>
        <s v="DR-TW-2B69A026-01-00"/>
        <s v="DR-TW-2B69A043-00-00"/>
        <s v="DR-TW-2B25-239-01-00"/>
        <s v="DR-TW-2B25-107-01-01"/>
        <s v="DR-TW-2B91-206-01-00"/>
        <s v="DR-TW-2B91-207-01-00"/>
        <s v="DR-TW-2B69A057-00-00"/>
        <s v="DR-TW-2B69A056-00-00"/>
        <s v="DR-TW-2B69M583-00-00"/>
        <s v="DR-TW-2B69M587-00-00"/>
        <s v="DR-TW-2B69A060-00-00"/>
        <s v="DR-TW-2B69A059-00-00"/>
        <s v="DR-TW-2B26-250-06-00"/>
        <s v="DR-TW-2B69M579-00-00"/>
        <s v="DR-TW-2B69A039-01-01"/>
        <s v="DR-TW-2B69A053-00-01"/>
        <s v="DR-TW-2B26-270-02-00"/>
        <s v="DR-TW-2B25-208-02-01"/>
        <s v="DR-TW-2B04-540-01-00"/>
        <s v="DR-TW-2B04B500-01-00"/>
        <s v="DR-TW-2B25-062-03-00"/>
        <s v="DR-TW-2B29-432-02-00"/>
        <s v="DR-TW-2B24-229-05-00"/>
        <s v="DR-TW-2B69M554-01-00"/>
        <s v="DR-TW-2B91-215-01-00"/>
        <s v="DR-TW-2B25-036-00-00"/>
        <s v="DR-TW-2B69A067-00-00"/>
        <s v="DR-TW-2B69M601-00-00"/>
        <s v="DR-TW-2B69M518-00-00"/>
        <s v="DR-TW-2B25-106-01-00"/>
        <s v="DR-TW-2B91-179-00-00"/>
        <s v="DR-TW-2B26-523-01-00"/>
        <s v="DR-TW-2B26-522-01-00"/>
        <s v="DR-TW-2B26-252-02-00"/>
        <s v="DR-TW-2B91-178-00-00"/>
        <s v="DR-TW-2B25-390-00-00"/>
        <s v="DR-TW-2B04B500-01-01"/>
        <s v="DR-TW-2B19H125-00-01"/>
        <s v="DR-TW-2B25-062-03-01"/>
        <s v="DR-TW-2B26-325-00-00"/>
        <s v="DR-TW-2B25-295-00-00"/>
        <s v="DR-TW-2B25-395-00-00"/>
        <s v="DR-TW-2B26-112-00-00"/>
        <s v="DR-TW-2B26-365-00-00"/>
        <s v="DR-TW-2B27-059-00-00"/>
        <s v="DR-TW-2B25-289-00-00"/>
        <s v="DR-TW-2B27-186-00-00"/>
        <s v="DR-TW-2B29-463-00-00"/>
        <s v="DR-TW-2B29-464-00-00"/>
        <s v="DR-TW-2B48-362-00-00"/>
        <s v="DR-TW-2B48-363-00-00"/>
        <s v="DR-TW-2B52-283A01-00"/>
        <s v="DR-TW-2B48-002-00-00"/>
        <s v="DR-TW-PCX-STAND00-00"/>
        <s v="DR-TW-2B25-128-01-00"/>
        <s v="DR-TW-2B25-129-01-00"/>
        <s v="DR-TW-2B25-295-00-01"/>
        <s v="DR-TW-2B26-190-01-00"/>
        <s v="DR-TW-2B69M579-01-00"/>
        <s v="DR-TW-2B91-205-02-01"/>
        <s v="DR-TW-2B24-225-06-00"/>
        <s v="DR-TW-2B48-500-02-00"/>
        <s v="DR-TW-2B26-330-00-01"/>
        <s v="DR-TW-2B26-361-00-00"/>
        <s v="DR-TW-2B94-021-00-01"/>
        <s v="DR-TW-2B25-100-01-02"/>
        <s v="DR-TW-2B48-530-02-00"/>
        <s v="DR-TW-2B27-186-00-01"/>
        <s v="DR-TW-2B26-229-04-00"/>
        <s v="DR-TW-2B69A075-00-00"/>
        <s v="DR-TW-2B19C145A00-00"/>
        <s v="DR-TW-2B25-086-00-01"/>
        <s v="DR-TW-2B69A084-00-00"/>
        <s v="DR-TW-2B69A092-00-00"/>
        <s v="DR-TW-2B26-228-03-00"/>
        <s v="DR-TW-2B26-191-01-00"/>
        <s v="DR-TW-2B25-421-00-00"/>
        <s v="DR-TW-2B27-154-01-00"/>
        <s v="DR-TW-2B04-462-02-00"/>
        <s v="DR-TW-2B29-426-00-00"/>
        <s v="DR-TW-2B69M638-00-00"/>
        <s v="DR-TW-2B19B115-00-04"/>
        <s v="DR-TW-2B26-121-00-00"/>
        <s v="DR-TW-2B27-116-01-03"/>
        <s v="DR-TW-2B91-190-01-01"/>
        <s v="DR-TW-2B25-010-0D-00"/>
        <s v="DR-TW-2B25-289-01-00"/>
        <s v="DR-TW-2B30-021-06-00"/>
        <s v="DR-TW-2B69M642-00-00"/>
        <s v="DR-TW-2B26-128-01-00"/>
        <s v="DR-TW-2B27-127-02-00"/>
        <s v="DR-TW-2B40-030-00-02"/>
        <s v="DR-TW-2B26-471-01-00"/>
        <s v="DR-TW-2B26-470-01-00"/>
        <s v="DR-TW-2B29-427-02-00"/>
        <s v="DR-TW-2B26-452-01-00"/>
        <s v="DR-TW-2B26-421-01-00"/>
        <s v="DR-TW-2B69M644-00-00"/>
        <s v="DR-TW-2B19I125-00-00"/>
        <s v="DR-TW-2B69M649-00-00"/>
        <s v="DR-TW-2B69M476-01-00"/>
        <s v="DR-TW-2B69M522-01-00"/>
        <s v="DR-TW-2B25-527-00-00"/>
        <s v="DR-TW-2B26-019-00-00"/>
        <s v="DR-TW-2B69M518-01-00"/>
        <s v="DR-TW-2B69M520-01-00"/>
        <s v="DR-TW-2B26-330-01-00" u="1"/>
        <s v="DR-TW-2B26-330-00-00" u="1"/>
        <m u="1"/>
        <s v="DR-TW-2B24F135-00-00" u="1"/>
        <s v="DR-TW-2B19G135-90-00" u="1"/>
        <s v="DR-TW-2B25-120-02-00" u="1"/>
        <s v="DR-TW-2B25-052-03-00" u="1"/>
        <s v="DR-TW-22B26-250005-00" u="1"/>
        <s v="DR-TW-2B26-294-00-00" u="1"/>
        <s v="DR-TW-2B25-290-00-00" u="1"/>
        <s v="DR-TW-2B69M016-00-00" u="1"/>
        <s v="DW-TW-2B25-021-08" u="1"/>
        <s v="DR-TW-2B25-022-95-08" u="1"/>
        <s v="DR-TW-2B26--228-01-00" u="1"/>
        <s v=" DR-TW-2B27-180-00-01" u="1"/>
        <s v="DR-TW-2B69M090-00-01" u="1"/>
        <s v="DR-TW-2B52-283A50-00" u="1"/>
        <s v="DR-TW-2B69M137-00-00" u="1"/>
        <s v="DR-TW-2B91-054-00-00" u="1"/>
        <s v="DR-TW-2B25-021-01-08" u="1"/>
        <s v="DR-TW-2B25-247-01-00" u="1"/>
        <s v="DR-TW-2B19-110-05-0A" u="1"/>
        <s v="DR-TW-2B27-081-00-00" u="1"/>
      </sharedItems>
    </cacheField>
    <cacheField name="Part No" numFmtId="0">
      <sharedItems containsBlank="1" count="1155">
        <s v="2B25-021-07"/>
        <s v="2B24-216-02"/>
        <s v="2B24-217-01"/>
        <s v="2B27-316-01"/>
        <s v="2B04A180-00"/>
        <s v="2B27-105-01"/>
        <s v="2B25-016-02"/>
        <s v="2B27-134-02"/>
        <s v="2B25-160-03"/>
        <s v="2B48-036-01"/>
        <s v="2B29-429-00"/>
        <s v="2B24-218-00"/>
        <s v="2B25-008-04"/>
        <s v="2B48-212-01"/>
        <s v="2B25-118-00"/>
        <s v="2B29-201-00"/>
        <s v="2B27-142-01-R"/>
        <s v="2B24-227-00"/>
        <s v="2B24-228-00"/>
        <s v="2B29-424-00-R"/>
        <s v="2B24-210-01"/>
        <s v="2B25-075-01"/>
        <s v="2B25-076-01"/>
        <s v="2B25-043-02"/>
        <s v="2B30-024-02"/>
        <s v="2B25-030-02"/>
        <s v="2B29-432-01"/>
        <s v="2B25-014-01"/>
        <s v="2B24-230-01"/>
        <s v="2B29-427-01"/>
        <s v="2B29-428-03"/>
        <s v="2B25-007-00"/>
        <s v="2B26-350-00"/>
        <s v="2B24-251-00"/>
        <s v="2B24-252-00"/>
        <s v="2B26-174-00"/>
        <s v="2B25-226-01"/>
        <s v="2B25-167-03"/>
        <s v="2B25-179-03"/>
        <s v="2B91-144-02"/>
        <s v="2B91-032-02"/>
        <s v="2B91-084-03"/>
        <s v="2B91-068-04"/>
        <s v="2B91-066-03"/>
        <s v="2B91-022-02"/>
        <s v="2B91-141-02"/>
        <s v="2B91-080-02"/>
        <s v="2B91-081-02"/>
        <s v="2B91-189-02"/>
        <s v="2B27-162-00"/>
        <s v="2B27-161-00"/>
        <s v="2B25-099-01"/>
        <s v="2B26-160-01"/>
        <s v="2B25-004-04"/>
        <s v="2B27-127-01"/>
        <s v="2B25-020-07"/>
        <s v="2B25-134-00"/>
        <s v="2B24D075-00"/>
        <s v="2B24D085-00"/>
        <s v="2B24D100-00"/>
        <s v="2B24-220-03-R"/>
        <s v="2B27-152-00"/>
        <s v="2B24-200A00-R"/>
        <s v="2B25-284-00"/>
        <s v="2B24-075B02-R"/>
        <s v="2B26-002-0A"/>
        <s v="2B25-265-00"/>
        <s v="2B25-261-02"/>
        <s v="2B29-270-01"/>
        <s v="2B25-264-00"/>
        <s v="2B25-012-05"/>
        <s v="2B26-208-02"/>
        <s v="2B26-218-03"/>
        <s v="2B25-198-00"/>
        <s v="2B26-062-04"/>
        <s v="2B26-063-04"/>
        <s v="2B27-081-00"/>
        <s v="2B25-354-00"/>
        <s v="2B98M696-02"/>
        <s v="2B91-076-00-R"/>
        <s v="2B48-508-00"/>
        <s v="2B53-400-00"/>
        <s v="2B25-230-00-R"/>
        <s v="2B51-215-01"/>
        <s v="2B52-253-04"/>
        <s v="2B53-400-01"/>
        <s v="2B52-283-01"/>
        <s v="2B25-132-01"/>
        <s v="2B27-100-02"/>
        <s v="2B04A120-01-R"/>
        <s v="2B54-095-00"/>
        <s v="2B55-095-00"/>
        <s v="2B91-194-01"/>
        <s v="2B55-170-00"/>
        <s v="2B04A140-01-R"/>
        <s v="2B04A135-01-R"/>
        <s v="2B04A125-01-R"/>
        <s v="2B55-185-00"/>
        <s v="2B24-211-09"/>
        <s v="2B24-213-01"/>
        <s v="2B24-212-09"/>
        <s v="2B24-219-01"/>
        <s v="2B26-081-01"/>
        <s v="2B26-082-01"/>
        <s v="2B26-142-05"/>
        <s v="2B26-280-04"/>
        <s v="2B26-045-04"/>
        <s v="2B26-046-04"/>
        <s v="2B26-110-0F"/>
        <s v="2B26-118-04"/>
        <s v="2B26-215-07"/>
        <s v="2B26-228-01"/>
        <s v="2B26-229-02"/>
        <s v="2B26-234-04"/>
        <s v="2B26-235-03"/>
        <s v="2B26-236-01"/>
        <s v="2B26-244-03"/>
        <s v="2B26-281-02"/>
        <s v="2B19D145-02"/>
        <s v="2B19D155-02"/>
        <s v="2B19D160-02"/>
        <s v="2B19D165-02"/>
        <s v="2B19D170-02"/>
        <s v="2B19D180-02"/>
        <s v="2B26-003-03"/>
        <s v="2B26-009-02"/>
        <s v="2B26-043-08"/>
        <s v="2B26-051-03"/>
        <s v="2B26-052-02"/>
        <s v="2B26-055-02"/>
        <s v="2B26-122-06"/>
        <s v="2B26-126-0I"/>
        <s v="2B26-132-01"/>
        <s v="2B26-262-03"/>
        <s v="2B26-123-06"/>
        <s v="2B26-130-03"/>
        <s v="2B26-064-03"/>
        <s v="2B29-129-03"/>
        <s v="2B29-143-02"/>
        <s v="2B29-146-02"/>
        <s v="2B29-340-02"/>
        <s v="2B29-341-01"/>
        <s v="2B29-342-01"/>
        <s v="2B29-343-02"/>
        <s v="2B29-344-02"/>
        <s v="2B26-257-02"/>
        <s v="2B26-051-04"/>
        <s v="2B26-055-03"/>
        <s v="2B26-126-0J"/>
        <s v="2B26-252-00"/>
        <s v="2B26-276-00"/>
        <s v="2B26-048-02"/>
        <s v="2B26-049-07"/>
        <s v="2B26-050-05"/>
        <s v="2B69M009-00"/>
        <s v="2B26-003-04"/>
        <s v="2B26-122-07"/>
        <s v="2B26-124-03"/>
        <s v="2B26-130-04"/>
        <s v="2B26-262-04"/>
        <s v="2B26-272-06"/>
        <s v="2B04A130-01-R"/>
        <s v="2B98M674-01"/>
        <s v="2B25-058-01"/>
        <s v="2B26-231-04"/>
        <s v="2B26-274-05"/>
        <s v="2B94-093-00"/>
        <s v="2B24-225-04"/>
        <s v="2B24-229-03"/>
        <s v="2B26-260-01"/>
        <s v="2B26-219-03"/>
        <s v="2B48-253-00"/>
        <s v="2B24-300-00"/>
        <s v="2B25-125-04"/>
        <s v="2B25-127-03"/>
        <s v="2B25-138-01"/>
        <s v="2B25-139-01"/>
        <s v="2B25-352-01"/>
        <s v="2B25-353-01"/>
        <s v="2B26-250-00"/>
        <s v="2B30-021-04"/>
        <s v="2B26-250-05"/>
        <s v="2B26-251-05"/>
        <s v="2B30-020-00"/>
        <s v="2B69A001-00"/>
        <s v="2B69A002-00"/>
        <s v="2B26-255-06"/>
        <s v="2B26-270-01"/>
        <s v="2B26-051-05"/>
        <s v="2B69M013-00"/>
        <s v="2B25-323-00"/>
        <s v="2B29-370-00"/>
        <s v="2B69A003-00"/>
        <s v="2B69A005-00"/>
        <s v="2B69A006-00"/>
        <s v="2B24-202C00"/>
        <s v="2B26-128-00"/>
        <s v="2B29-421-00"/>
        <s v="2B24-220C00"/>
        <s v="2B69A016-00"/>
        <s v="2B69M017-00"/>
        <s v="2B69M018-00"/>
        <s v="2B26-067-04"/>
        <s v="2B29-231-00"/>
        <s v="Drawing Set"/>
        <s v="2B26-204-06"/>
        <s v="2B26-111-00"/>
        <s v="2B26-323-00"/>
        <s v="2B27-180-00"/>
        <s v="2B26-340-00"/>
        <s v="2B69M024-00"/>
        <s v="2B69M028-00"/>
        <s v="2B24-225-05"/>
        <s v="2B24-229-04"/>
        <s v="2B24-240-02"/>
        <s v="2B24-241-02"/>
        <s v="2B69M032-00"/>
        <s v="2B69M033-00"/>
        <s v="2B25-225-07"/>
        <s v="2B25-009-08"/>
        <s v="2B25-056-08"/>
        <s v="2B26-163-03"/>
        <s v="2B25-523-00"/>
        <s v="2B25-524-00"/>
        <s v="2B26-253-00"/>
        <s v="2B29-345-00"/>
        <s v="2B69M048-00"/>
        <s v="2B24-240-03"/>
        <s v="2B24-241-03"/>
        <s v="2B25-266-00"/>
        <s v="2B27-458-00"/>
        <s v="2B29-128-01"/>
        <s v="2B26-066-04"/>
        <s v="2B26-292-00"/>
        <s v="2B26-293-00"/>
        <s v="2B26-294-00"/>
        <s v="2B26-279-02"/>
        <s v="2B26-282-00"/>
        <s v="2B26-283-00"/>
        <s v="2B25-267-00"/>
        <s v="2B26-323-01"/>
        <s v="2B26-340-01"/>
        <s v="2B25-400-00"/>
        <s v="2B25-401-00"/>
        <s v="2B25-268-00"/>
        <s v="2B24-300-01"/>
        <s v="2B53-400-02"/>
        <s v="2B26-102-00"/>
        <s v="2B27-213-00"/>
        <s v="2B30-032-00"/>
        <s v="2B48-730-00"/>
        <s v="2B48-731-00"/>
        <s v="2B25-196-00-R"/>
        <s v="2B25-197-00-R"/>
        <s v="2B25-303-00-R"/>
        <s v="2B51-350-00"/>
        <s v="2B51-260-01"/>
        <s v="2B24E100-00"/>
        <s v="2B48-106-03"/>
        <s v="2B24-242-00"/>
        <s v="2B24-243-00"/>
        <s v="2B25-199-00"/>
        <s v="2B27-458-01"/>
        <s v="2B27-459-00"/>
        <s v="2B29-160-00"/>
        <s v="2B55-205-00"/>
        <s v="2B69M080-00"/>
        <s v="2B69M087-00"/>
        <s v="2B37-037-00"/>
        <s v="2B69M086-00"/>
        <s v="2B69M089-00"/>
        <s v="2B25-262-02"/>
        <s v="2B27-123-00"/>
        <s v="2B26-370-00"/>
        <s v="2B26-371-00"/>
        <s v="2B27-453-03"/>
        <s v="2B25-420-00"/>
        <s v="2B25-290-00"/>
        <s v="2B69M111-00"/>
        <s v="2B91-097-00"/>
        <s v="2B91-247-00"/>
        <s v="2B25-305-00"/>
        <s v="2B26-111-01"/>
        <s v="2B25-400-01"/>
        <s v="2B25-401-01"/>
        <s v="2B26-400-00"/>
        <s v="2B26-203-01"/>
        <s v="2B25-170-02"/>
        <s v="2B26-276-01"/>
        <s v="2B91-248-00"/>
        <s v="2B91-249-00"/>
        <s v="2B29-273-00"/>
        <s v="2B25-199-01"/>
        <s v="2B91-450-00"/>
        <s v="2B91-451-00"/>
        <s v="2B91-452-00"/>
        <s v="2B91-453-00"/>
        <s v="2B91-454-00"/>
        <s v="2B91-455-00"/>
        <s v="2B91-456-00"/>
        <s v="2B91-457-00"/>
        <s v="2B24-300-02"/>
        <s v="2B53-400-03"/>
        <s v="2B94-071-02"/>
        <s v="2B27-109-01"/>
        <s v="2B27-110-03"/>
        <s v="2B27-151-00"/>
        <s v="2B26-278-03"/>
        <s v="2B48-207-00"/>
        <s v="2B91-020-02"/>
        <s v="2B91-021-02"/>
        <s v="2B25-238-01"/>
        <s v="2B91-240-00"/>
        <s v="2B26-233-00"/>
        <s v="2B48-205-00"/>
        <s v="2B69M135-00"/>
        <s v="2B69M134-00"/>
        <s v="2B25-018-00"/>
        <s v="2B69A010-00"/>
        <s v="2B91-450-01"/>
        <s v="2B91-453-01"/>
        <s v="2B91-454-01"/>
        <s v="2B91-455-01"/>
        <s v="2B91-456-01"/>
        <s v="2B91-457-01"/>
        <s v="2B91-098-00"/>
        <s v="2B26-030-00"/>
        <s v="2B69M136-00"/>
        <s v="2B25-137-00"/>
        <s v="2B04-462-00"/>
        <s v="2B69M140-00"/>
        <s v="2B27-123-01"/>
        <s v="2B48-034-03"/>
        <s v="2B26-117-00"/>
        <s v="2B69M146-01"/>
        <s v="2B69M148-00"/>
        <s v="2B69M152-00"/>
        <s v="2B69M150-00"/>
        <s v="2B69M151-00"/>
        <s v="2B29-402-01"/>
        <s v="2B48-051-01"/>
        <s v="2B29-401-01"/>
        <s v="2B26-276-02"/>
        <s v="2B26-253-01"/>
        <s v="2B26-252-01"/>
        <s v="2B25-052-03"/>
        <s v="2B25-306-00"/>
        <s v="2B25-173-04"/>
        <s v="2B26-284-00"/>
        <s v="2B26-285-00"/>
        <s v="2B69M155-00"/>
        <s v="2B69M156-00"/>
        <s v="2B19B115-00"/>
        <s v="2B69M170-00"/>
        <s v="2B26-284-01"/>
        <s v="2B26-285-01"/>
        <s v="2B69M169-00"/>
        <s v="2B69M166-00"/>
        <s v="2B69M165-00"/>
        <s v="2B69M154-00"/>
        <s v="2B25-120-01"/>
        <s v="2B27-117-03"/>
        <s v="2B91-451-01"/>
        <s v="2B91-452-01"/>
        <s v="2B69M171-00"/>
        <s v="2B69M172-00"/>
        <s v="2B53-400-04"/>
        <s v="2B26-286-00"/>
        <s v="2B26-284-02"/>
        <s v="2B26-451-00"/>
        <s v="2B04B500-00"/>
        <s v="2B24-065-00"/>
        <s v="2B69M181-00"/>
        <s v="2B26-090-01"/>
        <s v="2B91-210-00"/>
        <s v="2B26-131-00"/>
        <s v="2B69A009-00"/>
        <s v="2B29-433-01"/>
        <s v="2B52-283A00"/>
        <s v="2B69M192-00"/>
        <s v="2B69M193-00"/>
        <s v="2B25-066-02"/>
        <s v="2B69M196-00"/>
        <s v="2B69M200-00"/>
        <s v="2B69M199-00"/>
        <s v="2B29-421-01"/>
        <s v="2B26-125-00"/>
        <s v="2B19E100-00"/>
        <s v="2B19E085-00"/>
        <s v="2B19E090-00"/>
        <s v="2B19E110-00"/>
        <s v="2B19E115-00"/>
        <s v="2B19E120-00"/>
        <s v="2B04-463-00"/>
        <s v="2B69M204-00"/>
        <s v="2B69M205-00"/>
        <s v="2B69M206-00"/>
        <s v="2B69M207-00"/>
        <s v="2B19E105-00"/>
        <s v="2B69M225-00"/>
        <s v="2B69M226-00"/>
        <s v="2B69M228-00"/>
        <s v="2B69M219-00"/>
        <s v="2B69M220-00"/>
        <s v="2B69M221-00"/>
        <s v="2B69M222-00"/>
        <s v="2B24-260-00"/>
        <s v="2B25-120-02"/>
        <s v="2B25-121-02"/>
        <s v="2B30-070-00"/>
        <s v="2B25-247-02"/>
        <s v="2B26-116-06"/>
        <s v="2B26-123-07"/>
        <s v="2B27-414-00"/>
        <s v="2B94-074-01"/>
        <s v="2B69M236-00"/>
        <s v="2B26-500-00"/>
        <s v="2B25-502-00"/>
        <s v="2B69M238-00"/>
        <s v="2B69M240-00"/>
        <s v="2B69M237-00"/>
        <s v="2B69M241-00"/>
        <s v="2B69M242-00"/>
        <s v="2B69M250-00"/>
        <s v="2B25-273-00"/>
        <s v="2B69M221-01"/>
        <s v="2B69A014-00"/>
        <s v="2B69A015-00"/>
        <s v="2B24B075-00"/>
        <s v="2B24B090-00"/>
        <s v="2B24C110-00"/>
        <s v="2B24D120-00"/>
        <s v="2B26-132-02"/>
        <s v="2B26-207-03"/>
        <s v="2B26-211-03"/>
        <s v="2B27-128-01"/>
        <s v="2B29-431-01"/>
        <s v="2B94-030-01"/>
        <s v="2B94-055-01"/>
        <s v="2B94-092-02"/>
        <s v="2B19-120-06"/>
        <s v="2B19-125-06"/>
        <s v="2B19-130-06"/>
        <s v="2B19-135-06"/>
        <s v="2B19-140-06"/>
        <s v="2B19C205-02"/>
        <s v="2B19C140-02"/>
        <s v="2B19C145-02"/>
        <s v="2B19C150-02"/>
        <s v="2B19C155-02"/>
        <s v="2B19C160-02"/>
        <s v="2B19C165-02"/>
        <s v="2B19C170-02"/>
        <s v="2B19C175-02"/>
        <s v="2B19C180-02"/>
        <s v="2B19C200-02"/>
        <s v="2B19-150-06"/>
        <s v="2B19-155-06"/>
        <s v="2B19-160-07"/>
        <s v="2B19-165-07"/>
        <s v="2B19-175-07"/>
        <s v="2B19-180-07"/>
        <s v="2B19-190-07"/>
        <s v="2B19-195-07"/>
        <s v="2B19-200-07"/>
        <s v="2B19-215-01"/>
        <s v="2B19-205-01"/>
        <s v="2B19-220-01"/>
        <s v="2B19-210-01"/>
        <s v="2B19-145-06"/>
        <s v="2B19-110-06"/>
        <s v="2B19-115-06"/>
        <s v="2B69A017-00"/>
        <s v="2B24B065-00"/>
        <s v="2B24B105-00"/>
        <s v="2B24B120-00"/>
        <s v="2B27-211-00"/>
        <s v="2B26-190-00"/>
        <s v="2B26-295-00"/>
        <s v="2B27-082-00"/>
        <s v="2B26-084-00"/>
        <s v="2B25-287-00"/>
        <s v="2B27-101-00"/>
        <s v="2B94-051-00"/>
        <s v="PCX-RS02-00"/>
        <s v="2B26-249-03"/>
        <s v="2B04-464-00"/>
        <s v="2B69M255-00"/>
        <s v="PCX-FS02-00"/>
        <s v="2B26-068-04"/>
        <s v="2B69M257-00"/>
        <s v="2B69M256-00"/>
        <s v="2B04-465-00"/>
        <s v="2B91-044-02"/>
        <s v="2B19D145-03"/>
        <s v="2B19D155-03"/>
        <s v="2B19D160-03"/>
        <s v="2B19D165-03"/>
        <s v="2B19D170-03"/>
        <s v="2B19D180-03"/>
        <s v="2B69M219-01"/>
        <s v="2B25-161-00"/>
        <s v="2B69M056-00"/>
        <s v="2B69M036-00"/>
        <s v="2B69M057-00"/>
        <s v="2B69M058-00"/>
        <s v="2B25-193-00"/>
        <s v="2B25-274-00"/>
        <s v="2B69M268-00"/>
        <s v="2B69M269-00"/>
        <s v="2B69M272-00"/>
        <s v="2B69M274-00"/>
        <s v="2B48-208-00"/>
        <s v="2B26-360-00"/>
        <s v="2B25-269-00"/>
        <s v="2B25-283-00"/>
        <s v="2B25-525-00"/>
        <s v="2B25-526-00"/>
        <s v="2B26-370-01"/>
        <s v="2B25-284-01"/>
        <s v="2B26-340-02"/>
        <s v="2B26-371-01"/>
        <s v="2B69M090-00"/>
        <s v="2B69M100-00"/>
        <s v="2B55-200-00"/>
        <s v="2B55-195-00"/>
        <s v="2B29-230-00"/>
        <s v="2B69M298-00"/>
        <s v="2B26-124-04"/>
        <s v="2B26-122-08"/>
        <s v="2B26-248-04"/>
        <s v="2B69M304-00"/>
        <s v="2B69M305-00"/>
        <s v="2B69M306-00"/>
        <s v="2B26-030-01"/>
        <s v="2B26-050-06"/>
        <s v="2B26-061-05"/>
        <s v="2B26-062-05"/>
        <s v="2B26-063-05"/>
        <s v="2B26-066-05"/>
        <s v="2B26-067-05"/>
        <s v="2B26-068-05"/>
        <s v="2B26-069-04"/>
        <s v="2B26-083-03"/>
        <s v="2B26-131-01"/>
        <s v="2B26-132-03"/>
        <s v="2B26-009-03"/>
        <s v="2B26-126-0K"/>
        <s v="2B26-201-04"/>
        <s v="2B26-201-03"/>
        <s v="2B26-203-02"/>
        <s v="2B26-218-04"/>
        <s v="2B26-227-03"/>
        <s v="2B26-248-05"/>
        <s v="2B69M056-01"/>
        <s v="2B69M308-00"/>
        <s v="2B25-266-01"/>
        <s v="2B26-110-0G"/>
        <s v="2B26-470-00"/>
        <s v="2B26-471-00"/>
        <s v="2B25-550-00"/>
        <s v="2B26-249-04"/>
        <s v="2B25-012-06"/>
        <s v="2B25-066-03"/>
        <s v="2B51-300-00"/>
        <s v="2B25-260-03"/>
        <s v="2B25-262-03"/>
        <s v="2B25-263-02"/>
        <s v="2B25-264-01"/>
        <s v="2B25-265-01"/>
        <s v="2B25-268-01"/>
        <s v="2B25-282-02"/>
        <s v="2B91-247-01"/>
        <s v="2B91-248-01"/>
        <s v="2B69M318-00"/>
        <s v="2B69M319-00"/>
        <s v="2B69M320-00"/>
        <s v="2B25-267-01"/>
        <s v="2B48-430-00"/>
        <s v="2B48-431-00"/>
        <s v="2B48-308-00"/>
        <s v="2B48-307-00"/>
        <s v="2B48-432-00"/>
        <s v="2B48-433-00"/>
        <s v="2B69M330-00"/>
        <s v="2B69M328-00"/>
        <s v="2B69M322-00"/>
        <s v="2B69M321-00"/>
        <s v="2B69M332-00"/>
        <s v="2B69M330-01"/>
        <s v="2B26-296-00"/>
        <s v="2B26-042-00"/>
        <s v="2B26-041-00"/>
        <s v="2B26-191-00"/>
        <s v="2B26-400-01"/>
        <s v="2B26-295-01"/>
        <s v="2B26-296-01"/>
        <s v="2B69A020-01"/>
        <s v="2B69M350-00"/>
        <s v="2B69MXXX-00"/>
        <s v="2B27-120-02"/>
        <s v="2B27-063-00"/>
        <s v="2B27-111-02"/>
        <s v="2B27-112-02"/>
        <s v="2B27-102-01"/>
        <s v="2B26-401-00"/>
        <s v="2B91-220-00"/>
        <s v="2B26-430-00"/>
        <s v="2B26-431-00"/>
        <s v="2B26-490-00"/>
        <s v="2B26-491-00"/>
        <s v="2B25-019-06"/>
        <s v="2B91-301-00-R"/>
        <s v="2B69M365-00"/>
        <s v="2B69M361-00"/>
        <s v="2B69M362-00"/>
        <s v="2B69M359-00"/>
        <s v="2B69M360-00"/>
        <s v="2B26-150-09"/>
        <s v="2B22-090-00"/>
        <s v="2B22-095-00"/>
        <s v="2B22-100-00"/>
        <s v="2B22-105-00"/>
        <s v="2B22-110-00"/>
        <s v="2B22-115-00"/>
        <s v="2B22-120-00"/>
        <s v="2B22-125-00"/>
        <s v="2B22-130-00"/>
        <s v="2B22-135-00"/>
        <s v="2B22-140-00"/>
        <s v="2B22-145-00"/>
        <s v="2B22-150-00"/>
        <s v="2B22-155-00"/>
        <s v="2B22-160-00"/>
        <s v="2B22-165-00"/>
        <s v="2B22-170-00"/>
        <s v="2B22-175-00"/>
        <s v="2B22-180-00"/>
        <s v="2B22-185-00"/>
        <s v="2B22-190-00"/>
        <s v="2B22-195-00"/>
        <s v="2B22-200-00"/>
        <s v="2B22-205-00"/>
        <s v="2B22-210-00"/>
        <s v="2B22-215-00"/>
        <s v="2B22-220-00"/>
        <s v="2B22-225-00"/>
        <s v="2B22-230-00"/>
        <s v="2B22-235-00"/>
        <s v="2B22-240-00"/>
        <s v="2B22-245-00"/>
        <s v="2B22-250-00"/>
        <s v="2B22-255-00"/>
        <s v="2B22-260-00"/>
        <s v="2B22-270-00"/>
        <s v="2B22-275-00"/>
        <s v="2B22-280-00"/>
        <s v="2B22-290-00"/>
        <s v="2B22-300-00"/>
        <s v="2B22-310-00"/>
        <s v="2B22-320-00"/>
        <s v="2B22-330-00"/>
        <s v="2B22-340-00"/>
        <s v="2B22-350-00"/>
        <s v="2B19F090-00"/>
        <s v="2B19F095-00"/>
        <s v="2B19F100-00"/>
        <s v="2B19F105-00"/>
        <s v="2B19F110-00"/>
        <s v="2B19F115-00"/>
        <s v="2B19F120-00"/>
        <s v="2B19F125-00"/>
        <s v="2B19F130-00"/>
        <s v="2B19F135-00"/>
        <s v="2B19F140-00"/>
        <s v="2B19F145-00"/>
        <s v="2B19F150-00"/>
        <s v="2B19F155-00"/>
        <s v="2B19F160-00"/>
        <s v="2B19F165-00"/>
        <s v="2B19F170-00"/>
        <s v="2B19F175-00"/>
        <s v="2B19F180-00"/>
        <s v="2B19F185-00"/>
        <s v="2B19F190-00"/>
        <s v="2B19F195-00"/>
        <s v="2B19F200-00"/>
        <s v="2B19F205-00"/>
        <s v="2B19F210-00"/>
        <s v="2B19F215-00"/>
        <s v="2B19F220-00"/>
        <s v="2B19F225-00"/>
        <s v="2B19F240-00"/>
        <s v="2B19F300-00"/>
        <s v="2B26-085-00"/>
        <s v="2B27-157-00"/>
        <s v="2B94-054-00"/>
        <s v="2B27-085-00"/>
        <s v="2B27-086-00"/>
        <s v="2B29-232-00"/>
        <s v="2B69M328-01"/>
        <s v="2b69M359-01"/>
        <s v="2B69M360-01"/>
        <s v="2B26-162-02"/>
        <s v="2B27-084-00"/>
        <s v="2B26-430-01"/>
        <s v="2B26-431-01"/>
        <s v="2B26-490-01"/>
        <s v="2B26-491-01"/>
        <s v="2B25-133-00"/>
        <s v="2B26-520-00"/>
        <s v="2B26-521-00"/>
        <s v="2B26-522-00"/>
        <s v="2B26-523-00"/>
        <s v="2B26-581-00"/>
        <s v="2B26-600-00"/>
        <s v="2B26-601-00"/>
        <s v="2B26-602-00"/>
        <s v="2B26-603-00"/>
        <s v="2B27-158-00"/>
        <s v="2B27-159-00"/>
        <s v="2B94-057-00"/>
        <s v="2B94-072-00"/>
        <s v="2B26-273-01"/>
        <s v="2B26-430-03"/>
        <s v="2B26-431-03"/>
        <s v="2B26-490-02"/>
        <s v="2B04-540-00"/>
        <s v="2B26-491-02"/>
        <s v="2B04-450-00"/>
        <s v="2B24-301-00"/>
        <s v="2B26-086-00"/>
        <s v="2B26-087-00"/>
        <s v="2B26-297-00"/>
        <s v="2B26-041-01"/>
        <s v="2B26-042-01"/>
        <s v="2B26-582-00"/>
        <s v="2B29-402-02"/>
        <s v="2B26-193-00"/>
        <s v="2B26-420-00"/>
        <s v="2B29-401-02"/>
        <s v="2B29-417-00"/>
        <s v="2B26-550-00"/>
        <s v="2B29-424-01-R"/>
        <s v="2B26-421-00"/>
        <s v="2B27-154-00"/>
        <s v="2B04-425-00"/>
        <s v="2B24-080A00"/>
        <s v="2B24-100A00"/>
        <s v="2B69A023-00"/>
        <s v="2B26-452-00"/>
        <s v="2B04-425-01"/>
        <s v="2B04-450-01"/>
        <s v="2B69M454-00"/>
        <s v="2B69M434-01"/>
        <s v="2B69M431-01"/>
        <s v="2B69M446-00"/>
        <s v="2B69M455-00"/>
        <s v="2B69M456-00"/>
        <s v="2B69M447-00"/>
        <s v="2B69M448-00"/>
        <s v="2B69M449-00"/>
        <s v="2B69M451-00"/>
        <s v="2B69M452-00"/>
        <s v="2B69M450-00"/>
        <s v="2B69M322-01"/>
        <s v="2B69M363-00"/>
        <s v="2B69M364-00"/>
        <s v="2B69M463-00"/>
        <s v="2B69M458-00"/>
        <s v="2B69M459-00"/>
        <s v="2B69M457-00"/>
        <s v="2B52-293-00"/>
        <s v="2B69M465-00"/>
        <s v="2B69M466-00"/>
        <s v="2B19F230-00"/>
        <s v="2B24E075-00"/>
        <s v="2B69M471-00"/>
        <s v="2B69M468-00"/>
        <s v="2B69M321-02"/>
        <s v="2B69M332-02"/>
        <s v="2B69M322-02"/>
        <s v="2B69M328-03"/>
        <s v="2B69M359-03"/>
        <s v="2B69M360-03"/>
        <s v="2B69M422-00"/>
        <s v="2B69M457-02"/>
        <s v="2B69M481-01"/>
        <s v="2B69M482-01"/>
        <s v="2B69M330-02"/>
        <s v="2B69M361-01"/>
        <s v="2B69M362-01"/>
        <s v="2B69M458-01"/>
        <s v="2B69M459-01"/>
        <s v="2B69M466-01"/>
        <s v="2B69M467-01"/>
        <s v="2B69M365-01"/>
        <s v="2B69M456-01"/>
        <s v="2B69M384-00"/>
        <s v="2B91-300-00-00"/>
        <s v="2B51-215-02"/>
        <s v="2B51-260-02"/>
        <s v="2B51-300-01"/>
        <s v="2B51-350-01"/>
        <s v="2B19G135-00"/>
        <s v="2B19G150-00"/>
        <s v="2B19G155-00"/>
        <s v="2B19G160-00"/>
        <s v="2B19G165-00"/>
        <s v="2B19G170-00"/>
        <s v="2B19G175-00"/>
        <s v="2B19G185-00"/>
        <s v="2B19G205-00"/>
        <s v="2B19G240-00"/>
        <s v="2B26-145-00"/>
        <s v="2B25-331-00"/>
        <s v="2B40-035-00"/>
        <s v="2B40-037-00"/>
        <s v="2B40-036-00"/>
        <s v="2B40-030-00"/>
        <s v="2B40-031-00"/>
        <s v="2B40-032-00"/>
        <s v="2B40-033-00"/>
        <s v="2B40-034-00"/>
        <s v="2B25-332-00"/>
        <s v="2B25-333-00"/>
        <s v="2B26-144-00"/>
        <s v="2B25-330-00"/>
        <s v="2B69A032-00"/>
        <s v="2B69A030-00"/>
        <s v="2B69M512-00"/>
        <s v="2B69M513-00"/>
        <s v="2B26-143-00"/>
        <s v="2B69M514-00"/>
        <s v="2B26-520-01"/>
        <s v="2B51-240-00"/>
        <s v="2B94-091-00"/>
        <s v="2B29-421-02"/>
        <s v="2B19F235-00"/>
        <s v="2B04-450-02"/>
        <s v="2B24-230-02"/>
        <s v="2B26-272-07"/>
        <s v="2B30-021-05"/>
        <s v="2B29-433-02"/>
        <s v="2B26-146-00"/>
        <s v="2B27-301-00"/>
        <s v="2B27-302-00"/>
        <s v="2B26-218-05"/>
        <s v="2B26-231-05"/>
        <s v="2B26-244-04"/>
        <s v="2B91-089-02"/>
        <s v="2B26-280-05"/>
        <s v="2B69A037-00"/>
        <s v="2B69A038-00"/>
        <s v="2B26-193-01"/>
        <s v="2B69A044-00"/>
        <s v="2B69A045-00"/>
        <s v="2B69A049-00"/>
        <s v="2B69A046-00"/>
        <s v="2B69A047-00"/>
        <s v="2B69A048-00"/>
        <s v="2B69A050-00"/>
        <s v="2B69A051-00"/>
        <s v="2B69A052-00"/>
        <s v="2B04-462-01"/>
        <s v="2B26-064-04"/>
        <s v="2B26-081-02"/>
        <s v="2B26-451-01"/>
        <s v="2B26-500-01"/>
        <s v="2B26-521-01"/>
        <s v="2B26-581-01"/>
        <s v="2B91-195-00"/>
        <s v="2B04-425-02"/>
        <s v="2B25-334-00"/>
        <s v="2B26-043-09"/>
        <s v="2B26-085-01"/>
        <s v="2B26-147-00"/>
        <s v="2B26-215-08"/>
        <s v="2B26-219-04"/>
        <s v="2B26-233-01"/>
        <s v="2B26-235-04"/>
        <s v="2B26-282-01"/>
        <s v="2B26-292-01"/>
        <s v="2B26-294-01"/>
        <s v="2B29-431-02"/>
        <s v="2B19G145-00"/>
        <s v="2B19G200-00"/>
        <s v="2B40-039-00"/>
        <s v="2B26-295-02"/>
        <s v="2B26-296-02"/>
        <s v="2B26-082-02"/>
        <s v="2B30-029-02"/>
        <s v="2B24F125-00"/>
        <s v="2B24F120-00"/>
        <s v="2B24F115-00"/>
        <s v="2B24F135-00"/>
        <s v="2B24F140-00"/>
        <s v="2B24F145-00"/>
        <s v="2B24F150-00"/>
        <s v="2B27-070-00"/>
        <s v="2B27-071-00"/>
        <s v="2B29-461-00"/>
        <s v="2B29-462-00"/>
        <s v="2B26-480-00"/>
        <s v="2B29-460-00"/>
        <s v="2B26-148-00"/>
        <s v="2B26-228-02"/>
        <s v="2B26-229-03"/>
        <s v="2B26-258-00"/>
        <s v="2B26-263-00"/>
        <s v="2B26-264-00"/>
        <s v="2B26-351-00"/>
        <s v="2B26-430-04"/>
        <s v="2B26-431-04"/>
        <s v="2B26-490-03"/>
        <s v="2B26-491-03"/>
        <s v="2B69M472-00"/>
        <s v="2B25-096-01"/>
        <s v="2B25-150-03"/>
        <s v="2B25-155-03"/>
        <s v="2B25-237-00"/>
        <s v="2B25-063-03"/>
        <s v="2B25-227-03"/>
        <s v="2B69M536-00"/>
        <s v="2B25-135-02"/>
        <s v="2B25-010-0C"/>
        <s v="2B25-023-0A"/>
        <s v="2B91-108-02"/>
        <s v="2B26-285-02"/>
        <s v="2B26-234-05"/>
        <s v="2B26-207-04"/>
        <s v="2B29-401-03"/>
        <s v="2B29-429-01"/>
        <s v="2B29-428-04"/>
        <s v="2B29-402-03"/>
        <s v="2B26-123-08"/>
        <s v="2B19E095-00"/>
        <s v="2B19E125-00"/>
        <s v="2B19E130-00"/>
        <s v="2B25-180-03"/>
        <s v="2B29-435-00"/>
        <s v="2B69M494-00"/>
        <s v="2B69M493-00"/>
        <s v="2B26-142-06"/>
        <s v="2B69M554-00"/>
        <s v="2B69M547-00"/>
        <s v="2B91-216-01"/>
        <s v="2B24-060-02-R"/>
        <s v="2B24-070-02-R"/>
        <s v="2B24-075B03-R"/>
        <s v="2B24-080-02-R"/>
        <s v="2B24-085B02-R"/>
        <s v="2B24-090B03-R"/>
        <s v="2B24-120B03-R"/>
        <s v="2B24-140-01-R"/>
        <s v="2B24-160-01-R"/>
        <s v="2B24-065-02-R"/>
        <s v="2B24-200B01-R"/>
        <s v="2B24-220B01-R"/>
        <s v="2B24-251-01"/>
        <s v="2B24-252-01"/>
        <s v="2B24B065-01"/>
        <s v="2B24B075-01"/>
        <s v="2B24B090-01"/>
        <s v="2B24B105-01"/>
        <s v="2B24B120-01"/>
        <s v="2B24C110-01"/>
        <s v="2B24D075-01"/>
        <s v="2B24D085-01"/>
        <s v="2B24D100-01"/>
        <s v="2B24D120-01"/>
        <s v="2B26-119-00"/>
        <s v="2B69M557-00"/>
        <s v="2B25-108-00"/>
        <s v="2B25-112-00"/>
        <s v="2B25-228-02"/>
        <s v="2B26-006-06"/>
        <s v="2B91-231-00"/>
        <s v="2B69M417-00"/>
        <s v="2B04-450-03"/>
        <s v="2B04A145-01-R"/>
        <s v="2B04A165-01-R"/>
        <s v="2B04A170-01-R"/>
        <s v="2B04A175-01-R"/>
        <s v="2B04A185-00-R"/>
        <s v="2B04A210-01-R"/>
        <s v="2B04A215-01-R"/>
        <s v="2B04A220-01-R"/>
        <s v="2B04A235-01-R"/>
        <s v="2B25-026-03"/>
        <s v="2B26-001-07"/>
        <s v="2B36-003-00"/>
        <s v="2B91-017A03"/>
        <s v="2B91-021A03"/>
        <s v="2B69M548-00"/>
        <s v="2B91-147A02"/>
        <s v="2B26-286-01"/>
        <s v="2B25-154-03"/>
        <s v="2B25-221-00"/>
        <s v="2B91-003-03"/>
        <s v="2B91-033A02"/>
        <s v="2B91-217-02"/>
        <s v="2B91-241-02"/>
        <s v="2B94-031-00"/>
        <s v="2B27-216-00"/>
        <s v="2B91-033-03"/>
        <s v="2B25-233-02"/>
        <s v="2B25-011-08"/>
        <s v="2B25-181-02"/>
        <s v="2B25-049-07"/>
        <s v="2B25-055-03"/>
        <s v="2B25-041-07"/>
        <s v="2B26-130-05"/>
        <s v="2B26-211-04"/>
        <s v="2B04-425-03"/>
        <s v="2B27-340-00"/>
        <s v="2B29-435-01"/>
        <s v="2B94-021-00"/>
        <s v="2B91-052-03"/>
        <s v="2B91-205-02"/>
        <s v="2B69A026-01"/>
        <s v="2B69A042-01"/>
        <s v="2B69A043-00"/>
        <s v="2B25-239-01"/>
        <s v="2B25-107-01"/>
        <s v="2B91-206-01"/>
        <s v="2B91-207-01"/>
        <s v="2B69A057-00"/>
        <s v="2B69A056-00"/>
        <s v="2B69M583-00"/>
        <s v="2B69M584-00"/>
        <s v="2B69M587-00"/>
        <s v="2B69A060-00"/>
        <s v="2B69A059-00"/>
        <s v="2B26-250-06"/>
        <s v="2B69M579-00"/>
        <s v="2B25-163-02"/>
        <s v="2B69A039-01"/>
        <s v="2B69A053-00"/>
        <s v="2B26-270-02"/>
        <s v="2B25-208-02"/>
        <s v="2B04-540-01"/>
        <s v="2B04B500-01"/>
        <s v="2B25-029-03"/>
        <s v="2B25-062-03"/>
        <s v="2B25-064-03"/>
        <s v="2B25-065-03"/>
        <s v="2B25-274-01"/>
        <s v="2B25-229-03"/>
        <s v="2B29-432-02"/>
        <s v="2B24-229-05"/>
        <s v="2B69M554-01"/>
        <s v="2B91-215-01"/>
        <s v="2B25-149-01"/>
        <s v="2B25-036-00"/>
        <s v="2B69A067-00"/>
        <s v="2B69M601-00"/>
        <s v="2B69M518-00"/>
        <s v="2B69M592-00"/>
        <s v="2B69M593-00"/>
        <s v="2B25-106-01"/>
        <s v="2B91-207A01"/>
        <s v="2B91-179-00"/>
        <s v="2B26-523-01"/>
        <s v="2B26-522-01"/>
        <s v="2B26-252-02"/>
        <s v="2B91-178-00"/>
        <s v="2B25-390-00"/>
        <s v="2B19H125-00"/>
        <s v="2B19H130-00"/>
        <s v="2B19H135-00"/>
        <s v="2B26-325-00"/>
        <s v="2B25-295-00"/>
        <s v="2B25-395-00"/>
        <s v="2B26-112-00"/>
        <s v="2B26-365-00"/>
        <s v="2B27-059-00"/>
        <s v="2B25-289-00"/>
        <s v="2B25-288-00"/>
        <s v="2B27-186-00"/>
        <s v="2B29-463-00"/>
        <s v="2B29-464-00"/>
        <s v="2B48-362-00"/>
        <s v="2B48-363-00"/>
        <s v="2B52-283A01"/>
        <s v="2B48-002-00"/>
        <s v="PXC-STAND00"/>
        <s v="2B25-128-01"/>
        <s v="2B25-129-01"/>
        <s v="2B26-190-01"/>
        <s v="2B91-085-03"/>
        <s v="2B69M579-01"/>
        <s v="2B24-225-06"/>
        <s v="2B48-500-02"/>
        <s v="2B19-170-07"/>
        <s v="2B26-330-00"/>
        <s v="2B25-040-07"/>
        <s v="2B26-361-00"/>
        <s v="2B25-100-01"/>
        <s v="2B48-530-02"/>
        <s v="2B91-027-02"/>
        <s v="2B25-093-01"/>
        <s v="2B26-229-04"/>
        <s v="2B69A075-00"/>
        <s v="2B19C145A00"/>
        <s v="2B91-019-02"/>
        <s v="2B25-086-00"/>
        <s v="2B69A084-00"/>
        <s v="2B69A092-00"/>
        <s v="2B26-228-03"/>
        <s v="2B26-191-01"/>
        <s v="2B25-421-00"/>
        <s v="2B27-154-01"/>
        <s v="2B91-241A02"/>
        <s v="2B04-462-02"/>
        <s v="2B29-426-00"/>
        <s v="2B69M638-00"/>
        <s v="2B19B145-00"/>
        <s v="2B26-121-00"/>
        <s v="2B27-116-01"/>
        <s v="2B25-083-01"/>
        <s v="2B91-190-01"/>
        <s v="2B25-010-0D"/>
        <s v="2B25-023-0B"/>
        <s v="2B25-289-01"/>
        <s v="2B25-288-01"/>
        <s v="2B30-021-06"/>
        <s v="2B69M642-00"/>
        <s v="2B26-128-01"/>
        <s v="2B27-127-02"/>
        <s v="2B19B105-00"/>
        <s v="2B19B120-00"/>
        <s v="2B19B160-00"/>
        <s v="2B40-040-00"/>
        <s v="2B91-087-02"/>
        <s v="2B26-471-01"/>
        <s v="2B26-470-01"/>
        <s v="2B29-427-02"/>
        <s v="2B26-452-01"/>
        <s v="2B26-421-01"/>
        <s v="2B69M644-00"/>
        <s v="2B19I125-00"/>
        <s v="2B19I130-00"/>
        <s v="2B19I135-00"/>
        <s v="2B69M649-00"/>
        <s v="2B69M476-01"/>
        <s v="2B69M522-01"/>
        <s v="2B25-527-00"/>
        <s v="2B26-019-00"/>
        <s v="2B69M518-01"/>
        <s v="2B69M520-01"/>
        <s v="2B26-330-01" u="1"/>
        <m u="1"/>
        <s v="2B25-108-02" u="1"/>
        <s v="2B04A185-01-R" u="1"/>
      </sharedItems>
    </cacheField>
    <cacheField name="Rev" numFmtId="0">
      <sharedItems containsBlank="1" count="12">
        <s v="0"/>
        <s v="1"/>
        <s v="2"/>
        <s v="7"/>
        <s v="5"/>
        <s v="8"/>
        <s v="3"/>
        <s v="6"/>
        <s v="R"/>
        <s v="4"/>
        <s v="" u="1"/>
        <m u="1"/>
      </sharedItems>
    </cacheField>
    <cacheField name="Part Name" numFmtId="0">
      <sharedItems containsBlank="1" count="955">
        <s v="FORK 20X28X48XM8/M12 "/>
        <s v="RESERVOIR OFFSET 28XM32X1.5X93 HPA 506 "/>
        <s v="RESERVOIR OFFSET 28XM32X1.5X87 H.P. "/>
        <s v="RETAINER-53-70"/>
        <s v="ALU TUBE M50X45X180"/>
        <s v="RETAINNER 46(-10)"/>
        <s v="O-EYE[+20]-26X18X78-M12"/>
        <s v="RETAINER 60 HT [STD]"/>
        <s v="FORK 48x28x48xM10/M12x1.25"/>
        <s v="CLAMP-16-TYPE-B"/>
        <s v="RESERVOIR TOP M48 W-COM 30 CLICK ALL NEW TOP LINE "/>
        <s v="RESERVOIR OFFSET 28XM32X93"/>
        <s v="FORK 32x28x48xM10xM12x1.25"/>
        <s v="RESERVOIR CLAMP 46XM5 "/>
        <s v="FORK 20X25X43XM8XM12"/>
        <s v="G BASE I-DOL H-L 25xM16"/>
        <s v="ALU LOCK SPACER M76X1.0 "/>
        <s v="BODY HOUSE 54X67X28XM5 LEFT FOR 456 SERIES HPA."/>
        <s v="BODY HOUSE 54X67X28XM5-RIGHT SIDE"/>
        <s v="RESERVOIR TOP M48X44.3X45.5 FOR PNEUMATIC PRELOAD 456 FULL RACING"/>
        <s v="ALU BODY HOUSE FOR 366 SERIES "/>
        <s v="FORK W/REBOUND 32X30X70X10/M16X1.5 "/>
        <s v="FORK W/REBOUND 32X30X70X12MM/M16X1.5 "/>
        <s v="FORK-W-REB-40X30X70X10MM-M16"/>
        <s v="AL MOVING BUSH 45X61X25.5 HPA 366 HT"/>
        <s v="FORK W-REB 24x30x70x10MM/M16x1.5 OFFSET 3 MM."/>
        <s v="RESERVOIR-TOP-IDOL-30-CLICK"/>
        <s v="FORK-20X28X48X10MM-M12"/>
        <s v="ALU BODY HOUE 54x83x28 M10"/>
        <s v="RESERVOIR TOP H-L M48XM20X10"/>
        <s v="RESERVOIR TOP IDOL H-L M48xM20x12 "/>
        <s v="FORK 28X28X48XM10XM12"/>
        <s v="C BOLT W-COM 29XM32XM35XM10"/>
        <s v="RESERVOIR 30x60 "/>
        <s v="RESERVOIR 30x70 "/>
        <s v="IDOL UPPER EYE M42X10XM10"/>
        <s v="O-EYE-20-23X18X43XM12X1.25-OFFSET 4.0"/>
        <s v="FORK SCREW 30X28X63X10MM/M16X1.0 "/>
        <s v="FORK-SCREW 40X45X88X12MM-M16 "/>
        <s v="FORK-SCREW-26X28X63X12MM-M16"/>
        <s v="FORK-SCREW 26X28X63X10MM-M16"/>
        <s v="FORK-SCREW 32X28X63X10MM-M16"/>
        <s v="FORK-SCREW 30X28X63X12MM-M16"/>
        <s v="FORK-SCREW 30X28X63X10MM-M16"/>
        <s v="FORK-SCREW 28X28X63X8MM-M16"/>
        <s v="FORK-SCREW 24X28X63X8MM-M16"/>
        <s v="FORK-SCREW 40X28X63X10MM-M16"/>
        <s v="FORK-SCREW 40X28X63X12MM-M16"/>
        <s v="FORK-SCREW 36X28X63X10MM-M16"/>
        <s v="SPCER FOR SPRING 39X52X10"/>
        <s v="SPACER RETAINER 52X47X10"/>
        <s v="FORK-NUT-48X28X46-M10-16"/>
        <s v="I DOL NUT H-L M16x1.0x48xM5xM42x1.5 LEFT"/>
        <s v="FORK 22X28X48XM10M12"/>
        <s v="RETAINER 50 "/>
        <s v="FORK 20X28X48XM10-M12"/>
        <s v="FORK (+40) 20X35X88XM10/M12X1.25 "/>
        <s v="NEW RESERVOIR 43X75/M44 "/>
        <s v="NEW RESERVOIR 43X85/M44 "/>
        <s v="NEW RESERVOIR 43X100/M44 "/>
        <s v="_x0009_ALU BODY HOUSE 50XM76"/>
        <s v="RETAINER-50-(-10)COLOR"/>
        <s v="RESERVOIR 46X200 FOR PNEUMATIC PRELOAD 456 FULL RACING"/>
        <s v="O-EYE W-BLACK SIDE REB. 34X30X58/M16X1.5 "/>
        <s v="RESERVOIR 46X75 W-FREE-PISTON-FOR-RACING-BLACK"/>
        <s v="Z-EYE 26X18X50XM10/M35X1.25 "/>
        <s v="O-EYE WITH SIDE REBOUND 26X18X85/M16 "/>
        <s v="O EYE W-SIDE REB26x18x70/M16x1.5"/>
        <s v="AL EYE BASE M12X1.25/M16X1.0  "/>
        <s v="O-EYE WITH SIDE REBOUND 26X18X75/M16 "/>
        <s v="O-EYE W RB 26x18x115-M16"/>
        <s v="G H-L 28XM5XM20XM48/M50X1.5 "/>
        <s v="G-EYE W-COM 26X18X45XM20XM48-M42"/>
        <s v="FORK-W-BS-RB-20X22X39XM10XM12-L"/>
        <s v="G EYE W-COM 26X18X45XM20XM48XM42-190 DEGREE COLOR"/>
        <s v="G-EYE W/COM 26X18X45XM20XM48/M42X1.5 170 DEGREE"/>
        <s v="RETAINER 46 (+5)"/>
        <s v="FORK WITH SIDE REBOUND 32X38X75XM12X1.25/M16 HT."/>
        <s v="ALU TUBE M29x1.0x31x390/M27x1.0 HT"/>
        <s v="FORK-SCREW 32X28X63X10MM-M16 SET"/>
        <s v="TOP MOUNT PLATE 130X30/M10X1.25/11 MATT RED"/>
        <s v="ALU TUBE M29x1.0x31x400/M27x1.0 HT"/>
        <s v="O EYE W REB 26X18X50/M16X1.5HT."/>
        <s v="ALU TUBE M22x20x25x215  MATT REB "/>
        <s v="ALU TUBE M32x30x253  MATT REB "/>
        <s v="ALU TUBE M32X30X283 MATT ."/>
        <s v="FORK W-SIDE REB 20X22X60X10MM/M16X1.5 HT."/>
        <s v="TOP MOUNT PLATE 130X30/M10X1.5/111 MATT RED"/>
        <s v="RETAINER 46 (COLOR)"/>
        <s v="ALU TUBE M50X45X120 "/>
        <s v="ALU TUBR M36X30XL FOR END CAP HARD BLACK"/>
        <s v="ALU TUBR M51X45X95 HARD BLACK"/>
        <s v="FORK SCREW (+10) 20X40X73XM8/M16 HT SET"/>
        <s v="ALU TUBR M51X45X170 HARD BLACK"/>
        <s v="ALU TUBE M50x45x140"/>
        <s v="ALU TUBE M50x45x135"/>
        <s v="ALU TUBE M50x45x125"/>
        <s v="ALU TUBR M51X45X185 HARD BLACK"/>
        <s v="BODY  HOUSE 18X7X125"/>
        <s v="BODY  HOUSE 18X7X140"/>
        <s v="BODY  HOUSE 18X7X167"/>
        <s v="BODY  HOUSE 18X7X200"/>
        <s v="G EYE TAPER 20X18X45XM5XM48/M35X1.25 190 DEGREE LEFT"/>
        <s v="G EYE TAPER 20X18X45XM5XM48/M35X1.25 170 DEGREE RIGHT"/>
        <s v="Z EYE TAPER 20X14X45XM5/M35X1.25"/>
        <s v="NEW G EYE TAPER 20X18X45XM5XM48/M35X1.25"/>
        <s v="Z NUT 33XM5/M35X1.25/M12X1.25"/>
        <s v="Z EYE 26X18X50XM5/M35X1.25 OOFSET 8 MM."/>
        <s v="G EYE TPER 20X18X45XM5XM48/M35X1.25 190 DEGREE LEFT"/>
        <s v="G EYE TPER 20X18X45XM5XM48/M35X1.25 170 DEGREE RIGHT"/>
        <s v="Z EYE 26X18X45XM5XM35X1.25"/>
        <s v="Z EYE 23X25X45XM5/M35X1.25"/>
        <s v="G EYE 26X18X50XM5XN44/M35X1.25"/>
        <s v="G EYE TAPER 20X18X45XM5XM38/M35X1.25 190 DEGREE LEFT"/>
        <s v="G EYE TAPER 20X18X45XM5XM38/M35X1.25 170 DEGREE RIGHT"/>
        <s v="G NUT 43XM5X48/M35X1.25/M16X1.0"/>
        <s v="G NUT 53XM5X48/M35X1.25/M16X1.0"/>
        <s v="G-NUT-W-COM 53X20XM48/M35X1.25/M16X1.0"/>
        <s v="G EYE TAPERN 20X14X45XM5XM48/M35X1.25"/>
        <s v="G EYE 26X22X45XM5XN48/M35X1.25 90 DEGREE "/>
        <s v="ALU TUBE DTG_PLUS 222 M35X30X31.5X145X20"/>
        <s v="ALU TUBE DTG_PLUS 222 M35X30X31.5X155X20"/>
        <s v="ALU TUBE DTG_PLUS 222 M35X30X31.5X160X20"/>
        <s v="ALU TUBE DTG_PLUS 222 M35X30X31.5X165X20 "/>
        <s v="ALU TUBE DTG_PLUS 222 M35X30X31.5X170X20  "/>
        <s v="ALU TUBE DTG_PLUS 222 M35X30X31.5X180X25 "/>
        <s v="Z NUT 48XM10/M50X1.5/M16X1.0"/>
        <s v="Z EYE (+10) 26X18X55XM10/M42X1.5"/>
        <s v="Z EYE (+20) 26X18X65XM5/M35X1.25 "/>
        <s v="Z NUT 43XM10/M42X1.5/M16X1.0"/>
        <s v="Z FORK 20X28X65X10MM/M35X1.25"/>
        <s v="Z EYE 30X18X45XM10/M42X1.5 "/>
        <s v="Z EYE 30X18X45XM10/M50X1.5 "/>
        <s v="Z EYE (+20) 26X118X65XM10/M42X1.5"/>
        <s v="Z FORK 24X25X55X10 MM/M50X1.5 OFFSET 3 MM."/>
        <s v="Z EYE (+30) 26X18X75XM10/M50X1.5"/>
        <s v="G NUT W-COM 45XM20XM48XM42XM16"/>
        <s v="SPACER CAP M24X1.0X18X75HT"/>
        <s v="BOTTOMEND CAP  M22X1.0 X30 HT"/>
        <s v="SPACER CAP M24X1.0X18X90 HT"/>
        <s v="SPACER CAP M24X1.0X18X110 HT"/>
        <s v="SPACER CAP M24X1.0X18X80 HT"/>
        <s v="SPACER CAP M24X1.0X35X45 HT"/>
        <s v="SPACER CAP M24X1.0X18X95 HT"/>
        <s v="SPACER CAP M24X1.0X18X80/24 HT"/>
        <s v="C BOLT 29XM5XM32/M35X1.25/M10X1.5"/>
        <s v="Z NUT 43XM10/M42X1.5/M16X1.0 "/>
        <s v="Z EYE (+20) 26X18X65XM10/M42X1.5"/>
        <s v="NEW C FORK 20X22X53XM8XM20XM44/M35X1.25"/>
        <s v="NEW C EYE 20X27X50XM5XM20XM44/M35X1.25"/>
        <s v="G EYE TAPER 20x18x45xM5xM38/M35 190 DEGREE"/>
        <s v="B EYE 26X18X40/M42X1.5"/>
        <s v="Z NUT 35XM5/M42X1.5/M12X1.25"/>
        <s v="Z EYE 26X18X51.5XM5/M42X1.5 OFF SET"/>
        <s v="ALU TUBE M22X20X25X350 RED"/>
        <s v="Z-NUT 48XM10/M50X1.5/M16"/>
        <s v="Z EYE 26X18X45XM10/M50X1.5 "/>
        <s v="Z EYE (+5) 26X18X50XM10/M50X1.5"/>
        <s v="Z EYE 26X18X52XM10/M50X1.5 MTO SP."/>
        <s v="Z FORK 24X25X55X10MM/M50X1.5 OFFSET 3 MM"/>
        <s v="G EYE TAPER 20X18X50XM5XM44/M35X1.25"/>
        <s v="ALU TUBE M50x45x130"/>
        <s v="OUTER TUBE 45X52/60X50 MATT RED"/>
        <s v="FORK-WREB 30X28X68X12MM/M12X1.25 SPACIAL HT"/>
        <s v="G NUT 48XM5XM44/M35X1.25"/>
        <s v="HT C EYE 20X27X50XM5XM44/M35X1.25"/>
        <s v="PRELOAD MX -56/M42X1.5X20XM6 SET HT "/>
        <s v="BODY HOUSE 63X75X30XM8 HT"/>
        <s v="BODY HOUSE 63X75X30XM10 HT"/>
        <s v="C BOTTOM 21XM5XM32/M35X1.25 HT"/>
        <s v="G-W-COM 30 CLICK 28XM5XM20XM48/M50X1.5 COLOR"/>
        <s v="SPING GUIDE 31.6X44.75X50/39 HT."/>
        <s v="HOUSING COMPRESSION M29X1.0X203/M51C1.5 HT."/>
        <s v="FOEK W SIDE REB 30X38X75XM10X1.5/M16X1.5"/>
        <s v="FOEK W SIDE REB 23X38X75XM10X1.25/M16X1.5 HT"/>
        <s v="FOEK W SIDE REB 22X48X95XM10X1.25/M16X1.5 HT"/>
        <s v="FOEK W SIDE REB 25.5X55X90XM10X1.25/M16X1.5 HT"/>
        <s v="FOEK W SIDE REB 25X38X75XM10X1.5/M16X1.5 HT"/>
        <s v="FOEK W SIDE REB 30X38X75XM12X1.25/M16X1.5 HT"/>
        <s v="C-FORK  20X22X53XM8XM5XM44/M35X1.25 LEFT"/>
        <s v="MOVING BUSH 50X60X31 HT"/>
        <s v=" C-FORK 20X22X53XM8XM5XM44/M35X1.25  "/>
        <s v="MOVING BUSH 50X60X39 FOR 456 SERIES HPA HT"/>
        <s v="O EYE 34X30X55/M10X1.25 BLACK"/>
        <s v="O EYE 34X30X110/M10X1.25 BLACK"/>
        <s v="C OOLT 29XCM5XM44/M35X1.25 HT"/>
        <s v="C EYE W COM 16X28X40X55XM35X1.25 90 DEGREE HT."/>
        <s v="Z-NUT 43XM10/M42X1.5/M16X1.0"/>
        <s v="REB EYE BASE W SIDE REBOUND 50/M12X1.25/M16X1.0"/>
        <s v="FORK 30X28X48XM10X1.5/M12X1.25 HT."/>
        <s v="TOP CAP M44X1.0X20 HT."/>
        <s v="PRELOAD ADJUSTER M50X72X10 HT."/>
        <s v="O EYE TAPER W-BLACK SIDE REBOUND 34X30X58/M16X1.5 BLACK"/>
        <s v="Z NUT 50/M50X1.5/M12X1.25 BLACK "/>
        <s v="RESERVOIR 46X220 W FREE PISTON/53"/>
        <s v="Z EYE(+10) 26X18X55XM10/M50X1.5 (MTO.)"/>
        <s v="RESERVOIR TOP M48 W-COM 30 CKICK (MTO)"/>
        <s v="RESERVOIR 46X220 W-FREE PISTON/53 "/>
        <s v="NEW RESERVOIR 46X90/M48X1.0 COLOR"/>
        <s v="RESERVOIR RING (A)X(B)X2.5"/>
        <s v="IDOL EYE H-L 26X18X45XM5/M50X1.5 RIGHT "/>
        <s v="NEW C FORK 20X22X53XM8XM20XM44/M35X1.25 LEFT"/>
        <s v="NEEDLE 15 DEGREE 4.0 [L]"/>
        <s v="G EYE H-L 26X18X45XM20XM48/M42X1.5"/>
        <s v="Z EYE TAPER 30X27.5X65/M50X1.5/M10X1.25"/>
        <s v="PRELOAD ADJUSTER M50X72X10"/>
        <s v="ALU TUBE M22X20X25X215 REB"/>
        <s v="NEEDLE 9 DEGREE 4.0XL (Length)"/>
        <s v="Z EYE 34X27.5X65XM10/M5X1.5 "/>
        <s v="O EYE 22X16X42 W BLACK SIDE REBOUND M12X1.25 HT."/>
        <s v="G EYE W-COM 22X16XM20XM44/*M42X1.5 HT."/>
        <s v="BODY HOUSE 63X75X30XM8 HT."/>
        <s v="BODY HOUSE 63X75X30XM10 HT."/>
        <s v="HOUSE PRELOAD ADJUSTER M65X1.0 LEFT SIDE HT."/>
        <s v="HOUSE PRELOAD ADJUSTER M65X1.0  HT."/>
        <s v="ALU TUBE M50X1.5X45X150 / 20HT"/>
        <s v="FORK 30X45X83XM10X1.25 / M16X1.5 HT"/>
        <s v="FORK W-REB 20X28X68XM10/M12X1.25 "/>
        <s v="FORK W-REB  30X28X68XM10/M12X1.25 "/>
        <s v="FORK W-REB 26X28X68/M10/M12X1.25X1.25 "/>
        <s v="IDOL EYE H-L M16X1.0X48XM5XM50X1.5 RIGHT "/>
        <s v="O EYE 20X14X43/M12X1.25 HT"/>
        <s v="O EYE 20X18X43/M12X1.25 HT"/>
        <s v="NEW C FORK 20X22X53XM20XM44/M35X1.25 RIGHT"/>
        <s v="SPACER CAP M24X1.0X18X77 HT"/>
        <s v="PRELOAD MX-60 M51X1.5X20XM6 HT."/>
        <s v="O EYE W SIDE REB 26X18X50XM12X1.25 HT"/>
        <s v="PRELOAD LOCK M51X1.5X8 HT"/>
        <s v="CAP PRELOAD ADJUSTER M65X1.0X4.0 HT"/>
        <s v="I DOL EYE H L 26X18X45XM5/M50X1.5 LEFT [COLOR]"/>
        <s v="NEW C FORK20X22X53XM8XM5XM44/M35X1.25 LEFT"/>
        <s v="NEW C FORK20X22X53XM8XM5XM44/M35X1.25  RIGHT"/>
        <s v="NEW C EYE 20X27X50XM5XM44/M35X1.25 190 DEGREE"/>
        <s v="C-EYE 16X28X50XM5XM44/M35X1.25 225 DEGREE HT."/>
        <s v="G EYE W COM 22X16X60XM20XM44/M42X1.5 HT."/>
        <s v="G EYE 22X16X60XM5XM44/M42X1.5HT"/>
        <s v="O EYE 22X16X42W-LBACK SIDE REBOUND M12X1.25"/>
        <s v="Z NUT 50 M50X1.5/M12X1.25"/>
        <s v="Z EYE 34X27.5X65XM10/M50X1.5"/>
        <s v="O EYE 22X16X38/M12X1.25 HT"/>
        <s v="O EYE (+30)22X16X68/M12X1.25 HT"/>
        <s v="O EYE 22X16X72 W-BLACK SIDE REBOUND M12X1.25 HT"/>
        <s v="HOUSING COMPRESSION M31X1.0X213/M51X1.5 HT"/>
        <s v="ALU TUBE M31X1.0X31X400/M27X1.0 HT"/>
        <s v="G H L 30XM5XM28XM60/M51X1.5 HT"/>
        <s v="G EYE W COM 22X16X60XM5XM44/M42X1.5 HT."/>
        <s v="LOCKRING M51X1.5X8.0 HT."/>
        <s v="COMPRESSION HOUSE M28X1.0/M20X1.0/26 COLOR"/>
        <s v="LOW-SPEED ADJUSTER COVER 18.5X26X24 HT."/>
        <s v="HI-SPEED ADJUSTER COVER 12X25.6X33 HT."/>
        <s v="FORK W REB 30X30X70X12MM / M16X1.5 HT"/>
        <s v="FORK W REB 28X30X70X10MM / M16X1.5 HT"/>
        <s v="FORK W REB 30X30X70X10MM / M16X1.5 HT"/>
        <s v="ALU TUBE M22X20X25X350 "/>
        <s v="ALU TUBE M22X20X25X215 "/>
        <s v="ALU TUBE M22X20X25X215 RED"/>
        <s v="RESERVOIR 58X100/M60X1.0/60X1.0 BLACK"/>
        <s v="SPACER 36X0.D. PD360"/>
        <s v="BOBY HOUSE PRELOAD ADJUSTER M65X1.0/32 LEFT HT"/>
        <s v="BOBY HOUSE PRELOAD ADJUSTER M65X1.0/32 RIGHT HT"/>
        <s v="FROK W REB 25X30X70X10MM/M16X1.5 HT"/>
        <s v="PRELOAD LOCK M51X1.5X12 HT."/>
        <s v="PRELOAD LOCK FOR HPA.M50X1.5X15.5/M6X1.0 HT"/>
        <s v="CAP PRELOAD ADJUSTER M65X1.0X51/5.5 HT."/>
        <s v="ALU TUBE M52X45X205 HT"/>
        <s v="LOCK RING M52X1.5X8.0 HT."/>
        <s v="ALU TUBE M32X30X300 MATT REB"/>
        <s v="FREE PISTON 58X22/M5X0.8 HT."/>
        <s v="PRELOAD LOCK M52X1.5X12 HT."/>
        <s v="I DOL EYE H L 26X18X45XM5/M50X1.5 LEFT HT."/>
        <s v="O EYE W SIDE REB 26X18X70/M16X1.5 45 DEGREE "/>
        <s v="ALU TUBE M51X45X205 HT."/>
        <s v="NEEDLE 15 DEGREE 4.0[L]"/>
        <s v="RETAINER-42 (+20)"/>
        <s v="Z-EYE-20-26X18X65XM5XM35"/>
        <s v="Z EYE 23X25X45XM5XM35X1.25"/>
        <s v="Z-EYE-TAPER-20X14X50XM35"/>
        <s v="O EYE 34X30X55/M10X1.25"/>
        <s v="O EYE 34X30X110/M10X1.25"/>
        <s v="PRELOAD LOCK M50X1.5/M6X1.0 HT"/>
        <s v="FORK-W-REB-2024X58X8MM-M12X1.25 HT"/>
        <s v="O-EYE-W-BLACK-SIDE-REB-34X30X58-M16"/>
        <s v="NEW RESERVOIR 43X65-M44 W-FREE PISTON BLACK"/>
        <s v="NEEDLE 9 DEGREE4.0X[L]_x0009_"/>
        <s v="FORK-SCREW-25X28X63X10MM/M16"/>
        <s v="O-EYE-SCREW-26X18X60XM16"/>
        <s v="FORK W-REB 39x30x70x10MM./M16x1.5 HT."/>
        <s v="Z EYE 30X27X65XM50-M10"/>
        <s v="O EYE 22X16X42/M12X1.25 HT"/>
        <s v="O EYE (+30)22X16X72/M12X1.25 HT"/>
        <s v="Z EYE 22X16X60XM5/M42X1.5"/>
        <s v="HT.G EYE H-L 26X18X50XM20XM44/M42X1.5 90 DEGREE"/>
        <s v="FORK SCREW 25X28X63X10MM/M16X1.0 SET HT"/>
        <s v="FORK-W-REB-30X30X70X15MM-M16X1.5"/>
        <s v="O EYE SCREW (+10) 26X18X70/M16X1.0 SET HT (7075)"/>
        <s v="O EYE SCREW (+20) 26X18X80/M16X1.0 SET HT (7075)"/>
        <s v="EYE BASE 50/M10X1.25 HT."/>
        <s v="NEEDLE 1 DEGREE 4.0X(L)"/>
        <s v="FORK-W-REB-25X30X70X10MM-M16"/>
        <s v="FORK SCREW 30X28X63XM10/M16X1.0 SET"/>
        <s v="FORK SCREW 30X28X63X12/M16X1.0 SET"/>
        <s v="FORK SCREW (+5) 30X33X68X10MM/M16X1.0 SET"/>
        <s v="FORK SCREW 36X28X63X12MM/M16X1.0 SET"/>
        <s v="FORK SCREW 28X28X63X8MM/M16X1.0 SET"/>
        <s v="FORK SCREW 30X28X63X10MM/M16X1.0 SET"/>
        <s v="FORK SCREW 25X28/X63X12MM/M16X1.0 SET"/>
        <s v="FORK SCREW 25X28X63X12MM/M16X1.0 SET"/>
        <s v="HOUSING COMPRESSION M31X1.0X213/M51X1.5 "/>
        <s v="ALU TUBE M31X1.0X31X400/M27X1.0"/>
        <s v="TOP CAP M44X1.0X20 HT"/>
        <s v="PRELOAD 46/M42X1.5X13XM6 FOR 362,366 SET"/>
        <s v="_x0009_RETAINER 46-57-HT-362-366 TOPLINE BLACK"/>
        <s v="RETAINER 56 ALL NEW 456 SERIES"/>
        <s v="RETAINER 53/67  FOR 456 SPRING 53"/>
        <s v="C-EYE-TAPER-20X18X50XM5XM44XM35X1.25"/>
        <s v="RESERVOIR CLAMP 46 HOLE 16"/>
        <s v="FORK SCREW 22x28x63xM10/M16x1.0 SET"/>
        <s v="O EYE W-REB 30x18x53/M12x1.25 "/>
        <s v="O EYE SCREW TAPER 20x14x38/M16x1.0x16.5 SET"/>
        <s v="G NUT 37.5xM5xM48/M35x1.25/M16x1.0"/>
        <s v="RESERVOIR-CLAMP-46-HOLE-20"/>
        <s v="C BOLT W-COM 29xM5xM44/M35X1.25/M10X1.5"/>
        <s v="G EYE W-COM 26x18x50xM20xM44/M42x1.5"/>
        <s v="O-EYE 44x30x60/M10x1.25 "/>
        <s v="O-EYE 34x30x55/M10x1.25 FOR DEMO"/>
        <s v="FORK SCREW 25X22X62X12/M16X1.0 SET"/>
        <s v="I DOL EYE H L 26X18X45XM5/M50X1.5 43 LEFT "/>
        <s v="RESERVOIR 26xM28x1.0x72/M8x1.0/6.5 "/>
        <s v="FORK W-SIDE REB 30X30X75X10MM/M16X1.5"/>
        <s v="OUTTER TUBE 39x56x462"/>
        <s v="RETAINER 40x49x35/M10x1.25"/>
        <s v="STEERING DAMPER CLAMP 16 TYPE A"/>
        <s v="Z EYE (+20) TAPER 20x18x65xM5/M35x1.25"/>
        <s v="NEW PRELOAD 42/M35x1.25x14xM6"/>
        <s v="RESERVOIR TOP M32xM20 W-COM 30 CILCK FOR BRACKET VU"/>
        <s v="O-EYE TAPER 20x14x43/M12x1.25/OFFSET 5 MM."/>
        <s v="NEW C EYE TAPER 20x18x45/M5xM44/M35 190 DEGREE OFFSET 5 MM"/>
        <s v="NEW C EYE TAPER 20x18x45/M5xM44/M35 170 DEGREE OFFSET 5 MM"/>
        <s v="RESERVOIR TOP M16XM32 FOR SIDE"/>
        <s v="MOUNTING BLOCK 9x20x30/M5x0.8"/>
        <s v="NEW G EYE W COM 20X27X50XM5XM44/M35X1.25 190 DEGREE"/>
        <s v="NEW G FORK W COM 20x22x53xM8xM20xM44/M35x1.25 RIGHT"/>
        <s v="NEW G EURO FORK W-COM 20x22x53xM8xM20xM44/M35x1.25 LEFT"/>
        <s v="FORK W-REBOUND 32X28X68X10MM/M12X1.25 "/>
        <s v="FORK W-REB 22x28x68x10MM/M12x1.25"/>
        <s v="FORK W/REBOUND 26X28X68X10MM/M12 "/>
        <s v="NEW G FORK W-COM 20x22x53xM8xM20xM44/M35x1.25 LEFT"/>
        <s v="NEW EURO G EYE W-COM 20x27x45xM5xM44/M35x1.25 25 DEGREE"/>
        <s v="Z EYE+20 26x18x65xM10x1.0/M35x1.25 OFFSET 4 MM."/>
        <s v="Z EYE+20 26x27x65xM10x1.0/M35x1.25 OFFSET 4 MM. LEFT"/>
        <s v="ALU TUBE M35x30xL FOR ENDCAP"/>
        <s v="Z EYE 26x34x45xM10/M35x1.25 OFFSET 3 MM HT"/>
        <s v="NEEDLE 9 DEGREE4.0X[L]"/>
        <s v="NEW EURO G EYE W-COM 20x27x45xM5xM44/M35x1.25 20 DEGREE"/>
        <s v="FORK NUT 48x28x46x9/16 OFF-SET 4MM HT."/>
        <s v="ALU TUBE M51x45x280/20HT"/>
        <s v="ALU TUBE M51x45x300/M47x1.0"/>
        <s v="NEW EURO G EYE 20x27x45xM5xM44/M35x1.25 25 DEGREE "/>
        <s v="FORK W-BLACK SIDE REB 20x22x49xM8/M12x1.25"/>
        <s v="RETAINER +10+20 COLOR "/>
        <s v="ALU TUBE M35X30X140 FOR END CAP RING"/>
        <s v="ALU TUBE M35X30X140 -M33X1.0"/>
        <s v="G EURO EYE W-COM 26x18x45xM5xM44/M35x1.25"/>
        <s v="G-EYE H-L 20x22x45xM20xM44/M42x1.5"/>
        <s v="OUTER TUBE 45X55X500 /M47x1.5 "/>
        <s v="ALU TUBE M32X30X283-8 MATT- RED"/>
        <s v="G NUT W-COM 35xM20xM48/M42x1.5/M16x1.0/10"/>
        <s v="O EYE SCREW 20x22x33/M16x1.0 SET"/>
        <s v="Z EYE 26x18x45xM10/M42x1.5/10"/>
        <s v="Z EYE 46x25x65/M50x1.5/M10x1.25"/>
        <s v="RESERVOIR TOP M48 W-COM 30 CKICK "/>
        <s v="ALU TUBE M32X30X283-8 "/>
        <s v="Z EYE(+5) TAPER 20x14x50xM5/M35x1.25 BLACK"/>
        <s v="O EYE W-SIDE REB 26x18x45/M12x1.25"/>
        <s v="ALU TUBE M35x30x95/36 FOR END CAP"/>
        <s v="PRELOAD 50/M35x1.25x13xM6 "/>
        <s v="NEW RETAINER 50"/>
        <s v="Z EYE +5 TAPER 20x14x50xM5/M35x1.25"/>
        <s v="ALU TUBE M35x30x100/35 FOR END CAP "/>
        <s v="ALU TUBE M35x30x085/35 FOR END CAP "/>
        <s v="ALU TUBE M35x30x090/35 FOR END CAP "/>
        <s v="ALU TUBE M35x30x110/35 FOR END CAP "/>
        <s v="ALU TUBE M35x30x115/35 FOR END CAP "/>
        <s v="ALU TUBE M35x30x120/35 FOR END CAP "/>
        <s v="OUTTER TUBE 39x56x380 "/>
        <s v="NEW PRELOAD 42/M35x1.25x13xM6"/>
        <s v="NEW RETAINER 46 FOR G SPORT"/>
        <s v="NEW RETAINER 50 FOR G SPORT"/>
        <s v="NEW RETAINER 50 (+20) FOR G SPORT"/>
        <s v="ALU TUBE M35x30x105/35 FOR END CAP "/>
        <s v="MOVIMG BUSH 45x60x22.5"/>
        <s v="BODY HOUSE 45x60x24xM10"/>
        <s v="PRELOAD LOCK M42x8xM6"/>
        <s v="FORK 20x25x47xM8/M32x1.0"/>
        <s v="O EYE SCREW 26x18x43/M32x1.0"/>
        <s v="Z EYE 26x18x55xM8/M50"/>
        <s v="ALU TUBE 45x51x120/M50x1.5"/>
        <s v="BODY HOUSE 59x62x24xM10 "/>
        <s v="FORK W-BLACK SIDE REB 20x22x49xM8/M12x1.25 LEFT"/>
        <s v="FORK W-BLACK SIDE REB 20x22x49xM8/M12x1.25 RIGHT"/>
        <s v="MOVING BUSH 45X60X22.5"/>
        <s v="O EYE (+10) TAPER 20x18x68/M12x1.25"/>
        <s v="Z EYE TAPER 20x18x45xM5/M35x1.25"/>
        <s v="PRELOAD 55/M42x1.5 SET"/>
        <s v="G EYE TAPER 20x18x45xM5xM48xM35"/>
        <s v="FORK 20x25x63xM8/M12"/>
        <s v="NEW EURO G EYE 20x27x45xM5xM44/M35x1.25 110 DEGREE"/>
        <s v="O EYE W-REB 20x14x48/M12x1.25"/>
        <s v="O EYE H-L(+5)TAPER 20x18x30/38"/>
        <s v="G EYE W-COM TAPER (+4)20x18x49xM20xM48"/>
        <s v="ALU TUBE M42x36xL1"/>
        <s v="NEW RETAINER 46 "/>
        <s v="G EYE TPER 20X18X45XM5XM48/M35X1.25 190 DEGREE"/>
        <s v="G EYE TPER 20X18X45XM5XM48/M35X1.25 170 DEGREE"/>
        <s v="O-EYE 40x30x55/M10x1.25"/>
        <s v="O EYE 40X30X110/M10X1.25"/>
        <s v="NEW RESERVOIR 46X75/M48"/>
        <s v="NEW RESERVOIR 46X90/M48"/>
        <s v="NEW RESERVOIR 36X110/M38X1.0 "/>
        <s v="NEW RESERVOIR 43X120/M44 "/>
        <s v="Z EYE 26X18X45XM10XM42 "/>
        <s v="G - H-L 28XM5XM20XM48/M42X1.5 "/>
        <s v="RETAINER 50 (+20)  "/>
        <s v="RESERVOIR TOP M48XM5"/>
        <s v="PRELOAD 40/M35X1.25X14XM6 /SET/"/>
        <s v="PRELOAD 50/M35X1.25X13XM6 WITH WORM SCREW M6/SET "/>
        <s v="PRELOAD 56/M50X1.5X17.5XM6 SET/"/>
        <s v="ALU TUBE-M35X30X120"/>
        <s v="ALU TUBE-M35X30X125  "/>
        <s v="ALU TUBE-M35X30X130"/>
        <s v="ALU TUBE-M35X30X135"/>
        <s v="ALU TUBE-M35X30X140"/>
        <s v="ALU TUBE DTG_PLUS 220 M35X30X205X20"/>
        <s v="ALU TUBE DTG_PLUS 220 M35X30X140X20"/>
        <s v="ALU TUBE DTG-PLUS 220 M35X30X145X20 "/>
        <s v="ALU TUBE DTG_PLUS 220 M35X30X150X20"/>
        <s v="ALU TUBE DTG_PLUS 220 M35X30X155X22  "/>
        <s v="ALU TUBE DTG_PLUS 220 M35X30X160X20  "/>
        <s v="ALU TUBE DTG_PLUS 220 M35X30X165X20  "/>
        <s v="ALU TUBE DTG_PLUS 220 M35X30X170X20 "/>
        <s v="ALU TUBE DTG_PLUS 220 M35X30X175X20"/>
        <s v="ALU TUBE DTG_PLUS 220 M35X30X180X20  "/>
        <s v="ALU TUBE DTG_PLUS 220 M35X30X200X20  "/>
        <s v="ALU TUBE-M35X30X150"/>
        <s v="ALU TUBE-M35X30X155"/>
        <s v="ALU TUBE-M35X30X160"/>
        <s v="ALU TUBE-M35X30X165"/>
        <s v="ALU TUBE-M35X30X175"/>
        <s v="ALU TUBE-M35X30X180"/>
        <s v="ALU TUBE-M35X30X190"/>
        <s v="ALU TUBE-M35X30X195"/>
        <s v="ALU TUBE-M35X30X200"/>
        <s v="ALU TUBE-M35X30X215"/>
        <s v="ALU TUBE-M35X30X205"/>
        <s v="ALU TUBE-M35X30X220"/>
        <s v="ALU TUBE-M35X30X210"/>
        <s v="ALU TUBE-M35X30X145"/>
        <s v="ALU TUBE-M35X30X110"/>
        <s v="ALU TUBE-M35X30X115"/>
        <s v="Z EYE 40x30x65/M50/M10"/>
        <s v="NEW RESERVOIR 46X65/M48"/>
        <s v="NEW RESERVOIR 46X105/M48"/>
        <s v="NEW RESERVOIR 46X120/M48"/>
        <s v="LOCK RING 50X8/M4X0.7 "/>
        <s v="NEW G FORK W-COM 20x21x48xM8xM20xM44/M35 RIGHT 110 DEGREE"/>
        <s v="C FORK 20x21x48xM8xM5xM44/M35 110 DEGREE RIGHT"/>
        <s v="ALL NEW RETAINER 46 +5"/>
        <s v="G EYE W-COM TAPER (+4)20x18x49xM20xM48/Mx1.5"/>
        <s v="O EYE W-REB TAPER 20x14x48/M12x1.25"/>
        <s v="ALL NEW RETAINER 46"/>
        <s v="PRELOAD 46/M35x1.25x14.5xM6 WITH WORM  SCREW M6 SET"/>
        <s v="SDPACER NEW PCX -2021"/>
        <s v="G EYE H-L 26X18X50XM20XM48/M50x1.5/30 DEGREE"/>
        <s v="OUTER TUBE 45X59.5X500 /M47x1.5 "/>
        <s v="ALU TUBE M42x36x140"/>
        <s v="FRONT SPACER PCX-2021"/>
        <s v="I DOL EYE H-L 26x18x45xM5/M42x1.5 LEFT"/>
        <s v="FORK W-REB 22.5x30x70xM12x1.25/M16x1.5"/>
        <s v="O-EYE H-L (+10) 26x18x35/38"/>
        <s v="FORK SCREW 26x28x63xM10/M16x1.0 SPECIAL SET"/>
        <s v="ALU TUBE DTG_PLUS 220 M35X30X31.5X145X20 "/>
        <s v="FORK 20x25x47xM8/M32x1.25"/>
        <s v="FORK W-REB 32x30x70x12/M16x1.5(SP)"/>
        <s v="Z EYE 26x18x65xM8/M50x1.5 "/>
        <s v="OUTER TUBE 34x52.5x425/M36x1.0"/>
        <s v="OUTER TUBE 34x52.5x385/M36x1.0"/>
        <s v="Z EYE 14x15x40xM5/M35x1.25"/>
        <s v="O EYE 14x15x34 W-BLACK SIDE REBOUND M12x1.25"/>
        <s v="O EYE 14x15x34/M12x1.25"/>
        <s v="ALU TUBE M35x30x95/45 FOR END CAP HT"/>
        <s v="RESERVOIR CLAMP 46 HOLE 13"/>
        <s v="Z EYE 40x30x65xM10/M50x1.5"/>
        <s v="O EYE W-BLACK SIDE REB 40x30x59/48xM16x1.5"/>
        <s v="O EYE W-BLACK SIDE REB 40x30x59/M16x1.5"/>
        <s v="O EYE 40x30x55/M10x1.25"/>
        <s v="BOTTOM FORK AXLE CLAMP RIGHT 31x115xM43"/>
        <s v="BOTTOM FORK AXLE CLAMP LEFT 18x115xM43"/>
        <s v="ALU TUBE M51X45X200 HT."/>
        <s v="ALU TUBE M51X45X195 HT."/>
        <s v="REB EYE BASE W SIDE REBOUND 50/M16x1.5/M16x1.0"/>
        <s v="ALU TUBE M35x30x140/35 FOR END CAP M32x1.0"/>
        <s v="G EYE H-L 26x18x55xM20xM44/M50x1.5"/>
        <s v="O EYE SCREW 22x16x35.5/M16x1.0"/>
        <s v="Z EYE 22x16x40xM10M42x1.5/10 DEGREE"/>
        <s v="REB EYE BASE W-SIDE REBOUND 50/M16x1.5/M16x1.0"/>
        <s v="G EYE W-COM 26X18X45XM20XM48XM42 90 DEGREE "/>
        <s v="IDOL EYE H-L 26X18X45XM5XM42X1.5 LEFT HT"/>
        <s v="IDOL EYE H-L 26x18x45xM5xM42x1.5 RIGHT"/>
        <s v="G EYE W-COM 26X18X45XM20XM38-M42-200 DG LEFFT"/>
        <s v="G EYE H-L 26X18X50XM20XM44XM42"/>
        <s v="G EYE H-L +35 26x18x85xM20xM44/M42x1.5 MTO"/>
        <s v="G EYE W-COM 26X18X45XM20XM38-M42-170 DG COLOR"/>
        <s v="OUTER TUBE 45X55X540 /M47x1.5 "/>
        <s v="O EYE W SIDE REB 26X18X50XM12X1.25 "/>
        <s v="ALU TUBE M22X20X25X260 RED"/>
        <m/>
        <s v="ALU TUBE M22X20X25X300 RED"/>
        <s v="O-EYE WITH SIDE REBOUND 26X18X115XM16"/>
        <s v="O-EYE WITH SIDE REBOUND 26X18X50XM16-45DEGREE"/>
        <s v="O-EYE W-REB 26X18X53XM12 OFFSET 4 MM_x0009_"/>
        <s v="O EYE SCREW 26x18x60/M16x1.0 SET_x0009_"/>
        <s v="ALU TUBE M35x30x205 END CAP M"/>
        <s v="HD RADIAN CALIPER MOUNT LEFT 108xM10"/>
        <s v="HD RADIAN CALIPER MOUNT RIGHT 108xM10"/>
        <s v="BOTTOM FORK AXLE CLAMP LEFT 31x115xM43"/>
        <s v="HD RADIAL CALIPER MOUNTS LEFT 118x23x8x6"/>
        <s v="HD RADIAL CALIPER MOUNTS RIGHT 118x23x8x6"/>
        <s v="ALU TUBE-M35X30X155-30 FOR CAP M33"/>
        <s v="ALU TUBE COVER 45x59x130/M53x1.0"/>
        <s v="Z-EYE TAPER 20X18X55-M35-M53X1.0"/>
        <s v="FORK W-BLACK SIDE REB 20x22x61xM8/M12/M40 RIGHT"/>
        <s v="FORK W-BLACK SIDE REB 20x22x61xM8/M12/M40 LEFT"/>
        <s v="ALU TUBE-M35X30X155-30 FOR CAP M32"/>
        <s v="C FORK 20x21x48xM8xM5xM44/M35 110 DEGREE LEFT"/>
        <s v="Z EYE (+10)20x18x55xM5/M35x1.25/195 DEGREE"/>
        <s v="Z EYE (+10)20x18x55xM5/M35x1.25/165 DEGREE"/>
        <s v="NEW G FORK W-COM 20x21x48xM8xM20xM44/M35x1.25 250 RIGHT"/>
        <s v="G EYE REBOUND/COM 40x30x55xM20xM48/M50x1.5"/>
        <s v="G EYE REBOUND/COM TAPER 30x30x55xM20xM48/M50x1.5"/>
        <s v="ALU TUBE M35x30x200 FOR END CAP M32x1.0"/>
        <s v="RETAINER 42"/>
        <s v="RETAINER 56 (-8)"/>
        <s v="RETAINER 56 (+7)"/>
        <s v="RETAINER 56 (-7)"/>
        <s v="RETAINER 40"/>
        <s v="G EYE W-COM(+5) 26x18x50xM24xM48/M42x1.5 150 DEGREE"/>
        <s v="G EYE W-COM(+5) 26x18x50xM24xM48/M42x1.5 210 DEGREE"/>
        <s v="G EYE H-L (+5) 26x18x50xM24xM48/M42x1.5 150 DEGREE"/>
        <s v="G EYE H-L (+5) 26x18x50xM24xM48/M42x1.5 210 DEGREE"/>
        <s v="O EYE 26x18x58/M12"/>
        <s v="FORK 30x25x55x12MM/M16 SPECIAL 22 DEGREE"/>
        <s v="Z EYE TAPER 20x18x55xM8/M35/M53"/>
        <s v="ALU TUBE M35x30x170/30 FOR CAP M32"/>
        <s v="ALU TUBE M35x30x155/30 FOR CAP M32"/>
        <s v="ALU TUBE M35x30x180/30 FOR CAP M32"/>
        <s v="ALU TUBE COVER 45x59x150/M53x1.0"/>
        <s v="ALU TUBE COVER 45x59x200/M53x1.0"/>
        <s v="X EYE 20x22x38xM10/M35x1.25"/>
        <s v="ALU TUBE M42x36x90"/>
        <s v="ALU TUBE M42x36x95"/>
        <s v="ALU TUBE M42x36x100"/>
        <s v="ALU TUBE M42x36x110"/>
        <s v="ALU TUBE M42x36x115"/>
        <s v="ALU TUBE M42x36x120"/>
        <s v="ALU TUBE M42x36x125"/>
        <s v="ALU TUBE M42x36x130"/>
        <s v="ALU TUBE M42x36x135"/>
        <s v="ALU TUBE M42x36x145"/>
        <s v="ALU TUBE M42x36x150"/>
        <s v="ALU TUBE M42x36x155"/>
        <s v="ALU TUBE M42x36x160"/>
        <s v="ALU TUBE M42x36x165"/>
        <s v="ALU TUBE M42x36x170"/>
        <s v="ALU TUBE M42x36x175"/>
        <s v="ALU TUBE M42x36x180"/>
        <s v="ALU TUBE M42x36x185"/>
        <s v="ALU TUBE M42x36x190"/>
        <s v="ALU TUBE M42x36x195"/>
        <s v="ALU TUBE M42x36x200"/>
        <s v="ALU TUBE M42x36x205"/>
        <s v="ALU TUBE M42x36x210"/>
        <s v="ALU TUBE M42x36x215"/>
        <s v="ALU TUBE M42x36x220"/>
        <s v="ALU TUBE M42x36x225"/>
        <s v="ALU TUBE M42x36x230"/>
        <s v="ALU TUBE M42x36x235"/>
        <s v="ALU TUBE M42x36x240"/>
        <s v="ALU TUBE M42x36x245"/>
        <s v="ALU TUBE M42x36x250"/>
        <s v="ALU TUBE M42x36x255"/>
        <s v="ALU TUBE M42x36x270"/>
        <s v="ALU TUBE M42x36x275"/>
        <s v="ALU TUBE M42x36x280"/>
        <s v="ALU TUBE M42x36x290"/>
        <s v="ALU TUBE M42x36x300"/>
        <s v="ALU TUBE M42x36x310"/>
        <s v="ALU TUBE M42x36x320"/>
        <s v="ALU TUBE M42x36x330"/>
        <s v="ALU TUBE M42x36x340"/>
        <s v="ALU TUBE M42x36x350"/>
        <s v="ALU TUBE M35x30x90 FOR END CAP M32x1.0"/>
        <s v="ALU TUBE M35x30x95 FOR END CAP M32x1.0"/>
        <s v="ALU TUBE M35x30x100 FOR END CAP M32x1.0"/>
        <s v="ALU TUBE M35x30x105 FOR END CAP M32x1.0"/>
        <s v="ALU TUBE M35x30x110 FOR END CAP M32x1.0"/>
        <s v="ALU TUBE M35x30x115 FOR END CAP M32x1.0"/>
        <s v="ALU TUBE M35x30x120 FOR END CAP M32x1.0"/>
        <s v="ALU TUBE M35x30x125 FOR END CAP M32x1.0"/>
        <s v="ALU TUBE M35x30x130 FOR END CAP M32x1.0"/>
        <s v="ALU TUBE M35x30x135 FOR END CAP M32x1.0"/>
        <s v="ALU TUBE M35x30x145 FOR END CAP M32x1.0"/>
        <s v="ALU TUBE M35x30x150 FOR END CAP M32x1.0"/>
        <s v="ALU TUBE M35x30x155 FOR END CAP M32x1.0"/>
        <s v="ALU TUBE M35x30x160 FOR END CAP M32x1.0"/>
        <s v="ALU TUBE M35x30x165 FOR END CAP M32x1.0"/>
        <s v="ALU TUBE M35x30x170 FOR END CAP M32x1.0"/>
        <s v="ALU TUBE M35x30x175 FOR END CAP M32x1.0"/>
        <s v="ALU TUBE M35x30x180 FOR END CAP M32x1.0"/>
        <s v="ALU TUBE M35x30x185 FOR END CAP M32x1.0"/>
        <s v="ALU TUBE M35x30x190 FOR END CAP M32x1.0"/>
        <s v="ALU TUBE M35x30x195 FOR END CAP M32x1.0"/>
        <s v="ALU TUBE M35x30x205 FOR END CAP M32x1.0"/>
        <s v="ALU TUBE M35x30x215 FOR END CAP M32x1.0"/>
        <s v="ALU TUBE M35x30x220 FOR END CAP M32x1.0"/>
        <s v="ALU TUBE M35x30x225 FOR END CAP M32x1.0"/>
        <s v="ALU TUBE M35x30x240 FOR END CAP M32x1.0"/>
        <s v="ALU TUBE M35x30x300 FOR END CAP M32x1.0"/>
        <s v="G EYE TAPER W-COM 20x18x50xM16xM48/M35x1.25"/>
        <s v="RETAINER 50/61x34x13"/>
        <s v="NEW PRELOAD 50/M35x1.25x13xM6 WITH WORM SCREW M6 SET"/>
        <s v="RETAINER 46/56x34x31"/>
        <s v="RETAINER 46/57x34x21"/>
        <s v="IDOL EYE H-L M16X1.0X48XM5XM50X1.5 LEFT"/>
        <s v="RETAINER 46/56x34x21"/>
        <s v="FORK 20X22X40XM8XM12 "/>
        <s v="G EYE TAPER W-COM (+5) 20x18x50xM16xM48/M35x1.25 150 DEGREE"/>
        <s v="G EYE TAPER W-COM (+5) 20x18x50xM16xM48/M35x1.25 210 DEGREE"/>
        <s v="G EYE TAPER W-COM (+5) 20x18x50xM16xM48/M35x1.25 DENTED"/>
        <s v="G EYE TAPER W-COM (+5) 20x14x50xM16xM48/M35x1.25"/>
        <s v="G NUT  W-COM (+5) 53xM5xM48/M35x1.25/M16x1.0"/>
        <s v="G EYE TAPER (+5) 20x18x50xM6xM48/M35x1.25 150 DEGREE"/>
        <s v="G EYE TAPER (+5) 20x18x50xM6xM48/M35x1.25 210 DEGREE"/>
        <s v="G EYE TAPER (+5) 20x18x50xM6xM48/M35x1.25 DENTED"/>
        <s v="G EYE TAPER (+5) 20x14x50xM16xM48/M35x1.25"/>
        <s v="RETAINER 50/61x34x31 (+20)"/>
        <s v="PRELOAD 50/M42x1.5x16xM6 SET"/>
        <s v="G EYE TAPER +5 20x18x50xM6xM48/M35x1.25"/>
        <s v="OUTER TUBE 45X55X540-M47"/>
        <s v="OUTTER TUBE 39x56x450"/>
        <s v="HOUSING COMPRESSIONV M31x1.0x213/M31x1.5/M5x0.8"/>
        <s v="G EYE (+10) TAPER 20x18x55xM6/M35X1.25/165 DEGREE"/>
        <s v="G EYE (+10) TAPER 20x18x55xM6/M35x1.25/195 DEGREE RIGHT"/>
        <s v="G EYE (+10) TAPER 20x18x55xM6/M35x1.25/195 DEGREE LEFT,RIGHT"/>
        <s v="G NUT W-COM 53xM5xM48/M35x1.25/M16x1.0"/>
        <s v="NEW G FORK W-COM 19x21x48xM8xM20xM44/M35x1.25 LEFT 1100 DEGREE"/>
        <s v="G EYE W-COM 30x18x55xM20xM48/M42x1.5 150 DEGREE"/>
        <s v="G EYE W-COM +5 26x18x50xM24xM48/M42x1.5"/>
        <s v="G EYE W-REBOUND-COMP TAPER 30X30X55XM20XM48XM50"/>
        <s v="G EYE W-COM 30x18x55xM20xM48/M42x1.5"/>
        <s v="ALL NEW RETAINER 50x13"/>
        <s v="OUTER TUBE 39x56x425"/>
        <s v="RESERVOIR 46x80/M50x1.0"/>
        <s v="RESERVOIR 46x100/M50x1.0"/>
        <s v="RESERVOIR TOP COMP HI LOW M24x1.0xM48"/>
        <s v="G EYE H-L 30x18x55xM20xM48/M42x1.5"/>
        <s v="ALU TUBE M52X45X170"/>
        <s v="ALU TUBE M52X45X185"/>
        <s v="ALU TUBE M52X45X195"/>
        <s v="ALU TUBE M52X45X200"/>
        <s v="ALU TUBE M52X45X205"/>
        <s v="DAMPER CLAMP 16 TYPE E"/>
        <s v="G EYE TAPER W-COM 14x12.5x35xM20xM35/M35x1.25"/>
        <s v="O EYE 14x12.7x32 W-BACK SIDE REBOUND M10x1.25"/>
        <s v="RESERVOIR TOP M48xM16x40"/>
        <s v="Z EYE 26x18x45xM10/M42x1.5/66"/>
        <s v="Z EYE  TAPER 20x14x60xM8/M35x1.25/M53x1.25"/>
        <s v="ALU TUBE M35x30x120 FOR SEAL BLOCK M32"/>
        <s v="ALU TUBE M35x30x125 FOR SEAL BLOCK M32"/>
        <s v="ALU TUBE M35x30x130 FOR SEAL BLOCK M32"/>
        <s v="O EYE W-REB 26x18x53/M12x1.25"/>
        <s v="O EYE W-REB 26x18x50/M12x1.25"/>
        <s v="NEW PRELOAD 40/M35x1.25x14xM6 "/>
        <s v="FORK W-BLACK SIDE REB 26x27x66xM10/M12x1.25/M40 LEFT"/>
        <s v="FORK W-BLACK SIDE REB 26x27x66xM10/M12x1.25/M40 RIGHT"/>
        <s v="RESERVOIR TOP COMP HI-LOW 24x1.0xM48 "/>
        <s v="ALU TUBE M35x30x200/30 FOR CAP M32"/>
        <s v="ALU TUBE M35x30x230/30 FOR CAP M32"/>
        <s v="ALU TUBE COVER 45x59x152/M53x1.0"/>
        <s v="ALU TUBE COVER 45x59x180/M53x1.0"/>
        <s v="ALU TUBE M32X30X293 MATT ."/>
        <s v="ALU TUBE-M35X30X140-30 FOR CAP M33"/>
        <s v="ALU TUBE-M35X30X145-30 FOR CAP M33"/>
        <s v="ALU TUBE M35x30x230 FOR END CAP M32x1.0"/>
        <s v="RESERVOIR 58X100/M60X1.0/60X1.0 "/>
        <s v="RESERVOIR 58X75/M60X1.0/60X1.0 "/>
        <s v="ALU TUBE M32x30x253  "/>
        <s v="ALU TUBE M32X30X283 "/>
        <s v="ALU TUBE M32X30X293 "/>
        <s v="BODY HOUSE 18XM12X125"/>
        <s v="ALU TUBE M34x30x130 FOR SEAL BLOCK M32"/>
        <s v="Z-EYE TAPER 20X18X55-M35-M58X1.0"/>
        <s v="ALU TUBE COVER 45x59x135/M58x1.0"/>
        <s v="ALU TUBE COVER 45x59x155/M58x1.0"/>
        <s v="ALU TUBE COVER 45x59x185/M58x1.0"/>
        <s v="ALU TUBE COVER 45x59x165/M58x1.0"/>
        <s v="ALU TUBE COVER 45x59x205/M58x1.0"/>
        <s v="FORK W BLACK SIDE REB 26x27x66xM10/M12x1.25 LEFT"/>
        <s v="FORK W BLACK SIDE REB 26x27x66xM10/M12x1.25 RIGHT"/>
        <s v="ALU TUBE M35x30x160/30 FOR CAP M32"/>
        <s v="ALU TUBE M35x30x175/30 FOR CAP M32"/>
        <s v="ALU TUBE M35x30x185/30 FOR CAP M32"/>
        <s v="ALU TUBE M35x30x205/30 FOR CAP M32"/>
        <s v="ALU TUBE M35x30x240/30 FOR CAP M32"/>
        <s v="ALU TUBE M35x30x150/30 FOR CAP M32"/>
        <s v="Z EYE TAPER 20x18x55xM8/M35/M58 DENTED"/>
        <s v="Z EYE  TAPER 20x14x60xM8/M35x1.25/M58x1.0"/>
        <s v="RESERVOIR 50x130 W -FREEPISTON"/>
        <s v="FORK SCREW 30x25x55x12MM/M16x1.0 22 DEGREE SET"/>
        <s v="ALU TUBE M35X30X135 /30 FOR CAP M32"/>
        <s v="ALU TUBE M35X30X150 /30 FOR CAP M32"/>
        <s v="ALU TUBE M35X30X155 /30 FOR CAP M32"/>
        <s v="ALU TUBE M35X30X160 /30 FOR CAP M32"/>
        <s v="ALU TUBE M35X30X165 /30 FOR CAP M32"/>
        <s v="ALU TUBE M35X30X170 /30 FOR CAP M32"/>
        <s v="ALU TUBE M35X30X175 /30 FOR CAP M32"/>
        <s v="ALU TUBE M35X30X185 /30 FOR CAP M32"/>
        <s v="ALU TUBE M35X30X205 /30 FOR CAP M32"/>
        <s v="ALU TUBE M35X30X240 /30 FOR CAP M32"/>
        <s v="Z EYE TAPER 20X14X60XM8/M35X1.25/M58X1.0"/>
        <s v="FORK W-BLACK REBOUND 20x22x61xM8/M12X1.25/M40x1.0 LEFT"/>
        <s v="ALU TUBE COVER 54X64X115/M58X1.0"/>
        <s v="ALU TUBE COVER 54X64X125/M58X1.0"/>
        <s v="ALU TUBE COVER 54X64X145/M58X1.0"/>
        <s v="ALU TUBE COVER 54X64X135/M58X1.0"/>
        <s v="ALU TUBE COVER 54X64X155/M58X1.0"/>
        <s v="ALU TUBE COVER 54X64X165/M58X1.0"/>
        <s v="ALU TUBE COVER 54X64X185/M58X1.0"/>
        <s v="ALU TUBE COVER 54X64X205/M58X1.0"/>
        <s v="FORK W-BLACK SIDE REB 26x27x66xM10/M12z1.25 LEFT"/>
        <s v="FORK W-BLACK SIDE REB 26x27x66xM10/M12z1.25 RIGHT"/>
        <s v="Z EYE TAPER 20x18x55xM8/M35x1.25/M58x1.0"/>
        <s v="FORK W-BLACK REBOUND 20x22x61xM8/M12X1.25/M40x1.0 RIGHT"/>
        <s v="RESERVOIR TOP M52xM12 FOR FRONT "/>
        <s v="FORK W-BLACK SIDE REB.20x22x39xM8/M12x1.25/M40 LEFT"/>
        <s v="Z-EYE TAPER 20X14x60-M35-M58X1.0 DOWN SIDE"/>
        <s v="FORK W-REB 18x52x88x12xM8/M12x1.25"/>
        <s v="ALU TUBE M22X20X25X240 RED"/>
        <s v="PRELOAD 56/M50X1.5X17.5XM6/72 SET"/>
        <s v="ALU TUBE M35x30x235 FOR END CAP M32x1.0"/>
        <s v="RESERVOIR TOP M48 W-COM 30 CLICK STD."/>
        <s v=" PRELOAD MX -56/M50X1.5X20XM6 "/>
        <s v=" PRELOAD MX-60/M50X1.5X20XM6 FOR 456 SERIES "/>
        <s v="G NUT 48XM5XM44/M35X1.25/M16x1.0"/>
        <s v="FORK SCREW 50X28X63X10MM/M16"/>
        <s v="RESERVOIR TOP M53x1.0/M22x1.0/M20x1.0 W-COM"/>
        <s v="RESERVOIR TOP M53x1.0/M12x1.25/M20x1.0 W-COM"/>
        <s v="LOCK NUT RESERVOIR M52x57x5"/>
        <s v="LOCK NUT M22x1.0x32x5"/>
        <s v="RESERVOIR M53x60x135/W-FREE PISTON"/>
        <s v="RESERVOIR M53x60x125/W-FREE PISTON"/>
        <s v="RESERVOIR M53x60x120/W-FREE PISTON"/>
        <s v="RESERVOIR M53x60x115/W-FREE PISTON"/>
        <s v="RESERVOIR M53x60x140/W-FREE PISTON"/>
        <s v="RESERVOIR M53x60x145/W-FREE PISTON"/>
        <s v="RESERVOIR M53x60x150/W-FREE PISTON"/>
        <s v="FORK SCREW 25X28X63XM12X1.75/M16X1.0 SET "/>
        <s v="FORK W-BLACK SIDE REB 20x22x39xM8/M12x1.25/M40 LEFT "/>
        <s v="Z EYE TAPER 20x18x55/M35x1.25/M58x1.0/M8"/>
        <s v="ALU TUBE M35X30X145 /30 FOR CAP M32"/>
        <s v="ALU TUBE M35X30X200 /30 FOR CAP M32"/>
        <s v="ALU TUBE COVER 54X64X175/M58X1.0"/>
        <s v="MOVING BUSH 53X72X25 "/>
        <s v="RESERVOIR M53x50x125/W-FREE PISTON"/>
        <s v="RESERVOIR M53x50x120/W-FREE PISTON"/>
        <s v="RESERVOIR M53x50x115/W-FREE PISTON"/>
        <s v="RESERVOIR M53x50x135/W-FREE PISTON"/>
        <s v="RESERVOIR M53x50x140/W-FREE PISTON"/>
        <s v="RESERVOIR M53x50x145/W-FREE PISTON"/>
        <s v="RESERVOIR M53x50x150/W-FREE PISTON"/>
        <s v="LOCK NUT RESERVOIRM53x57X5"/>
        <s v="RESERVOIR TOP M53x1.0 /M22x1.0M20x1.0 W-COM"/>
        <s v="RESERVOIR TOP M53x1.0 /M12x1.25 ON TOP /M20x1.0 W-COM"/>
        <s v="NEW C-EYE 26x27x50xM6xM44/M35x1.25"/>
        <s v="RESERVOIR TOP M53x1.0 /M12x1.25 /M20x1.0 W-COM"/>
        <s v="Z EYEY TAPER 20x18x60xM8/M35x1.25/M58x1.0 DOWN SIDE"/>
        <s v="NEW C BOLT 29xM6xM44xM35xM10x1.5"/>
        <s v="NEW C FORK 20x22x53xM8xM6xM44/M35x1.25 OFF 2.5 RIGHT SIDE"/>
        <s v="NEW C FORK 20x22x53xM8xM6xM44/M35x1.25 OFF 2.5 LEFT SIDE"/>
        <s v="NEW C BOLT 29xM5xM48/M35x1.25/M10x1.25"/>
        <s v="ALU BODY HOUSE 54x82x28xM10 ON TOP "/>
        <s v="FORK-NUT-26X28X46-M10-16"/>
        <s v="FORK-W-REB-30X30X70X10MM-M16"/>
        <s v="FORK-W-REB-30X30X70X12MM-M16"/>
        <s v="O-EYE TAPER 20X18X58/M12X1.25 FOR ALL NEW 302 "/>
        <s v="O-EYE (+30) 20X20X78/M12X1.25 "/>
        <s v="O-EYE 20X22X33/M12X1.25 "/>
        <s v="Z EYE (+25) 26x18x70xM10/M50x1.5 WITH SIDE "/>
        <s v="FORK W-SIDE REB 30x30x75xM10x1.25/M16x1.5"/>
        <s v="O EYE W-REB 26x18x48/M12x1.25"/>
        <s v="O EYE SCREW TAPER (+10) 20x14x48xM16x1.0"/>
        <s v="ALU TUBE M35x30x95/35 FOR END CAP "/>
        <s v="ALU TUBE M35x30x125/35 FOR END CAP "/>
        <s v="ALU TUBE M35x30x130/35 FOR END CAP "/>
        <s v="FORK-W-REB-37X30X70X12MM-M16X1.5"/>
        <s v="G-EYE W-COM 14X18X35XM16XM35-M32"/>
        <s v="O EYE 14x18x32 W BLACK SIDE REBOUND M12x1.25"/>
        <s v="NEW PRELOAD 38/M35x1.25"/>
        <s v="ALU TUBE M35X30X130-40 FOR END CAP"/>
        <s v="O EYE SCREW TAPER (+10)20x18x48/M16x1.0/12 MM"/>
        <s v="RESERVOIR 46X60 W-FREE-PISTON-FOR-RACING"/>
        <s v="RESERVOIR 46X70 W-FREE-PISTON-FOR-RACING"/>
        <s v="RESERVOIR 46X75 W-FREE-PISTON-FOR-RACING"/>
        <s v="RESERVOIR 46X80 W-FREE-PISTON-FOR-RACING"/>
        <s v="RESERVOIR 46X85 W-FREE-PISTON-FOR-RACING"/>
        <s v="RESERVOIR 46X90 W-FREE-PISTON-FOR-RACING"/>
        <s v="RESERVOIR 46X120 W-FREE-PISTON-FOR-RACING"/>
        <s v="RESERVOIR 46X140 W-FREE-PISTON"/>
        <s v="RESERVOIR 46X160 W-FREE-PISTON"/>
        <s v="RESERVOIR 46X65 W-FREE-PISTON-FOR-RACING"/>
        <s v="RESERVOIR 46X200 W-FREE-PISTON"/>
        <s v="RESERVOIR 46X220 W-FREE-PISTON-FOR-RACING"/>
        <s v="Z EYE (+30) 26x18x75xM10/M50x1.5 WITH SIDE "/>
        <s v="Z EYE 16x28x59.5xM5/M35x1.25/90 DEGREE"/>
        <s v="FORK LONG 26X35X88/M10 "/>
        <s v="FORK LONG 20X35X88/M10 "/>
        <s v="O-EYE-20/23X18X43XM12X1.25 CHROME"/>
        <s v="X EYE 20x18x38xM10/M42x1.5"/>
        <s v="O EYE SCREW SHOT 26x18x56/16x1.0x21 (SP) SET"/>
        <s v="ALU TUBE M50x45x145"/>
        <s v="ALU TUBE M50x45x165"/>
        <s v="ALU TUBE M50x45x170"/>
        <s v="ALU TUBE M50x45x175"/>
        <s v="ALU TUBE M50x45x185"/>
        <s v="ALU TUBE M50x45x210"/>
        <s v="ALU TUBE M50x45x215"/>
        <s v="ALU TUBE M50x45x220"/>
        <s v="ALU TUBE M50x45x235"/>
        <s v="O EYE W-REB +10 26x18x60/M16x1.5 OFFSET 3 MM."/>
        <s v="X EYE 20x22x48xM10/M35x1.25 LONG"/>
        <s v="HALF NUT M16x1.0x5 "/>
        <s v="FORK SCREW 20x28x63xM8/M16x1.0 SET"/>
        <s v="FORK SCREW 30x28x63xM8/M16x1.0 SET"/>
        <s v="RETAINER 38x11"/>
        <s v="FORK SCREW (+10)26x28x73xM10/M16x1.0"/>
        <s v="O EYE 23x22x33/M12x1.25"/>
        <s v="FORK SCREW 26x28x63xM10/M16x1.0"/>
        <s v="O-EYE SCREW TAPER (+10) 20X18X48XM16X1.0"/>
        <s v="O-EYE SCREW 20X14X38-M16 SET"/>
        <s v="PRELOAD 40/M35X1.25X14XM6 WITH WORM SCREW M6 SET"/>
        <s v="LOCK RING M56"/>
        <s v="FORK SCREW 26x28x63xM10/M16x1.0 SET"/>
        <s v="O EYE W REB 26x18x55xM16x1.5"/>
        <s v="FORK W/REBOUND 26X30X70XM10/M16X1.5 "/>
        <s v="FORK W-REB 26X28X68/M8/M12X1.25X1.25 "/>
        <s v="FORK-15-26X28X48/M10X1.25/M12X1.25 "/>
        <s v="FORK W/REBOUND 30X30X70XM10/M16X1.5 "/>
        <s v="Z EYE 26X18X52XM10XM50X1.5 MTO SP"/>
        <s v="NEW PRELOAD 38/M35x1.25x12"/>
        <s v="O EYE SCREW +30 26x18x89/M16x1.0 SET"/>
        <s v="O-EYE SCREW TAPER 20X18X38XM16X1.0"/>
        <s v="O EYE W-BLACK SIDE REB. 40x30x133/M16x1.5"/>
        <s v="O EYE W-BLACK SIDE REB. 40x30x100/M16x1.5"/>
        <s v="O EYE W-REB 40x30x65/M16x1.5"/>
        <s v="O EYE TAPER 20x18x43/M12x1.25 SP"/>
        <s v="FORK LONG 26X35X88XM8X1.25"/>
        <s v="O-EYE SCREW TAPER (+20) 20X18X58XM16X1.0 SET"/>
        <s v="O-EYE SCREW TAPER 20x18x42/M16x1.0 SET"/>
        <s v="PRELOAD ADJUSTER 65/M60x75x10"/>
        <s v="PRELOAD ADJUSTER 67/M60x1.5x20"/>
        <s v="FORK W-BLACK SIDE REB 26x27x66xM12/M12x1.25LEFT"/>
        <s v="FORK W-BLACK SIDE REB 26x27x66xM12/M12x1.25 RIGHT"/>
        <s v="ALU TUBE M50x45x550"/>
        <s v="RESERVOIR CAMP B 59x25x96/M5"/>
        <s v="RESERVOIR CAMP A 59x25x96/M5"/>
        <s v="ALU TUBE M22x1.0x20x25x350 "/>
        <s v="FORK-W-REBOUND-26X30X70X10MM-M16"/>
        <s v="Z EYE 40x30x65xM12/M50x1.5"/>
        <s v="Z NUT 60/M50x1.5/M12x1.25"/>
        <s v="C EYE W COM 16X28X40X55XM35X1.25 90 DEGREE "/>
        <s v="O-EYE 16X6X23/M8X1.25  "/>
        <s v="O EYE H-L 26x18x25/38"/>
        <s v="O EYE H-L (+5) 26x18x30/38"/>
        <s v="O EYE H-L (+15) 26x18x40/38"/>
        <s v="O EYE H-L (+30) 26x18x55/38"/>
        <s v="O EYE H-L (+10) 26x18x35/38"/>
        <s v="O-EYE 20x18x33/M12x1.25"/>
        <s v="RESERVOIR TOP IDOL 30 CLICK M48xM20x12"/>
        <s v="BODY HOUSE 63X75X30XM10 "/>
        <s v=" O EYE SCREW  20X22X38/M16X1.0 SET "/>
        <s v="FORK-W-REB-22X30X70X10MM-M16"/>
        <s v="FORK-W-REB-30X30X70X20MM-M16X1.5 "/>
        <s v="O-EYE-W-BLACK-SIDE-REB-40X30X55-M16  "/>
        <s v="NEW BODYHOUSE 18/M12x1.0x125/0.8"/>
        <s v="ALU TUBE M30x25x95"/>
        <s v="ALU TUBE M30x25x100"/>
        <s v="ALU TUBE M30x25x105"/>
        <s v="FORK SCREW 36X28X35X10MM./M16X1.0  "/>
        <s v="FORK SCREW LONG 30x33x63xM10/M16x1.0 OFFSET 3MM. LEFT"/>
        <s v="FORK SCREW 30x33x63xM10/M16x1.0 SET (2B25-178-00-01)"/>
        <s v="ALU TUBE M35x30x125/40 FOR END CAP"/>
        <s v="ALU TUBE M35x30x130/40 FOR END CAP"/>
        <s v="ALU TUBE M35x30x135/40 FOR END CAP"/>
        <s v="REB EYE BASE W-SIDE REBOUND 50/M12x1.25/M16x1.0"/>
        <s v="O EYE TAPER W-REB 30x30x65/M16x1.5"/>
        <s v="Z EYE TAPER 30x27.5x65/M50x1.5/M12x1.25"/>
        <s v="PRELOAD 65/M60x1.5x23"/>
        <s v="PRELOAD ADJUSTER M60x76x10"/>
        <s v="RESERVOIR TOP M53x1.0 /O-RING M12 W-COM"/>
        <s v="RESERVOIR TOP M53x1.0 /O-RING M12 ON-TOP/W-COM"/>
        <s v="RESERVOIR CLAMP 46X18 FOR 456 AUTO "/>
        <s v="PCX STAND"/>
        <s v="FORK W-BLACK SIDE REB 20x22x49xM10/M12x1.25 LEFT OFFSET 3 MM."/>
        <s v="FORK W-BLACK SIDE REB 20x22x49xM10/M12x1.25 RIGHT"/>
        <s v="O EYE 14x18x32 W-BLACK SIDE REBOUND M12x1.25"/>
        <s v="FORK SCREW 40X45X88X12MM/M16X1.0 SET "/>
        <s v="BODY HOUSE 63X75X30XM8"/>
        <s v="TOP PLATE PCD 130X106.5X30/M12X1.25 "/>
        <s v="ALU TUBE-M35X30X170"/>
        <s v="G EYE W-COM 14x18x35xM16xM35/M32x1.0"/>
        <s v="FORK-W-REB-22X30X70XM10-M16"/>
        <s v="FORK-NUT 20X28X46/M8/M16 "/>
        <s v="TOP MOUNT PLATE 114x95xM10x1.5/34.5xM16x2 "/>
        <s v="FORK SCREW 28x28x63x12MM/M16"/>
        <s v="FORK-10 36X28X48X10MM./M12X1.25 "/>
        <s v="O EYE W-BLACK SIDE REB 35x24x75/M22x1.5"/>
        <s v="ALU TUBE DTG-PLUS 220 M35X30X145X30"/>
        <s v="FORK SCREW 20X28X63XM10/M16X1.0 SET "/>
        <s v="FORK 28X28X48X8/M12X1.25 "/>
        <s v="RESERVOIR 64x230/M66x1.0"/>
        <s v="G EYE W-COM 35x24x90xM45xM66/M75"/>
        <s v="ALU TUBE M35X30X130 FOR CAP M32"/>
        <s v="ALU TUBE M35x30x145 FOR ENDCAP"/>
        <s v="RETAINER 60 (+7.5) "/>
        <s v="FORK 33X28X48X12MM/M12X1.25 "/>
        <s v="FORK-SCREW 30X28X63X10MMX12MM-M16 FOR MT09 "/>
        <s v="MOVING BUSH 50X60X31 "/>
        <s v="FORK-SCREW (+35)26X28X98XM10-M16 "/>
        <s v="Z EYE(+10) 26X18X55XM10/M50X1.5 ON TOP M10 SP"/>
        <s v="ALU TUBE M35x30x105 FOR ENDCAP"/>
        <s v="ALU TUBE M35x30x115 FOR ENDCAP"/>
        <s v="ALU TUBE M35x30x120 FOR ENDCAP"/>
        <s v="ALU TUBE M35x30x160 FOR ENDCAP"/>
        <s v="ALU TUBE COVER 54X64X215/M58X1.0"/>
        <s v="FORK SCREW 22X28X63X10MM. SET "/>
        <s v="ALU TUBE M35x30x125/80 FOR CAP M32"/>
        <s v="ALU TUBE M35x30x130/80 FOR CAP M32"/>
        <s v="ALU TUBE M35x30x135/80 FOR CAP M32"/>
        <s v="BODY HOUSE 59x62x24x8"/>
        <s v="RETAINER 35x9"/>
        <s v="O EYE TAPER 14.9x12.8x30.5/M10"/>
        <s v="O EYE 30x22x58/M12x1.25"/>
        <s v="X EYE 23x22x38xM10/M35x1.25"/>
        <s v="G EYE TAPER W COM 14.9x12.8x37/M30"/>
        <s v="RESERVOIR CLAMP 46 HOLE (I.D.) " u="1"/>
        <s v="FORK W-REB (W)x(L)x(L2)x(D2)MM/M16X1.5 HT" u="1"/>
      </sharedItems>
    </cacheField>
    <cacheField name="Status" numFmtId="0">
      <sharedItems containsBlank="1" count="7">
        <s v="OK"/>
        <s v="ยกเลิก"/>
        <s v="งาน REV"/>
        <s v="งานใหม่"/>
        <s v="งานตัวอย่าง"/>
        <m u="1"/>
        <s v="งานใหม่ " u="1"/>
      </sharedItems>
    </cacheField>
    <cacheField name="วันที่ข้อมูลเสร็จ" numFmtId="165">
      <sharedItems containsNonDate="0" containsDate="1" containsBlank="1" containsMixedTypes="1" minDate="2016-06-17T00:00:00" maxDate="2564-01-28T00:00:00"/>
    </cacheField>
    <cacheField name="Part&amp;Drawing" numFmtId="0">
      <sharedItems/>
    </cacheField>
  </cacheFields>
  <extLst>
    <ext xmlns:x14="http://schemas.microsoft.com/office/spreadsheetml/2009/9/main" uri="{725AE2AE-9491-48be-B2B4-4EB974FC3084}">
      <x14:pivotCacheDefinition pivotCacheId="20605053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n v="1"/>
    <x v="0"/>
    <x v="0"/>
    <x v="0"/>
    <x v="0"/>
    <x v="0"/>
    <x v="0"/>
    <d v="2018-06-08T00:00:00"/>
    <s v="2B25-021-07+DR-TW-2B25-021-08-00"/>
  </r>
  <r>
    <n v="2"/>
    <x v="1"/>
    <x v="1"/>
    <x v="1"/>
    <x v="0"/>
    <x v="1"/>
    <x v="0"/>
    <m/>
    <s v="2B24-216-02+DR-TW-2B24-216-02-00"/>
  </r>
  <r>
    <n v="3"/>
    <x v="1"/>
    <x v="1"/>
    <x v="2"/>
    <x v="0"/>
    <x v="2"/>
    <x v="0"/>
    <d v="2019-01-31T00:00:00"/>
    <s v="2B24-217-01+DR-TW-2B24-216-02-00"/>
  </r>
  <r>
    <n v="4"/>
    <x v="2"/>
    <x v="2"/>
    <x v="3"/>
    <x v="1"/>
    <x v="3"/>
    <x v="0"/>
    <d v="2019-02-20T00:00:00"/>
    <s v="2B27-316-01+DR-TW-2B27-316-01-01"/>
  </r>
  <r>
    <n v="5"/>
    <x v="3"/>
    <x v="3"/>
    <x v="4"/>
    <x v="0"/>
    <x v="4"/>
    <x v="0"/>
    <d v="2023-05-15T00:00:00"/>
    <s v="2B04A180-00+DR-TW-2B04A180-00-00"/>
  </r>
  <r>
    <n v="6"/>
    <x v="4"/>
    <x v="4"/>
    <x v="5"/>
    <x v="0"/>
    <x v="5"/>
    <x v="0"/>
    <d v="2019-02-21T00:00:00"/>
    <s v="2B27-105-01+DR-TW-2B27-105-01-00"/>
  </r>
  <r>
    <n v="7"/>
    <x v="5"/>
    <x v="5"/>
    <x v="6"/>
    <x v="2"/>
    <x v="6"/>
    <x v="0"/>
    <d v="2019-03-21T00:00:00"/>
    <s v="2B25-016-02+DR-TW-2B25-016-02-02"/>
  </r>
  <r>
    <n v="8"/>
    <x v="6"/>
    <x v="6"/>
    <x v="7"/>
    <x v="0"/>
    <x v="7"/>
    <x v="0"/>
    <d v="2023-05-08T00:00:00"/>
    <s v="2B27-134-02+DR-TW-2B27-134-02-00"/>
  </r>
  <r>
    <n v="9"/>
    <x v="7"/>
    <x v="7"/>
    <x v="8"/>
    <x v="3"/>
    <x v="8"/>
    <x v="0"/>
    <d v="2021-06-09T00:00:00"/>
    <s v="2B25-160-03+DR-TW-2B25-008-04-07"/>
  </r>
  <r>
    <n v="10"/>
    <x v="8"/>
    <x v="8"/>
    <x v="9"/>
    <x v="0"/>
    <x v="9"/>
    <x v="0"/>
    <d v="2016-06-17T00:00:00"/>
    <s v="2B48-036-01+DR-TW-2B48-036-01-00"/>
  </r>
  <r>
    <n v="11"/>
    <x v="9"/>
    <x v="9"/>
    <x v="10"/>
    <x v="1"/>
    <x v="10"/>
    <x v="1"/>
    <d v="2019-01-26T00:00:00"/>
    <s v="2B29-429-00+DR-TW-2B29-429-00-01"/>
  </r>
  <r>
    <n v="12"/>
    <x v="10"/>
    <x v="10"/>
    <x v="11"/>
    <x v="0"/>
    <x v="11"/>
    <x v="0"/>
    <d v="2019-01-31T00:00:00"/>
    <s v="2B24-218-00+DR-TW-2B24-218-00-00"/>
  </r>
  <r>
    <n v="13"/>
    <x v="7"/>
    <x v="7"/>
    <x v="12"/>
    <x v="3"/>
    <x v="12"/>
    <x v="0"/>
    <d v="2021-06-08T00:00:00"/>
    <s v="2B25-008-04+DR-TW-2B25-008-04-07"/>
  </r>
  <r>
    <n v="14"/>
    <x v="11"/>
    <x v="11"/>
    <x v="13"/>
    <x v="0"/>
    <x v="13"/>
    <x v="0"/>
    <d v="2019-02-01T00:00:00"/>
    <s v="2B48-212-01+DR-TW-2B48-212-01-00"/>
  </r>
  <r>
    <n v="15"/>
    <x v="12"/>
    <x v="12"/>
    <x v="14"/>
    <x v="0"/>
    <x v="14"/>
    <x v="0"/>
    <d v="2022-08-01T00:00:00"/>
    <s v="2B25-118-00+DR-TW-2B25-118-00-00"/>
  </r>
  <r>
    <n v="16"/>
    <x v="13"/>
    <x v="13"/>
    <x v="15"/>
    <x v="1"/>
    <x v="15"/>
    <x v="0"/>
    <d v="2022-08-18T00:00:00"/>
    <s v="2B29-201-00+DR-TW-2B29-201-00-01"/>
  </r>
  <r>
    <n v="17"/>
    <x v="14"/>
    <x v="14"/>
    <x v="16"/>
    <x v="0"/>
    <x v="16"/>
    <x v="0"/>
    <d v="2020-01-06T00:00:00"/>
    <s v="2B27-142-01-R+DR-TW-2B27-142-01-R-00"/>
  </r>
  <r>
    <n v="18"/>
    <x v="15"/>
    <x v="15"/>
    <x v="17"/>
    <x v="0"/>
    <x v="17"/>
    <x v="0"/>
    <d v="2019-03-12T00:00:00"/>
    <s v="2B24-227-00+DR-TW-2B24-227-00-00"/>
  </r>
  <r>
    <n v="19"/>
    <x v="15"/>
    <x v="16"/>
    <x v="18"/>
    <x v="0"/>
    <x v="18"/>
    <x v="0"/>
    <d v="2019-03-12T00:00:00"/>
    <s v="2B24-228-00+DR-TW-2B24-228-00-00"/>
  </r>
  <r>
    <n v="20"/>
    <x v="16"/>
    <x v="17"/>
    <x v="19"/>
    <x v="0"/>
    <x v="19"/>
    <x v="1"/>
    <d v="2019-01-26T00:00:00"/>
    <s v="2B29-424-00-R+DR-TW-2B29-424-00-R-00"/>
  </r>
  <r>
    <n v="21"/>
    <x v="17"/>
    <x v="18"/>
    <x v="20"/>
    <x v="0"/>
    <x v="20"/>
    <x v="0"/>
    <d v="2021-01-28T00:00:00"/>
    <s v="2B24-210-01+DR-TW-2B24-210-01-00"/>
  </r>
  <r>
    <n v="22"/>
    <x v="18"/>
    <x v="19"/>
    <x v="21"/>
    <x v="2"/>
    <x v="21"/>
    <x v="0"/>
    <d v="2021-05-11T00:00:00"/>
    <s v="2B25-075-01+DR-TW-2B25-044-01-02"/>
  </r>
  <r>
    <n v="23"/>
    <x v="18"/>
    <x v="19"/>
    <x v="22"/>
    <x v="2"/>
    <x v="22"/>
    <x v="0"/>
    <d v="2021-10-08T00:00:00"/>
    <s v="2B25-076-01+DR-TW-2B25-044-01-02"/>
  </r>
  <r>
    <n v="24"/>
    <x v="19"/>
    <x v="20"/>
    <x v="23"/>
    <x v="4"/>
    <x v="23"/>
    <x v="0"/>
    <d v="2023-05-04T00:00:00"/>
    <s v="2B25-043-02+DR-TW-2B25-034-02-05"/>
  </r>
  <r>
    <n v="25"/>
    <x v="20"/>
    <x v="21"/>
    <x v="24"/>
    <x v="0"/>
    <x v="24"/>
    <x v="0"/>
    <d v="2022-12-10T00:00:00"/>
    <s v="2B30-024-02+DR-TW-2B30-024-02-00"/>
  </r>
  <r>
    <n v="26"/>
    <x v="21"/>
    <x v="22"/>
    <x v="25"/>
    <x v="0"/>
    <x v="25"/>
    <x v="2"/>
    <m/>
    <s v="2B25-030-02+DR-TW-2B25-030-02-00"/>
  </r>
  <r>
    <n v="27"/>
    <x v="22"/>
    <x v="23"/>
    <x v="26"/>
    <x v="0"/>
    <x v="26"/>
    <x v="1"/>
    <d v="2019-02-01T00:00:00"/>
    <s v="2B29-432-01+DR-TW-2B29-432-01-00"/>
  </r>
  <r>
    <n v="28"/>
    <x v="23"/>
    <x v="0"/>
    <x v="27"/>
    <x v="0"/>
    <x v="27"/>
    <x v="0"/>
    <m/>
    <s v="2B25-014-01+DR-TW-2B25-021-08-00"/>
  </r>
  <r>
    <n v="29"/>
    <x v="24"/>
    <x v="24"/>
    <x v="28"/>
    <x v="1"/>
    <x v="28"/>
    <x v="1"/>
    <d v="2019-03-23T00:00:00"/>
    <s v="2B24-230-01+DR-TW-2B24-230-01-01"/>
  </r>
  <r>
    <n v="30"/>
    <x v="25"/>
    <x v="25"/>
    <x v="29"/>
    <x v="0"/>
    <x v="29"/>
    <x v="1"/>
    <d v="2020-09-17T00:00:00"/>
    <s v="2B29-427-01+DR-TW-2B29-427-01-00"/>
  </r>
  <r>
    <n v="31"/>
    <x v="26"/>
    <x v="26"/>
    <x v="30"/>
    <x v="1"/>
    <x v="30"/>
    <x v="1"/>
    <d v="2019-01-26T00:00:00"/>
    <s v="2B29-428-03+DR-TW-2B29-428-03-01"/>
  </r>
  <r>
    <n v="32"/>
    <x v="27"/>
    <x v="27"/>
    <x v="31"/>
    <x v="0"/>
    <x v="31"/>
    <x v="0"/>
    <d v="2023-05-20T00:00:00"/>
    <s v="2B25-007-00+DR-TW-2B25-007-00-00"/>
  </r>
  <r>
    <n v="33"/>
    <x v="28"/>
    <x v="28"/>
    <x v="32"/>
    <x v="0"/>
    <x v="32"/>
    <x v="0"/>
    <d v="2023-07-10T00:00:00"/>
    <s v="2B26-350-00+DR-TW-2B26-350-00-00"/>
  </r>
  <r>
    <n v="34"/>
    <x v="29"/>
    <x v="29"/>
    <x v="33"/>
    <x v="0"/>
    <x v="33"/>
    <x v="1"/>
    <d v="2018-02-01T00:00:00"/>
    <s v="2B24-251-00+DR-TW-2B24-251-00-00"/>
  </r>
  <r>
    <n v="35"/>
    <x v="29"/>
    <x v="29"/>
    <x v="34"/>
    <x v="0"/>
    <x v="34"/>
    <x v="1"/>
    <d v="2018-02-01T00:00:00"/>
    <s v="2B24-252-00+DR-TW-2B24-251-00-00"/>
  </r>
  <r>
    <n v="36"/>
    <x v="30"/>
    <x v="30"/>
    <x v="35"/>
    <x v="0"/>
    <x v="35"/>
    <x v="0"/>
    <d v="2023-03-27T00:00:00"/>
    <s v="2B26-174-00+DR-TW-2B26-174-00-00"/>
  </r>
  <r>
    <n v="37"/>
    <x v="31"/>
    <x v="31"/>
    <x v="36"/>
    <x v="0"/>
    <x v="36"/>
    <x v="0"/>
    <d v="2018-11-29T00:00:00"/>
    <s v="2B25-226-01+DR-TW-2B25-226-01-00"/>
  </r>
  <r>
    <n v="38"/>
    <x v="32"/>
    <x v="32"/>
    <x v="37"/>
    <x v="5"/>
    <x v="37"/>
    <x v="0"/>
    <d v="2018-08-24T00:00:00"/>
    <s v="2B25-167-03+DR-TW-2B25-022-05-08"/>
  </r>
  <r>
    <n v="39"/>
    <x v="32"/>
    <x v="32"/>
    <x v="38"/>
    <x v="5"/>
    <x v="38"/>
    <x v="0"/>
    <d v="2018-03-12T00:00:00"/>
    <s v="2B25-179-03+DR-TW-2B25-022-05-08"/>
  </r>
  <r>
    <n v="40"/>
    <x v="32"/>
    <x v="32"/>
    <x v="39"/>
    <x v="5"/>
    <x v="39"/>
    <x v="0"/>
    <d v="2022-07-25T00:00:00"/>
    <s v="2B91-144-02+DR-TW-2B25-022-05-08"/>
  </r>
  <r>
    <n v="41"/>
    <x v="32"/>
    <x v="32"/>
    <x v="40"/>
    <x v="5"/>
    <x v="40"/>
    <x v="0"/>
    <d v="2022-08-03T00:00:00"/>
    <s v="2B91-032-02+DR-TW-2B25-022-05-08"/>
  </r>
  <r>
    <n v="42"/>
    <x v="32"/>
    <x v="32"/>
    <x v="41"/>
    <x v="5"/>
    <x v="41"/>
    <x v="0"/>
    <m/>
    <s v="2B91-084-03+DR-TW-2B25-022-05-08"/>
  </r>
  <r>
    <n v="43"/>
    <x v="32"/>
    <x v="32"/>
    <x v="42"/>
    <x v="5"/>
    <x v="42"/>
    <x v="0"/>
    <m/>
    <s v="2B91-068-04+DR-TW-2B25-022-05-08"/>
  </r>
  <r>
    <n v="44"/>
    <x v="32"/>
    <x v="32"/>
    <x v="43"/>
    <x v="5"/>
    <x v="43"/>
    <x v="0"/>
    <m/>
    <s v="2B91-066-03+DR-TW-2B25-022-05-08"/>
  </r>
  <r>
    <n v="45"/>
    <x v="32"/>
    <x v="32"/>
    <x v="44"/>
    <x v="5"/>
    <x v="44"/>
    <x v="0"/>
    <d v="2023-03-27T00:00:00"/>
    <s v="2B91-022-02+DR-TW-2B25-022-05-08"/>
  </r>
  <r>
    <n v="46"/>
    <x v="32"/>
    <x v="32"/>
    <x v="45"/>
    <x v="5"/>
    <x v="45"/>
    <x v="0"/>
    <m/>
    <s v="2B91-141-02+DR-TW-2B25-022-05-08"/>
  </r>
  <r>
    <n v="47"/>
    <x v="32"/>
    <x v="32"/>
    <x v="46"/>
    <x v="5"/>
    <x v="46"/>
    <x v="0"/>
    <d v="2023-03-27T00:00:00"/>
    <s v="2B91-080-02+DR-TW-2B25-022-05-08"/>
  </r>
  <r>
    <n v="48"/>
    <x v="32"/>
    <x v="32"/>
    <x v="47"/>
    <x v="5"/>
    <x v="47"/>
    <x v="0"/>
    <d v="2023-03-27T00:00:00"/>
    <s v="2B91-081-02+DR-TW-2B25-022-05-08"/>
  </r>
  <r>
    <n v="49"/>
    <x v="32"/>
    <x v="32"/>
    <x v="48"/>
    <x v="5"/>
    <x v="48"/>
    <x v="0"/>
    <d v="2023-08-21T00:00:00"/>
    <s v="2B91-189-02+DR-TW-2B25-022-05-08"/>
  </r>
  <r>
    <n v="50"/>
    <x v="33"/>
    <x v="33"/>
    <x v="49"/>
    <x v="1"/>
    <x v="49"/>
    <x v="0"/>
    <d v="2018-05-03T00:00:00"/>
    <s v="2B27-162-00+DR-TW-2B27-162-00-01"/>
  </r>
  <r>
    <n v="51"/>
    <x v="33"/>
    <x v="34"/>
    <x v="50"/>
    <x v="1"/>
    <x v="50"/>
    <x v="0"/>
    <s v="SUMALEE"/>
    <s v="2B27-161-00+DR-TW-2B27-161-00-01"/>
  </r>
  <r>
    <n v="52"/>
    <x v="34"/>
    <x v="35"/>
    <x v="51"/>
    <x v="2"/>
    <x v="51"/>
    <x v="0"/>
    <d v="2018-11-19T00:00:00"/>
    <s v="2B25-099-01+DR-TW-2B25-099-01-02"/>
  </r>
  <r>
    <n v="53"/>
    <x v="35"/>
    <x v="36"/>
    <x v="52"/>
    <x v="1"/>
    <x v="52"/>
    <x v="0"/>
    <d v="2020-10-16T00:00:00"/>
    <s v="2B26-160-01+DR-TW-2B26-160-01-01"/>
  </r>
  <r>
    <n v="54"/>
    <x v="36"/>
    <x v="0"/>
    <x v="53"/>
    <x v="0"/>
    <x v="53"/>
    <x v="0"/>
    <d v="2023-06-26T00:00:00"/>
    <s v="2B25-004-04+DR-TW-2B25-021-08-00"/>
  </r>
  <r>
    <n v="55"/>
    <x v="37"/>
    <x v="37"/>
    <x v="54"/>
    <x v="0"/>
    <x v="54"/>
    <x v="1"/>
    <d v="2019-02-05T00:00:00"/>
    <s v="2B27-127-01+DR-TW-2B27-127-01-00"/>
  </r>
  <r>
    <n v="56"/>
    <x v="37"/>
    <x v="0"/>
    <x v="55"/>
    <x v="0"/>
    <x v="55"/>
    <x v="0"/>
    <d v="2023-03-27T00:00:00"/>
    <s v="2B25-020-07+DR-TW-2B25-021-08-00"/>
  </r>
  <r>
    <n v="57"/>
    <x v="38"/>
    <x v="38"/>
    <x v="56"/>
    <x v="0"/>
    <x v="56"/>
    <x v="0"/>
    <d v="2022-01-26T00:00:00"/>
    <s v="2B25-134-00+DR-TW-2B25-134-00-00"/>
  </r>
  <r>
    <n v="514"/>
    <x v="39"/>
    <x v="39"/>
    <x v="57"/>
    <x v="0"/>
    <x v="57"/>
    <x v="1"/>
    <d v="2018-11-05T00:00:00"/>
    <s v="2B24D075-00+DR-TW-2B24D085-00-00"/>
  </r>
  <r>
    <n v="58"/>
    <x v="40"/>
    <x v="39"/>
    <x v="58"/>
    <x v="0"/>
    <x v="58"/>
    <x v="1"/>
    <d v="2021-09-30T00:00:00"/>
    <s v="2B24D085-00+DR-TW-2B24D085-00-00"/>
  </r>
  <r>
    <n v="59"/>
    <x v="40"/>
    <x v="39"/>
    <x v="59"/>
    <x v="0"/>
    <x v="59"/>
    <x v="1"/>
    <d v="2021-09-30T00:00:00"/>
    <s v="2B24D100-00+DR-TW-2B24D085-00-00"/>
  </r>
  <r>
    <n v="61"/>
    <x v="41"/>
    <x v="40"/>
    <x v="60"/>
    <x v="1"/>
    <x v="60"/>
    <x v="0"/>
    <d v="2019-05-15T00:00:00"/>
    <s v="2B24-220-03-R+DR-TW-2B24-220-03-R-01"/>
  </r>
  <r>
    <n v="62"/>
    <x v="42"/>
    <x v="41"/>
    <x v="61"/>
    <x v="0"/>
    <x v="61"/>
    <x v="0"/>
    <d v="2023-02-07T00:00:00"/>
    <s v="2B27-152-00+DR-TW-2B27-152-00-00"/>
  </r>
  <r>
    <n v="63"/>
    <x v="43"/>
    <x v="42"/>
    <x v="62"/>
    <x v="0"/>
    <x v="62"/>
    <x v="0"/>
    <d v="2023-03-07T00:00:00"/>
    <s v="2B24-200A00-R+DR-TW-2B24-200A00-R-00"/>
  </r>
  <r>
    <n v="64"/>
    <x v="44"/>
    <x v="43"/>
    <x v="63"/>
    <x v="0"/>
    <x v="63"/>
    <x v="1"/>
    <d v="2018-11-23T00:00:00"/>
    <s v="2B25-284-00+DR-TW-2B25-284-00-00"/>
  </r>
  <r>
    <n v="65"/>
    <x v="45"/>
    <x v="44"/>
    <x v="64"/>
    <x v="1"/>
    <x v="64"/>
    <x v="1"/>
    <d v="2019-02-23T00:00:00"/>
    <s v="2B24-075B02-R+DR-TW-2B24-060-01-R-01"/>
  </r>
  <r>
    <n v="66"/>
    <x v="46"/>
    <x v="45"/>
    <x v="65"/>
    <x v="0"/>
    <x v="65"/>
    <x v="0"/>
    <d v="2019-10-21T00:00:00"/>
    <s v="2B26-002-0A+DR-TW-2B26-002-0A-00"/>
  </r>
  <r>
    <n v="67"/>
    <x v="47"/>
    <x v="46"/>
    <x v="66"/>
    <x v="0"/>
    <x v="66"/>
    <x v="1"/>
    <d v="2019-12-14T00:00:00"/>
    <s v="2B25-265-00+DR-TW-2B25-265-00-00"/>
  </r>
  <r>
    <n v="68"/>
    <x v="48"/>
    <x v="47"/>
    <x v="67"/>
    <x v="0"/>
    <x v="67"/>
    <x v="0"/>
    <d v="2020-08-07T00:00:00"/>
    <s v="2B25-261-02+DR-TW-2B25-261-02-00"/>
  </r>
  <r>
    <n v="69"/>
    <x v="49"/>
    <x v="48"/>
    <x v="68"/>
    <x v="1"/>
    <x v="68"/>
    <x v="0"/>
    <d v="2023-05-20T00:00:00"/>
    <s v="2B29-270-01+DR-TW-2B29-270-01-01"/>
  </r>
  <r>
    <n v="70"/>
    <x v="50"/>
    <x v="49"/>
    <x v="69"/>
    <x v="0"/>
    <x v="69"/>
    <x v="1"/>
    <d v="2019-12-03T00:00:00"/>
    <s v="2B25-264-00+DR-TW-2B25-264-00-00"/>
  </r>
  <r>
    <n v="71"/>
    <x v="50"/>
    <x v="50"/>
    <x v="70"/>
    <x v="1"/>
    <x v="70"/>
    <x v="1"/>
    <d v="2019-12-05T00:00:00"/>
    <s v="2B25-012-05+DR-TW-2B25-012-05-01"/>
  </r>
  <r>
    <n v="72"/>
    <x v="51"/>
    <x v="51"/>
    <x v="71"/>
    <x v="0"/>
    <x v="71"/>
    <x v="0"/>
    <d v="2019-12-10T00:00:00"/>
    <s v="2B26-208-02+DR-TW-2B26-208-02-00"/>
  </r>
  <r>
    <n v="73"/>
    <x v="52"/>
    <x v="52"/>
    <x v="72"/>
    <x v="2"/>
    <x v="72"/>
    <x v="1"/>
    <d v="2019-12-18T00:00:00"/>
    <s v="2B26-218-03+DR-TW-2B26-218-03-02"/>
  </r>
  <r>
    <n v="74"/>
    <x v="53"/>
    <x v="53"/>
    <x v="73"/>
    <x v="0"/>
    <x v="73"/>
    <x v="0"/>
    <d v="2023-04-24T00:00:00"/>
    <s v="2B25-198-00+DR-TW-2B25-198-00-00"/>
  </r>
  <r>
    <n v="75"/>
    <x v="54"/>
    <x v="54"/>
    <x v="74"/>
    <x v="0"/>
    <x v="74"/>
    <x v="1"/>
    <d v="2020-08-16T00:00:00"/>
    <s v="2B26-062-04+DR-TW-2B26-062-04-00"/>
  </r>
  <r>
    <n v="76"/>
    <x v="55"/>
    <x v="55"/>
    <x v="75"/>
    <x v="0"/>
    <x v="75"/>
    <x v="1"/>
    <d v="2021-05-05T00:00:00"/>
    <s v="2B26-063-04+DR-TW-2B26-063-04-00"/>
  </r>
  <r>
    <n v="77"/>
    <x v="56"/>
    <x v="56"/>
    <x v="76"/>
    <x v="1"/>
    <x v="76"/>
    <x v="0"/>
    <d v="2023-02-25T00:00:00"/>
    <s v="2B27-081-00+DR-TW-2B27-081-00-01"/>
  </r>
  <r>
    <n v="78"/>
    <x v="57"/>
    <x v="57"/>
    <x v="77"/>
    <x v="0"/>
    <x v="77"/>
    <x v="3"/>
    <m/>
    <s v="2B25-354-00+DR-TW-2B25-354-00-00"/>
  </r>
  <r>
    <n v="79"/>
    <x v="58"/>
    <x v="58"/>
    <x v="78"/>
    <x v="0"/>
    <x v="78"/>
    <x v="0"/>
    <d v="2021-02-18T00:00:00"/>
    <s v="2B98M696-02+DR-TW-2B98M696-02-00"/>
  </r>
  <r>
    <n v="80"/>
    <x v="59"/>
    <x v="59"/>
    <x v="79"/>
    <x v="0"/>
    <x v="79"/>
    <x v="0"/>
    <d v="2023-05-31T00:00:00"/>
    <s v="2B91-076-00-R+DR-TW-2B91-076-00-R-00"/>
  </r>
  <r>
    <n v="81"/>
    <x v="60"/>
    <x v="60"/>
    <x v="80"/>
    <x v="0"/>
    <x v="80"/>
    <x v="1"/>
    <m/>
    <s v="2B48-508-00+DR-TW-2B48-508-00-00"/>
  </r>
  <r>
    <n v="82"/>
    <x v="61"/>
    <x v="61"/>
    <x v="81"/>
    <x v="0"/>
    <x v="81"/>
    <x v="1"/>
    <m/>
    <s v="2B53-400-00+DR-TW-2B53-400-00-00"/>
  </r>
  <r>
    <n v="83"/>
    <x v="62"/>
    <x v="62"/>
    <x v="82"/>
    <x v="0"/>
    <x v="82"/>
    <x v="3"/>
    <m/>
    <s v="2B25-230-00-R+DR-TW-2B25-230-00-R-00"/>
  </r>
  <r>
    <n v="84"/>
    <x v="63"/>
    <x v="63"/>
    <x v="83"/>
    <x v="0"/>
    <x v="83"/>
    <x v="1"/>
    <m/>
    <s v="2B51-215-01+DR-TW-2B51-215-01-00"/>
  </r>
  <r>
    <n v="85"/>
    <x v="63"/>
    <x v="64"/>
    <x v="84"/>
    <x v="0"/>
    <x v="84"/>
    <x v="1"/>
    <m/>
    <s v="2B52-253-04+DR-TW-2B52-253-04-00"/>
  </r>
  <r>
    <n v="86"/>
    <x v="63"/>
    <x v="65"/>
    <x v="85"/>
    <x v="0"/>
    <x v="81"/>
    <x v="1"/>
    <m/>
    <s v="2B53-400-01+DR-TW-2B53-400-01-00"/>
  </r>
  <r>
    <n v="87"/>
    <x v="63"/>
    <x v="64"/>
    <x v="86"/>
    <x v="0"/>
    <x v="85"/>
    <x v="1"/>
    <d v="2023-03-28T00:00:00"/>
    <s v="2B52-283-01+DR-TW-2B52-253-04-00"/>
  </r>
  <r>
    <n v="88"/>
    <x v="64"/>
    <x v="66"/>
    <x v="87"/>
    <x v="0"/>
    <x v="86"/>
    <x v="0"/>
    <d v="2020-09-10T00:00:00"/>
    <s v="2B25-132-01+DR-TW-2B25-132-01-00"/>
  </r>
  <r>
    <n v="89"/>
    <x v="65"/>
    <x v="67"/>
    <x v="80"/>
    <x v="1"/>
    <x v="87"/>
    <x v="0"/>
    <d v="2021-03-02T00:00:00"/>
    <s v="2B48-508-00+DR-TW-2B48-508-00-01"/>
  </r>
  <r>
    <n v="90"/>
    <x v="66"/>
    <x v="68"/>
    <x v="88"/>
    <x v="6"/>
    <x v="88"/>
    <x v="2"/>
    <m/>
    <s v="2B27-100-02+DR-TW-2B27-100-02-03"/>
  </r>
  <r>
    <n v="91"/>
    <x v="67"/>
    <x v="69"/>
    <x v="89"/>
    <x v="0"/>
    <x v="89"/>
    <x v="0"/>
    <d v="2021-01-26T00:00:00"/>
    <s v="2B04A120-01-R+DR-TW-2B04A120-01-R-00"/>
  </r>
  <r>
    <n v="92"/>
    <x v="67"/>
    <x v="70"/>
    <x v="90"/>
    <x v="0"/>
    <x v="90"/>
    <x v="1"/>
    <m/>
    <s v="2B54-095-00+DR-TW-2B54-095-00-00"/>
  </r>
  <r>
    <n v="93"/>
    <x v="67"/>
    <x v="71"/>
    <x v="91"/>
    <x v="0"/>
    <x v="91"/>
    <x v="3"/>
    <m/>
    <s v="2B55-095-00+DR-TW-2B55-095-00-00"/>
  </r>
  <r>
    <n v="94"/>
    <x v="67"/>
    <x v="72"/>
    <x v="92"/>
    <x v="0"/>
    <x v="92"/>
    <x v="1"/>
    <m/>
    <s v="2B91-194-01+DR-TW-2B91-194-01-00"/>
  </r>
  <r>
    <n v="95"/>
    <x v="67"/>
    <x v="71"/>
    <x v="93"/>
    <x v="0"/>
    <x v="93"/>
    <x v="0"/>
    <d v="2023-02-16T00:00:00"/>
    <s v="2B55-170-00+DR-TW-2B55-095-00-00"/>
  </r>
  <r>
    <n v="96"/>
    <x v="67"/>
    <x v="69"/>
    <x v="94"/>
    <x v="0"/>
    <x v="94"/>
    <x v="0"/>
    <d v="2023-03-27T00:00:00"/>
    <s v="2B04A140-01-R+DR-TW-2B04A120-01-R-00"/>
  </r>
  <r>
    <n v="97"/>
    <x v="67"/>
    <x v="69"/>
    <x v="95"/>
    <x v="0"/>
    <x v="95"/>
    <x v="0"/>
    <d v="2023-03-27T00:00:00"/>
    <s v="2B04A135-01-R+DR-TW-2B04A120-01-R-00"/>
  </r>
  <r>
    <n v="98"/>
    <x v="67"/>
    <x v="69"/>
    <x v="96"/>
    <x v="0"/>
    <x v="96"/>
    <x v="0"/>
    <d v="2023-03-27T00:00:00"/>
    <s v="2B04A125-01-R+DR-TW-2B04A120-01-R-00"/>
  </r>
  <r>
    <n v="99"/>
    <x v="67"/>
    <x v="71"/>
    <x v="97"/>
    <x v="0"/>
    <x v="97"/>
    <x v="0"/>
    <d v="2023-06-26T00:00:00"/>
    <s v="2B55-185-00+DR-TW-2B55-095-00-00"/>
  </r>
  <r>
    <n v="100"/>
    <x v="68"/>
    <x v="73"/>
    <x v="98"/>
    <x v="0"/>
    <x v="98"/>
    <x v="0"/>
    <d v="2020-04-16T00:00:00"/>
    <s v="2B24-211-09+DR-TW-2B24-211-09-00"/>
  </r>
  <r>
    <n v="101"/>
    <x v="68"/>
    <x v="74"/>
    <x v="85"/>
    <x v="1"/>
    <x v="81"/>
    <x v="1"/>
    <m/>
    <s v="2B53-400-01+DR-TW-2B53-400-01-01"/>
  </r>
  <r>
    <n v="102"/>
    <x v="68"/>
    <x v="75"/>
    <x v="90"/>
    <x v="1"/>
    <x v="90"/>
    <x v="0"/>
    <d v="2020-04-08T00:00:00"/>
    <s v="2B54-095-00+DR-TW-2B54-095-00-01"/>
  </r>
  <r>
    <n v="103"/>
    <x v="68"/>
    <x v="73"/>
    <x v="99"/>
    <x v="0"/>
    <x v="99"/>
    <x v="0"/>
    <d v="2019-04-15T00:00:00"/>
    <s v="2B24-213-01+DR-TW-2B24-211-09-00"/>
  </r>
  <r>
    <n v="104"/>
    <x v="68"/>
    <x v="73"/>
    <x v="100"/>
    <x v="0"/>
    <x v="100"/>
    <x v="0"/>
    <d v="2020-04-07T00:00:00"/>
    <s v="2B24-212-09+DR-TW-2B24-211-09-00"/>
  </r>
  <r>
    <n v="105"/>
    <x v="68"/>
    <x v="73"/>
    <x v="101"/>
    <x v="0"/>
    <x v="101"/>
    <x v="0"/>
    <d v="2020-10-06T00:00:00"/>
    <s v="2B24-219-01+DR-TW-2B24-211-09-00"/>
  </r>
  <r>
    <n v="106"/>
    <x v="69"/>
    <x v="76"/>
    <x v="102"/>
    <x v="0"/>
    <x v="102"/>
    <x v="1"/>
    <m/>
    <s v="2B26-081-01+DR-TW-2B26-081-01-00"/>
  </r>
  <r>
    <n v="107"/>
    <x v="69"/>
    <x v="77"/>
    <x v="103"/>
    <x v="0"/>
    <x v="103"/>
    <x v="1"/>
    <m/>
    <s v="2B26-082-01+DR-TW-2B26-082-01-00"/>
  </r>
  <r>
    <n v="108"/>
    <x v="69"/>
    <x v="78"/>
    <x v="104"/>
    <x v="0"/>
    <x v="104"/>
    <x v="1"/>
    <m/>
    <s v="2B26-142-05+DR-TW-2B26-142-05-00"/>
  </r>
  <r>
    <n v="109"/>
    <x v="69"/>
    <x v="79"/>
    <x v="105"/>
    <x v="0"/>
    <x v="105"/>
    <x v="1"/>
    <d v="2020-04-06T00:00:00"/>
    <s v="2B26-280-04+DR-TW-2B26-280-04-00"/>
  </r>
  <r>
    <n v="110"/>
    <x v="70"/>
    <x v="80"/>
    <x v="92"/>
    <x v="1"/>
    <x v="92"/>
    <x v="0"/>
    <d v="2020-03-21T00:00:00"/>
    <s v="2B91-194-01+DR-TW-2B91-194-01-01"/>
  </r>
  <r>
    <n v="111"/>
    <x v="71"/>
    <x v="81"/>
    <x v="106"/>
    <x v="0"/>
    <x v="106"/>
    <x v="0"/>
    <d v="2020-05-22T00:00:00"/>
    <s v="2B26-045-04+DR-TW-2B26-045-04-00"/>
  </r>
  <r>
    <n v="112"/>
    <x v="71"/>
    <x v="82"/>
    <x v="107"/>
    <x v="0"/>
    <x v="107"/>
    <x v="3"/>
    <m/>
    <s v="2B26-046-04+DR-TW-2B26-046-04-00"/>
  </r>
  <r>
    <n v="113"/>
    <x v="71"/>
    <x v="83"/>
    <x v="102"/>
    <x v="1"/>
    <x v="108"/>
    <x v="1"/>
    <d v="2020-04-28T00:00:00"/>
    <s v="2B26-081-01+DR-TW-2B26-081-01-01"/>
  </r>
  <r>
    <n v="114"/>
    <x v="71"/>
    <x v="84"/>
    <x v="103"/>
    <x v="1"/>
    <x v="109"/>
    <x v="1"/>
    <d v="2020-04-28T00:00:00"/>
    <s v="2B26-082-01+DR-TW-2B26-082-01-01"/>
  </r>
  <r>
    <n v="115"/>
    <x v="71"/>
    <x v="85"/>
    <x v="108"/>
    <x v="0"/>
    <x v="110"/>
    <x v="1"/>
    <m/>
    <s v="2B26-110-0F+DR-TW-2B26-110-0F-00"/>
  </r>
  <r>
    <n v="116"/>
    <x v="71"/>
    <x v="86"/>
    <x v="109"/>
    <x v="0"/>
    <x v="111"/>
    <x v="1"/>
    <m/>
    <s v="2B26-118-04+DR-TW-2B26-118-04-00"/>
  </r>
  <r>
    <n v="117"/>
    <x v="71"/>
    <x v="87"/>
    <x v="110"/>
    <x v="0"/>
    <x v="112"/>
    <x v="1"/>
    <d v="2020-05-27T00:00:00"/>
    <s v="2B26-215-07+DR-TW-2B26-215-07-00"/>
  </r>
  <r>
    <n v="118"/>
    <x v="71"/>
    <x v="88"/>
    <x v="111"/>
    <x v="1"/>
    <x v="113"/>
    <x v="1"/>
    <d v="2020-10-08T00:00:00"/>
    <s v="2B26-228-01+DR-TW-2B26-228-01-01"/>
  </r>
  <r>
    <n v="119"/>
    <x v="71"/>
    <x v="89"/>
    <x v="112"/>
    <x v="0"/>
    <x v="114"/>
    <x v="1"/>
    <d v="2020-09-22T00:00:00"/>
    <s v="2B26-229-02+DR-TW-2B26-229-02-00"/>
  </r>
  <r>
    <n v="120"/>
    <x v="71"/>
    <x v="90"/>
    <x v="113"/>
    <x v="0"/>
    <x v="115"/>
    <x v="1"/>
    <d v="2020-05-15T00:00:00"/>
    <s v="2B26-234-04+DR-TW-2B26-234-04-00"/>
  </r>
  <r>
    <n v="121"/>
    <x v="71"/>
    <x v="91"/>
    <x v="114"/>
    <x v="0"/>
    <x v="116"/>
    <x v="1"/>
    <m/>
    <s v="2B26-235-03+DR-TW-2B26-235-03-00"/>
  </r>
  <r>
    <n v="122"/>
    <x v="71"/>
    <x v="92"/>
    <x v="115"/>
    <x v="0"/>
    <x v="117"/>
    <x v="0"/>
    <m/>
    <s v="2B26-236-01+DR-TW-2B26-236-01-00"/>
  </r>
  <r>
    <n v="123"/>
    <x v="71"/>
    <x v="93"/>
    <x v="116"/>
    <x v="0"/>
    <x v="118"/>
    <x v="1"/>
    <d v="2020-04-24T00:00:00"/>
    <s v="2B26-244-03+DR-TW-2B26-244-03-00"/>
  </r>
  <r>
    <n v="124"/>
    <x v="71"/>
    <x v="94"/>
    <x v="117"/>
    <x v="0"/>
    <x v="119"/>
    <x v="2"/>
    <m/>
    <s v="2B26-281-02+DR-TW-2B26-281-02-00"/>
  </r>
  <r>
    <n v="125"/>
    <x v="71"/>
    <x v="95"/>
    <x v="118"/>
    <x v="2"/>
    <x v="120"/>
    <x v="0"/>
    <s v="PAKORN"/>
    <s v="2B19D145-02+DR-TW-2B19D140-02-02"/>
  </r>
  <r>
    <n v="126"/>
    <x v="71"/>
    <x v="95"/>
    <x v="119"/>
    <x v="2"/>
    <x v="121"/>
    <x v="0"/>
    <s v="PAKORN"/>
    <s v="2B19D155-02+DR-TW-2B19D140-02-02"/>
  </r>
  <r>
    <n v="127"/>
    <x v="71"/>
    <x v="95"/>
    <x v="120"/>
    <x v="2"/>
    <x v="122"/>
    <x v="0"/>
    <s v="PAKORN"/>
    <s v="2B19D160-02+DR-TW-2B19D140-02-02"/>
  </r>
  <r>
    <n v="128"/>
    <x v="71"/>
    <x v="95"/>
    <x v="121"/>
    <x v="2"/>
    <x v="123"/>
    <x v="0"/>
    <s v="PAKORN"/>
    <s v="2B19D165-02+DR-TW-2B19D140-02-02"/>
  </r>
  <r>
    <n v="129"/>
    <x v="71"/>
    <x v="95"/>
    <x v="122"/>
    <x v="2"/>
    <x v="124"/>
    <x v="0"/>
    <s v="PAKORN"/>
    <s v="2B19D170-02+DR-TW-2B19D140-02-02"/>
  </r>
  <r>
    <n v="130"/>
    <x v="71"/>
    <x v="95"/>
    <x v="123"/>
    <x v="2"/>
    <x v="125"/>
    <x v="0"/>
    <s v="PAKORN"/>
    <s v="2B19D180-02+DR-TW-2B19D140-02-02"/>
  </r>
  <r>
    <n v="131"/>
    <x v="72"/>
    <x v="96"/>
    <x v="124"/>
    <x v="0"/>
    <x v="126"/>
    <x v="1"/>
    <m/>
    <s v="2B26-003-03+DR-TW-2B26-003-03-00"/>
  </r>
  <r>
    <n v="132"/>
    <x v="72"/>
    <x v="97"/>
    <x v="125"/>
    <x v="0"/>
    <x v="127"/>
    <x v="1"/>
    <d v="2020-08-26T00:00:00"/>
    <s v="2B26-009-02+DR-TW-2B26-009-02-00"/>
  </r>
  <r>
    <n v="133"/>
    <x v="72"/>
    <x v="98"/>
    <x v="126"/>
    <x v="0"/>
    <x v="128"/>
    <x v="1"/>
    <m/>
    <s v="2B26-043-08+DR-TW-2B26-043-08-00"/>
  </r>
  <r>
    <n v="134"/>
    <x v="72"/>
    <x v="99"/>
    <x v="127"/>
    <x v="0"/>
    <x v="129"/>
    <x v="1"/>
    <m/>
    <s v="2B26-051-03+DR-TW-2B26-051-03-00"/>
  </r>
  <r>
    <n v="135"/>
    <x v="72"/>
    <x v="100"/>
    <x v="128"/>
    <x v="0"/>
    <x v="130"/>
    <x v="0"/>
    <d v="2020-08-17T00:00:00"/>
    <s v="2B26-052-02+DR-TW-2B26-052-02-00"/>
  </r>
  <r>
    <n v="136"/>
    <x v="72"/>
    <x v="101"/>
    <x v="129"/>
    <x v="0"/>
    <x v="131"/>
    <x v="1"/>
    <m/>
    <s v="2B26-055-02+DR-TW-2B26-055-02-00"/>
  </r>
  <r>
    <n v="137"/>
    <x v="72"/>
    <x v="102"/>
    <x v="130"/>
    <x v="0"/>
    <x v="132"/>
    <x v="1"/>
    <m/>
    <s v="2B26-122-06+DR-TW-2B26-122-06-00"/>
  </r>
  <r>
    <n v="138"/>
    <x v="72"/>
    <x v="103"/>
    <x v="131"/>
    <x v="0"/>
    <x v="133"/>
    <x v="1"/>
    <m/>
    <s v="2B26-126-0I+DR-TW-2B26-126-0I-00"/>
  </r>
  <r>
    <n v="139"/>
    <x v="72"/>
    <x v="104"/>
    <x v="132"/>
    <x v="0"/>
    <x v="133"/>
    <x v="1"/>
    <m/>
    <s v="2B26-132-01+DR-TW-2B26-132-01-00"/>
  </r>
  <r>
    <n v="140"/>
    <x v="72"/>
    <x v="105"/>
    <x v="114"/>
    <x v="1"/>
    <x v="116"/>
    <x v="1"/>
    <d v="2020-04-16T00:00:00"/>
    <s v="2B26-235-03+DR-TW-2B26-235-03-01"/>
  </r>
  <r>
    <n v="141"/>
    <x v="72"/>
    <x v="106"/>
    <x v="133"/>
    <x v="0"/>
    <x v="134"/>
    <x v="2"/>
    <m/>
    <s v="2B26-262-03+DR-TW-2B26-262-03-00"/>
  </r>
  <r>
    <n v="142"/>
    <x v="73"/>
    <x v="107"/>
    <x v="134"/>
    <x v="0"/>
    <x v="135"/>
    <x v="1"/>
    <m/>
    <s v="2B26-123-06+DR-TW-2B26-123-06-00"/>
  </r>
  <r>
    <n v="143"/>
    <x v="73"/>
    <x v="108"/>
    <x v="135"/>
    <x v="0"/>
    <x v="135"/>
    <x v="1"/>
    <m/>
    <s v="2B26-130-03+DR-TW-2B26-130-03-00"/>
  </r>
  <r>
    <n v="144"/>
    <x v="73"/>
    <x v="109"/>
    <x v="136"/>
    <x v="0"/>
    <x v="136"/>
    <x v="1"/>
    <d v="2020-04-10T00:00:00"/>
    <s v="2B26-064-03+DR-TW-2B26-064-03-00"/>
  </r>
  <r>
    <n v="145"/>
    <x v="74"/>
    <x v="110"/>
    <x v="137"/>
    <x v="0"/>
    <x v="137"/>
    <x v="3"/>
    <m/>
    <s v="2B29-129-03+DR-TW-2B29-129-03-00"/>
  </r>
  <r>
    <n v="146"/>
    <x v="74"/>
    <x v="111"/>
    <x v="138"/>
    <x v="0"/>
    <x v="138"/>
    <x v="3"/>
    <m/>
    <s v="2B29-143-02+DR-TW-2B29-143-02-00"/>
  </r>
  <r>
    <n v="147"/>
    <x v="74"/>
    <x v="112"/>
    <x v="139"/>
    <x v="0"/>
    <x v="139"/>
    <x v="3"/>
    <m/>
    <s v="2B29-146-02+DR-TW-2B29-146-02-00"/>
  </r>
  <r>
    <n v="148"/>
    <x v="74"/>
    <x v="113"/>
    <x v="140"/>
    <x v="0"/>
    <x v="140"/>
    <x v="3"/>
    <m/>
    <s v="2B29-340-02+DR-TW-2B29-340-02-00"/>
  </r>
  <r>
    <n v="149"/>
    <x v="74"/>
    <x v="114"/>
    <x v="141"/>
    <x v="0"/>
    <x v="141"/>
    <x v="3"/>
    <m/>
    <s v="2B29-341-01+DR-TW-2B29-341-01-00"/>
  </r>
  <r>
    <n v="150"/>
    <x v="74"/>
    <x v="115"/>
    <x v="142"/>
    <x v="0"/>
    <x v="142"/>
    <x v="3"/>
    <m/>
    <s v="2B29-342-01+DR-TW-2B29-342-01-00"/>
  </r>
  <r>
    <n v="151"/>
    <x v="74"/>
    <x v="116"/>
    <x v="143"/>
    <x v="0"/>
    <x v="143"/>
    <x v="3"/>
    <m/>
    <s v="2B29-343-02+DR-TW-2B29-343-02-00"/>
  </r>
  <r>
    <n v="152"/>
    <x v="74"/>
    <x v="117"/>
    <x v="144"/>
    <x v="0"/>
    <x v="144"/>
    <x v="3"/>
    <m/>
    <s v="2B29-344-02+DR-TW-2B29-344-02-00"/>
  </r>
  <r>
    <n v="153"/>
    <x v="75"/>
    <x v="118"/>
    <x v="145"/>
    <x v="0"/>
    <x v="145"/>
    <x v="0"/>
    <d v="2020-04-23T00:00:00"/>
    <s v="2B26-257-02+DR-TW-2B26-257-02-00"/>
  </r>
  <r>
    <n v="154"/>
    <x v="76"/>
    <x v="119"/>
    <x v="146"/>
    <x v="0"/>
    <x v="146"/>
    <x v="1"/>
    <m/>
    <s v="2B26-051-04+DR-TW-2B26-051-04-00"/>
  </r>
  <r>
    <n v="155"/>
    <x v="76"/>
    <x v="120"/>
    <x v="147"/>
    <x v="0"/>
    <x v="131"/>
    <x v="1"/>
    <m/>
    <s v="2B26-055-03+DR-TW-2B26-055-03-00"/>
  </r>
  <r>
    <n v="156"/>
    <x v="76"/>
    <x v="121"/>
    <x v="148"/>
    <x v="0"/>
    <x v="147"/>
    <x v="1"/>
    <m/>
    <s v="2B26-126-0J+DR-TW-2B26-126-0J-00"/>
  </r>
  <r>
    <n v="157"/>
    <x v="76"/>
    <x v="122"/>
    <x v="149"/>
    <x v="0"/>
    <x v="148"/>
    <x v="1"/>
    <m/>
    <s v="2B26-252-00+DR-TW-2B26-252-00-00"/>
  </r>
  <r>
    <n v="158"/>
    <x v="76"/>
    <x v="123"/>
    <x v="150"/>
    <x v="0"/>
    <x v="149"/>
    <x v="1"/>
    <m/>
    <s v="2B26-276-00+DR-TW-2B26-276-00-00"/>
  </r>
  <r>
    <n v="159"/>
    <x v="76"/>
    <x v="124"/>
    <x v="111"/>
    <x v="0"/>
    <x v="150"/>
    <x v="1"/>
    <d v="2020-10-08T00:00:00"/>
    <s v="2B26-228-01+DR-TW-2B26-228-01-00"/>
  </r>
  <r>
    <n v="160"/>
    <x v="77"/>
    <x v="125"/>
    <x v="151"/>
    <x v="0"/>
    <x v="151"/>
    <x v="1"/>
    <m/>
    <s v="2B26-048-02+DR-TW-2B26-048-02-00"/>
  </r>
  <r>
    <n v="161"/>
    <x v="77"/>
    <x v="126"/>
    <x v="152"/>
    <x v="0"/>
    <x v="152"/>
    <x v="0"/>
    <d v="2024-05-25T00:00:00"/>
    <s v="2B26-049-07+DR-TW-2B26-049-07-00"/>
  </r>
  <r>
    <n v="162"/>
    <x v="77"/>
    <x v="127"/>
    <x v="153"/>
    <x v="0"/>
    <x v="153"/>
    <x v="1"/>
    <m/>
    <s v="2B26-050-05+DR-TW-2B26-050-05-00"/>
  </r>
  <r>
    <n v="163"/>
    <x v="77"/>
    <x v="128"/>
    <x v="154"/>
    <x v="0"/>
    <x v="154"/>
    <x v="1"/>
    <m/>
    <s v="2B69M009-00+DR-TW-2B69M009-00-00"/>
  </r>
  <r>
    <n v="164"/>
    <x v="78"/>
    <x v="129"/>
    <x v="155"/>
    <x v="0"/>
    <x v="155"/>
    <x v="0"/>
    <d v="2020-05-04T00:00:00"/>
    <s v="2B26-003-04+DR-TW-2B26-003-04-00"/>
  </r>
  <r>
    <n v="165"/>
    <x v="78"/>
    <x v="130"/>
    <x v="156"/>
    <x v="0"/>
    <x v="156"/>
    <x v="1"/>
    <d v="2020-04-30T00:00:00"/>
    <s v="2B26-122-07+DR-TW-2B26-122-07-00"/>
  </r>
  <r>
    <n v="166"/>
    <x v="78"/>
    <x v="131"/>
    <x v="157"/>
    <x v="0"/>
    <x v="157"/>
    <x v="1"/>
    <d v="2021-03-03T00:00:00"/>
    <s v="2B26-124-03+DR-TW-2B26-124-03-00"/>
  </r>
  <r>
    <n v="167"/>
    <x v="78"/>
    <x v="132"/>
    <x v="158"/>
    <x v="0"/>
    <x v="158"/>
    <x v="1"/>
    <m/>
    <s v="2B26-130-04+DR-TW-2B26-130-04-00"/>
  </r>
  <r>
    <n v="168"/>
    <x v="78"/>
    <x v="133"/>
    <x v="104"/>
    <x v="1"/>
    <x v="104"/>
    <x v="1"/>
    <m/>
    <s v="2B26-142-05+DR-TW-2B26-142-05-01"/>
  </r>
  <r>
    <n v="169"/>
    <x v="78"/>
    <x v="134"/>
    <x v="159"/>
    <x v="0"/>
    <x v="159"/>
    <x v="0"/>
    <d v="2023-12-04T00:00:00"/>
    <s v="2B26-262-04+DR-TW-2B26-262-04-00"/>
  </r>
  <r>
    <n v="170"/>
    <x v="78"/>
    <x v="135"/>
    <x v="160"/>
    <x v="0"/>
    <x v="160"/>
    <x v="1"/>
    <d v="2020-05-27T00:00:00"/>
    <s v="2B26-272-06+DR-TW-2B26-272-06-00"/>
  </r>
  <r>
    <n v="171"/>
    <x v="79"/>
    <x v="69"/>
    <x v="161"/>
    <x v="0"/>
    <x v="161"/>
    <x v="0"/>
    <d v="2020-05-13T00:00:00"/>
    <s v="2B04A130-01-R+DR-TW-2B04A120-01-R-00"/>
  </r>
  <r>
    <n v="172"/>
    <x v="80"/>
    <x v="136"/>
    <x v="162"/>
    <x v="0"/>
    <x v="162"/>
    <x v="1"/>
    <d v="2020-06-12T00:00:00"/>
    <s v="2B98M674-01+DR-TW-2B98M674-01-00"/>
  </r>
  <r>
    <n v="173"/>
    <x v="81"/>
    <x v="137"/>
    <x v="163"/>
    <x v="0"/>
    <x v="163"/>
    <x v="1"/>
    <d v="2020-05-16T00:00:00"/>
    <s v="2B25-058-01+DR-TW-2B25-058-01-00"/>
  </r>
  <r>
    <n v="174"/>
    <x v="81"/>
    <x v="138"/>
    <x v="148"/>
    <x v="1"/>
    <x v="147"/>
    <x v="1"/>
    <d v="2020-05-12T00:00:00"/>
    <s v="2B26-126-0J+DR-TW-2B26-126-0J-01"/>
  </r>
  <r>
    <n v="175"/>
    <x v="81"/>
    <x v="139"/>
    <x v="164"/>
    <x v="0"/>
    <x v="164"/>
    <x v="1"/>
    <d v="2020-05-27T00:00:00"/>
    <s v="2B26-231-04+DR-TW-2B26-231-04-00"/>
  </r>
  <r>
    <n v="176"/>
    <x v="81"/>
    <x v="140"/>
    <x v="165"/>
    <x v="0"/>
    <x v="165"/>
    <x v="1"/>
    <d v="2020-06-01T00:00:00"/>
    <s v="2B26-274-05+DR-TW-2B26-274-05-00"/>
  </r>
  <r>
    <n v="177"/>
    <x v="81"/>
    <x v="141"/>
    <x v="166"/>
    <x v="0"/>
    <x v="166"/>
    <x v="0"/>
    <d v="2020-05-25T00:00:00"/>
    <s v="2B94-093-00+DR-TW-2B94-093-00-00"/>
  </r>
  <r>
    <n v="178"/>
    <x v="82"/>
    <x v="142"/>
    <x v="167"/>
    <x v="0"/>
    <x v="167"/>
    <x v="1"/>
    <m/>
    <s v="2B24-225-04+DR-TW-2B24-225-04-00"/>
  </r>
  <r>
    <n v="179"/>
    <x v="82"/>
    <x v="143"/>
    <x v="168"/>
    <x v="0"/>
    <x v="168"/>
    <x v="1"/>
    <m/>
    <s v="2B24-229-03+DR-TW-2B24-229-03-00"/>
  </r>
  <r>
    <n v="180"/>
    <x v="82"/>
    <x v="144"/>
    <x v="169"/>
    <x v="0"/>
    <x v="169"/>
    <x v="1"/>
    <d v="2020-05-27T00:00:00"/>
    <s v="2B26-260-01+DR-TW-2B26-260-01-00"/>
  </r>
  <r>
    <n v="181"/>
    <x v="83"/>
    <x v="145"/>
    <x v="170"/>
    <x v="0"/>
    <x v="170"/>
    <x v="1"/>
    <d v="2020-06-04T00:00:00"/>
    <s v="2B26-219-03+DR-TW-2B26-219-03-00"/>
  </r>
  <r>
    <n v="182"/>
    <x v="83"/>
    <x v="146"/>
    <x v="171"/>
    <x v="0"/>
    <x v="171"/>
    <x v="1"/>
    <m/>
    <s v="2B48-253-00+DR-TW-2B48-253-00-00"/>
  </r>
  <r>
    <n v="183"/>
    <x v="84"/>
    <x v="147"/>
    <x v="172"/>
    <x v="0"/>
    <x v="172"/>
    <x v="1"/>
    <m/>
    <s v="2B24-300-00+DR-TW-2B24-300-00-00"/>
  </r>
  <r>
    <n v="184"/>
    <x v="84"/>
    <x v="148"/>
    <x v="173"/>
    <x v="0"/>
    <x v="173"/>
    <x v="1"/>
    <m/>
    <s v="2B25-125-04+DR-TW-2B25-125-04-00"/>
  </r>
  <r>
    <n v="185"/>
    <x v="84"/>
    <x v="149"/>
    <x v="174"/>
    <x v="0"/>
    <x v="174"/>
    <x v="0"/>
    <d v="2024-06-15T00:00:00"/>
    <s v="2B25-127-03+DR-TW-2B25-127-03-00"/>
  </r>
  <r>
    <n v="186"/>
    <x v="84"/>
    <x v="150"/>
    <x v="175"/>
    <x v="0"/>
    <x v="175"/>
    <x v="1"/>
    <m/>
    <s v="2B25-138-01+DR-TW-2B25-138-01-00"/>
  </r>
  <r>
    <n v="187"/>
    <x v="84"/>
    <x v="151"/>
    <x v="176"/>
    <x v="0"/>
    <x v="176"/>
    <x v="1"/>
    <m/>
    <s v="2B25-139-01+DR-TW-2B25-139-01-00"/>
  </r>
  <r>
    <n v="188"/>
    <x v="84"/>
    <x v="152"/>
    <x v="177"/>
    <x v="0"/>
    <x v="177"/>
    <x v="1"/>
    <m/>
    <s v="2B25-352-01+DR-TW-2B25-352-01-00"/>
  </r>
  <r>
    <n v="189"/>
    <x v="84"/>
    <x v="153"/>
    <x v="178"/>
    <x v="0"/>
    <x v="178"/>
    <x v="1"/>
    <m/>
    <s v="2B25-353-01+DR-TW-2B25-353-01-00"/>
  </r>
  <r>
    <n v="190"/>
    <x v="84"/>
    <x v="154"/>
    <x v="179"/>
    <x v="0"/>
    <x v="179"/>
    <x v="1"/>
    <d v="2020-06-13T00:00:00"/>
    <s v="2B26-250-00+DR-TW-2B26-250-00-00"/>
  </r>
  <r>
    <n v="191"/>
    <x v="84"/>
    <x v="155"/>
    <x v="180"/>
    <x v="0"/>
    <x v="180"/>
    <x v="1"/>
    <d v="2020-07-01T00:00:00"/>
    <s v="2B30-021-04+DR-TW-2B30-021-04-00"/>
  </r>
  <r>
    <n v="192"/>
    <x v="84"/>
    <x v="156"/>
    <x v="181"/>
    <x v="0"/>
    <x v="181"/>
    <x v="1"/>
    <d v="2020-06-12T00:00:00"/>
    <s v="2B26-250-05+DR-TW-2B26-250-05-00"/>
  </r>
  <r>
    <n v="193"/>
    <x v="84"/>
    <x v="156"/>
    <x v="182"/>
    <x v="0"/>
    <x v="181"/>
    <x v="1"/>
    <m/>
    <s v="2B26-251-05+DR-TW-2B26-250-05-00"/>
  </r>
  <r>
    <n v="194"/>
    <x v="85"/>
    <x v="157"/>
    <x v="183"/>
    <x v="0"/>
    <x v="182"/>
    <x v="0"/>
    <d v="2019-06-18T00:00:00"/>
    <s v="2B30-020-00+DR-TW-2B30-020-00-00"/>
  </r>
  <r>
    <n v="195"/>
    <x v="86"/>
    <x v="158"/>
    <x v="184"/>
    <x v="0"/>
    <x v="183"/>
    <x v="1"/>
    <m/>
    <s v="2B69A001-00+DR-TW-2B69A001-00-00"/>
  </r>
  <r>
    <n v="196"/>
    <x v="86"/>
    <x v="159"/>
    <x v="185"/>
    <x v="0"/>
    <x v="184"/>
    <x v="1"/>
    <m/>
    <s v="2B69A002-00+DR-TW-2B69A002-00-00"/>
  </r>
  <r>
    <n v="197"/>
    <x v="87"/>
    <x v="160"/>
    <x v="186"/>
    <x v="0"/>
    <x v="185"/>
    <x v="1"/>
    <d v="2020-08-21T00:00:00"/>
    <s v="2B26-255-06+DR-TW-2B26-255-06-00"/>
  </r>
  <r>
    <n v="198"/>
    <x v="87"/>
    <x v="161"/>
    <x v="187"/>
    <x v="0"/>
    <x v="186"/>
    <x v="1"/>
    <d v="2020-06-22T00:00:00"/>
    <s v="2B26-270-01+DR-TW-2B26-270-01-00"/>
  </r>
  <r>
    <n v="199"/>
    <x v="88"/>
    <x v="162"/>
    <x v="188"/>
    <x v="0"/>
    <x v="187"/>
    <x v="1"/>
    <d v="2020-07-07T00:00:00"/>
    <s v="2B26-051-05+DR-TW-2B26-051-05-00"/>
  </r>
  <r>
    <n v="200"/>
    <x v="88"/>
    <x v="163"/>
    <x v="189"/>
    <x v="0"/>
    <x v="188"/>
    <x v="1"/>
    <m/>
    <s v="2B69M013-00+DR-TW-2B69M013-00-00"/>
  </r>
  <r>
    <n v="201"/>
    <x v="89"/>
    <x v="164"/>
    <x v="190"/>
    <x v="0"/>
    <x v="189"/>
    <x v="0"/>
    <d v="2020-07-08T00:00:00"/>
    <s v="2B25-323-00+DR-TW-2B25-323-00-00"/>
  </r>
  <r>
    <n v="202"/>
    <x v="89"/>
    <x v="165"/>
    <x v="191"/>
    <x v="0"/>
    <x v="190"/>
    <x v="1"/>
    <d v="2020-10-20T00:00:00"/>
    <s v="2B29-370-00+DR-TW-2B29-370-00-00"/>
  </r>
  <r>
    <n v="203"/>
    <x v="89"/>
    <x v="166"/>
    <x v="192"/>
    <x v="0"/>
    <x v="191"/>
    <x v="1"/>
    <m/>
    <s v="2B69A003-00+DR-TW-2B69A003-00-00"/>
  </r>
  <r>
    <n v="204"/>
    <x v="89"/>
    <x v="167"/>
    <x v="193"/>
    <x v="0"/>
    <x v="192"/>
    <x v="1"/>
    <m/>
    <s v="2B69A005-00+DR-TW-2B69A005-00-00"/>
  </r>
  <r>
    <n v="205"/>
    <x v="89"/>
    <x v="168"/>
    <x v="194"/>
    <x v="0"/>
    <x v="193"/>
    <x v="1"/>
    <d v="2020-07-21T00:00:00"/>
    <s v="2B69A006-00+DR-TW-2B69A006-00-00"/>
  </r>
  <r>
    <n v="206"/>
    <x v="90"/>
    <x v="169"/>
    <x v="195"/>
    <x v="0"/>
    <x v="194"/>
    <x v="1"/>
    <m/>
    <s v="2B24-202C00+DR-TW-2B24-202C00-00"/>
  </r>
  <r>
    <n v="207"/>
    <x v="90"/>
    <x v="170"/>
    <x v="196"/>
    <x v="0"/>
    <x v="195"/>
    <x v="1"/>
    <d v="2020-07-24T00:00:00"/>
    <s v="2B26-128-00+DR-TW-2B26-128-00-00"/>
  </r>
  <r>
    <n v="208"/>
    <x v="90"/>
    <x v="171"/>
    <x v="197"/>
    <x v="0"/>
    <x v="196"/>
    <x v="1"/>
    <m/>
    <s v="2B29-421-00+DR-TW-2B29-421-00-00"/>
  </r>
  <r>
    <n v="209"/>
    <x v="90"/>
    <x v="172"/>
    <x v="198"/>
    <x v="0"/>
    <x v="197"/>
    <x v="0"/>
    <d v="2021-05-07T00:00:00"/>
    <s v="2B24-220C00+DR-TW-2B24-220C00-00"/>
  </r>
  <r>
    <n v="210"/>
    <x v="91"/>
    <x v="173"/>
    <x v="199"/>
    <x v="0"/>
    <x v="198"/>
    <x v="1"/>
    <d v="2020-08-06T00:00:00"/>
    <s v="2B69A016-00+DR-TW-2B69A016-00-00"/>
  </r>
  <r>
    <n v="211"/>
    <x v="91"/>
    <x v="174"/>
    <x v="200"/>
    <x v="1"/>
    <x v="198"/>
    <x v="1"/>
    <d v="2020-08-06T00:00:00"/>
    <s v="2B69M017-00+DR-TW-2B69M017-00-01"/>
  </r>
  <r>
    <n v="212"/>
    <x v="91"/>
    <x v="175"/>
    <x v="201"/>
    <x v="0"/>
    <x v="199"/>
    <x v="1"/>
    <m/>
    <s v="2B69M018-00+DR-TW-2B69M018-00-00"/>
  </r>
  <r>
    <n v="213"/>
    <x v="92"/>
    <x v="176"/>
    <x v="202"/>
    <x v="0"/>
    <x v="200"/>
    <x v="1"/>
    <d v="2020-12-09T00:00:00"/>
    <s v="2B26-067-04+DR-TW-2B26-067-04-00"/>
  </r>
  <r>
    <n v="214"/>
    <x v="92"/>
    <x v="177"/>
    <x v="203"/>
    <x v="0"/>
    <x v="188"/>
    <x v="0"/>
    <d v="2020-08-07T00:00:00"/>
    <s v="2B29-231-00+DR-TW-2B29-231-00-00"/>
  </r>
  <r>
    <n v="215"/>
    <x v="93"/>
    <x v="178"/>
    <x v="149"/>
    <x v="1"/>
    <x v="201"/>
    <x v="1"/>
    <d v="2021-03-31T00:00:00"/>
    <s v="2B26-252-00+DR-TW-2B26-252-00-01"/>
  </r>
  <r>
    <n v="216"/>
    <x v="94"/>
    <x v="179"/>
    <x v="197"/>
    <x v="1"/>
    <x v="196"/>
    <x v="1"/>
    <d v="2020-08-15T00:00:00"/>
    <s v="2B29-421-00+DR-TW-2B29-421-00-01"/>
  </r>
  <r>
    <n v="217"/>
    <x v="94"/>
    <x v="180"/>
    <x v="204"/>
    <x v="6"/>
    <x v="202"/>
    <x v="1"/>
    <m/>
    <s v="Drawing Set+DR-TW-2B28A117-00-13"/>
  </r>
  <r>
    <n v="218"/>
    <x v="95"/>
    <x v="181"/>
    <x v="205"/>
    <x v="0"/>
    <x v="203"/>
    <x v="1"/>
    <m/>
    <s v="2B26-204-06+DR-TW-2B26-204-06-00"/>
  </r>
  <r>
    <n v="219"/>
    <x v="96"/>
    <x v="182"/>
    <x v="206"/>
    <x v="0"/>
    <x v="204"/>
    <x v="1"/>
    <m/>
    <s v="2B26-111-00+DR-TW-2B26-111-00-00"/>
  </r>
  <r>
    <n v="220"/>
    <x v="96"/>
    <x v="183"/>
    <x v="207"/>
    <x v="0"/>
    <x v="193"/>
    <x v="1"/>
    <m/>
    <s v="2B26-323-00+DR-TW-2B26-323-00-00"/>
  </r>
  <r>
    <n v="221"/>
    <x v="96"/>
    <x v="184"/>
    <x v="208"/>
    <x v="0"/>
    <x v="205"/>
    <x v="1"/>
    <d v="2020-07-22T00:00:00"/>
    <s v="2B27-180-00+DR-TW-2B27-180-00-00"/>
  </r>
  <r>
    <n v="222"/>
    <x v="97"/>
    <x v="185"/>
    <x v="83"/>
    <x v="1"/>
    <x v="206"/>
    <x v="1"/>
    <m/>
    <s v="2B51-215-01+DR-TW-2B51-215-01-01"/>
  </r>
  <r>
    <n v="223"/>
    <x v="97"/>
    <x v="186"/>
    <x v="204"/>
    <x v="7"/>
    <x v="207"/>
    <x v="1"/>
    <m/>
    <s v="Drawing Set+DR-TW-2B28-115-00-06"/>
  </r>
  <r>
    <n v="224"/>
    <x v="98"/>
    <x v="187"/>
    <x v="209"/>
    <x v="0"/>
    <x v="208"/>
    <x v="1"/>
    <m/>
    <s v="2B26-340-00+DR-TW-2B26-340-00-00"/>
  </r>
  <r>
    <n v="225"/>
    <x v="98"/>
    <x v="188"/>
    <x v="210"/>
    <x v="0"/>
    <x v="209"/>
    <x v="1"/>
    <m/>
    <s v="2B69M024-00+DR-TW-2B69M024-00-00"/>
  </r>
  <r>
    <n v="226"/>
    <x v="98"/>
    <x v="189"/>
    <x v="211"/>
    <x v="0"/>
    <x v="210"/>
    <x v="1"/>
    <m/>
    <s v="2B69M028-00+DR-TW-2B69M028-00-00"/>
  </r>
  <r>
    <n v="227"/>
    <x v="99"/>
    <x v="190"/>
    <x v="212"/>
    <x v="0"/>
    <x v="211"/>
    <x v="1"/>
    <d v="2020-10-14T00:00:00"/>
    <s v="2B24-225-05+DR-TW-2B24-225-05-00"/>
  </r>
  <r>
    <n v="228"/>
    <x v="99"/>
    <x v="191"/>
    <x v="213"/>
    <x v="0"/>
    <x v="212"/>
    <x v="1"/>
    <d v="2020-07-20T00:00:00"/>
    <s v="2B24-229-04+DR-TW-2B24-229-04-00"/>
  </r>
  <r>
    <n v="229"/>
    <x v="100"/>
    <x v="192"/>
    <x v="214"/>
    <x v="1"/>
    <x v="213"/>
    <x v="1"/>
    <m/>
    <s v="2B24-240-02+DR-TW-2B24-240-02-01"/>
  </r>
  <r>
    <n v="230"/>
    <x v="100"/>
    <x v="193"/>
    <x v="215"/>
    <x v="1"/>
    <x v="214"/>
    <x v="1"/>
    <m/>
    <s v="2B24-241-02+DR-TW-2B24-241-02-01"/>
  </r>
  <r>
    <n v="231"/>
    <x v="100"/>
    <x v="194"/>
    <x v="216"/>
    <x v="0"/>
    <x v="215"/>
    <x v="1"/>
    <m/>
    <s v="2B69M032-00+DR-TW-2B69M032-00-00"/>
  </r>
  <r>
    <n v="232"/>
    <x v="100"/>
    <x v="195"/>
    <x v="217"/>
    <x v="0"/>
    <x v="216"/>
    <x v="1"/>
    <m/>
    <s v="2B69M033-00+DR-TW-2B69M033-00-00"/>
  </r>
  <r>
    <n v="233"/>
    <x v="100"/>
    <x v="196"/>
    <x v="218"/>
    <x v="1"/>
    <x v="217"/>
    <x v="0"/>
    <d v="2021-06-14T00:00:00"/>
    <s v="2B25-225-07+DR-TW-2B25-009-08-01"/>
  </r>
  <r>
    <n v="234"/>
    <x v="100"/>
    <x v="196"/>
    <x v="219"/>
    <x v="1"/>
    <x v="218"/>
    <x v="0"/>
    <d v="2023-03-06T00:00:00"/>
    <s v="2B25-009-08+DR-TW-2B25-009-08-01"/>
  </r>
  <r>
    <n v="235"/>
    <x v="100"/>
    <x v="196"/>
    <x v="220"/>
    <x v="1"/>
    <x v="219"/>
    <x v="0"/>
    <d v="2020-10-01T00:00:00"/>
    <s v="2B25-056-08+DR-TW-2B25-009-08-01"/>
  </r>
  <r>
    <n v="236"/>
    <x v="101"/>
    <x v="197"/>
    <x v="221"/>
    <x v="0"/>
    <x v="220"/>
    <x v="0"/>
    <d v="2023-05-17T00:00:00"/>
    <s v="2B26-163-03+DR-TW-2B26-163-03-00"/>
  </r>
  <r>
    <n v="237"/>
    <x v="102"/>
    <x v="198"/>
    <x v="222"/>
    <x v="0"/>
    <x v="221"/>
    <x v="0"/>
    <d v="2021-02-19T00:00:00"/>
    <s v="2B25-523-00+DR-TW-2B25-523-00-00"/>
  </r>
  <r>
    <n v="238"/>
    <x v="102"/>
    <x v="199"/>
    <x v="223"/>
    <x v="0"/>
    <x v="222"/>
    <x v="0"/>
    <d v="2021-02-19T00:00:00"/>
    <s v="2B25-524-00+DR-TW-2B25-524-00-00"/>
  </r>
  <r>
    <n v="239"/>
    <x v="102"/>
    <x v="200"/>
    <x v="224"/>
    <x v="1"/>
    <x v="223"/>
    <x v="1"/>
    <d v="2021-03-31T00:00:00"/>
    <s v="2B26-253-00+DR-TW-2B26-253-00-01"/>
  </r>
  <r>
    <n v="240"/>
    <x v="102"/>
    <x v="201"/>
    <x v="225"/>
    <x v="0"/>
    <x v="224"/>
    <x v="1"/>
    <m/>
    <s v="2B29-345-00+DR-TW-2B29-345-00-00"/>
  </r>
  <r>
    <n v="241"/>
    <x v="102"/>
    <x v="202"/>
    <x v="226"/>
    <x v="0"/>
    <x v="225"/>
    <x v="1"/>
    <m/>
    <s v="2B69M048-00+DR-TW-2B69M048-00-00"/>
  </r>
  <r>
    <n v="242"/>
    <x v="103"/>
    <x v="203"/>
    <x v="227"/>
    <x v="0"/>
    <x v="213"/>
    <x v="1"/>
    <m/>
    <s v="2B24-240-03+DR-TW-2B24-240-03-00"/>
  </r>
  <r>
    <n v="243"/>
    <x v="103"/>
    <x v="204"/>
    <x v="228"/>
    <x v="0"/>
    <x v="214"/>
    <x v="1"/>
    <m/>
    <s v="2B24-241-03+DR-TW-2B24-241-03-00"/>
  </r>
  <r>
    <n v="244"/>
    <x v="103"/>
    <x v="205"/>
    <x v="229"/>
    <x v="0"/>
    <x v="226"/>
    <x v="1"/>
    <m/>
    <s v="2B25-266-00+DR-TW-2B25-266-00-00"/>
  </r>
  <r>
    <n v="245"/>
    <x v="103"/>
    <x v="206"/>
    <x v="230"/>
    <x v="0"/>
    <x v="227"/>
    <x v="1"/>
    <m/>
    <s v="2B27-458-00+DR-TW-2B27-458-00-00"/>
  </r>
  <r>
    <n v="246"/>
    <x v="103"/>
    <x v="207"/>
    <x v="231"/>
    <x v="0"/>
    <x v="228"/>
    <x v="1"/>
    <m/>
    <s v="2B29-128-01+DR-TW-2B29-128-01-00"/>
  </r>
  <r>
    <n v="247"/>
    <x v="104"/>
    <x v="208"/>
    <x v="232"/>
    <x v="0"/>
    <x v="229"/>
    <x v="1"/>
    <d v="2020-10-28T00:00:00"/>
    <s v="2B26-066-04+DR-TW-2B26-066-04-00"/>
  </r>
  <r>
    <n v="248"/>
    <x v="105"/>
    <x v="209"/>
    <x v="233"/>
    <x v="0"/>
    <x v="230"/>
    <x v="1"/>
    <d v="2020-11-18T00:00:00"/>
    <s v="2B26-292-00+DR-TW-2B26-292-00-00"/>
  </r>
  <r>
    <n v="249"/>
    <x v="105"/>
    <x v="210"/>
    <x v="234"/>
    <x v="0"/>
    <x v="231"/>
    <x v="0"/>
    <d v="2020-11-17T00:00:00"/>
    <s v="2B26-293-00+DR-TW-2B26-293-00-00"/>
  </r>
  <r>
    <n v="250"/>
    <x v="105"/>
    <x v="211"/>
    <x v="235"/>
    <x v="1"/>
    <x v="232"/>
    <x v="1"/>
    <d v="2020-11-17T00:00:00"/>
    <s v="2B26-294-00+DR-TW-2B26-294-00-01"/>
  </r>
  <r>
    <n v="251"/>
    <x v="106"/>
    <x v="212"/>
    <x v="236"/>
    <x v="0"/>
    <x v="233"/>
    <x v="0"/>
    <d v="2020-11-14T00:00:00"/>
    <s v="2B26-279-02+DR-TW-2B26-279-02-00"/>
  </r>
  <r>
    <n v="252"/>
    <x v="106"/>
    <x v="213"/>
    <x v="237"/>
    <x v="0"/>
    <x v="234"/>
    <x v="1"/>
    <m/>
    <s v="2B26-282-00+DR-TW-2B26-282-00-00"/>
  </r>
  <r>
    <n v="253"/>
    <x v="107"/>
    <x v="214"/>
    <x v="238"/>
    <x v="0"/>
    <x v="235"/>
    <x v="1"/>
    <m/>
    <s v="2B26-283-00+DR-TW-2B26-283-00-00"/>
  </r>
  <r>
    <n v="254"/>
    <x v="108"/>
    <x v="215"/>
    <x v="239"/>
    <x v="0"/>
    <x v="236"/>
    <x v="1"/>
    <d v="2020-12-03T00:00:00"/>
    <s v="2B25-267-00+DR-TW-2B25-267-00-00"/>
  </r>
  <r>
    <n v="255"/>
    <x v="108"/>
    <x v="216"/>
    <x v="240"/>
    <x v="0"/>
    <x v="237"/>
    <x v="0"/>
    <d v="2021-03-02T00:00:00"/>
    <s v="2B26-323-01+DR-TW-2B26-323-01-00"/>
  </r>
  <r>
    <n v="256"/>
    <x v="108"/>
    <x v="217"/>
    <x v="241"/>
    <x v="0"/>
    <x v="238"/>
    <x v="1"/>
    <m/>
    <s v="2B26-340-01+DR-TW-2B26-340-01-00"/>
  </r>
  <r>
    <n v="257"/>
    <x v="109"/>
    <x v="218"/>
    <x v="242"/>
    <x v="0"/>
    <x v="239"/>
    <x v="1"/>
    <m/>
    <s v="2B25-400-00+DR-TW-2B25-400-00-00"/>
  </r>
  <r>
    <n v="258"/>
    <x v="109"/>
    <x v="219"/>
    <x v="243"/>
    <x v="0"/>
    <x v="240"/>
    <x v="1"/>
    <m/>
    <s v="2B25-401-00+DR-TW-2B25-401-00-00"/>
  </r>
  <r>
    <n v="259"/>
    <x v="110"/>
    <x v="220"/>
    <x v="244"/>
    <x v="0"/>
    <x v="241"/>
    <x v="1"/>
    <d v="2020-12-04T00:00:00"/>
    <s v="2B25-268-00+DR-TW-2B25-268-00-00"/>
  </r>
  <r>
    <n v="260"/>
    <x v="111"/>
    <x v="221"/>
    <x v="245"/>
    <x v="0"/>
    <x v="242"/>
    <x v="1"/>
    <m/>
    <s v="2B24-300-01+DR-TW-2B24-300-01-00"/>
  </r>
  <r>
    <n v="261"/>
    <x v="111"/>
    <x v="222"/>
    <x v="246"/>
    <x v="0"/>
    <x v="243"/>
    <x v="1"/>
    <d v="2020-12-10T00:00:00"/>
    <s v="2B53-400-02+DR-TW-2B53-400-02-00"/>
  </r>
  <r>
    <n v="262"/>
    <x v="112"/>
    <x v="223"/>
    <x v="247"/>
    <x v="0"/>
    <x v="244"/>
    <x v="1"/>
    <m/>
    <s v="2B26-102-00+DR-TW-2B26-102-00-00"/>
  </r>
  <r>
    <n v="263"/>
    <x v="112"/>
    <x v="224"/>
    <x v="237"/>
    <x v="1"/>
    <x v="234"/>
    <x v="1"/>
    <m/>
    <s v="2B26-282-00+DR-TW-2B26-282-00-01"/>
  </r>
  <r>
    <n v="264"/>
    <x v="112"/>
    <x v="225"/>
    <x v="238"/>
    <x v="1"/>
    <x v="245"/>
    <x v="1"/>
    <d v="2020-11-26T00:00:00"/>
    <s v="2B26-283-00+DR-TW-2B26-283-00-01"/>
  </r>
  <r>
    <n v="265"/>
    <x v="112"/>
    <x v="226"/>
    <x v="248"/>
    <x v="0"/>
    <x v="246"/>
    <x v="0"/>
    <d v="2021-01-07T00:00:00"/>
    <s v="2B27-213-00+DR-TW-2B27-213-00-00"/>
  </r>
  <r>
    <n v="266"/>
    <x v="112"/>
    <x v="227"/>
    <x v="249"/>
    <x v="0"/>
    <x v="247"/>
    <x v="1"/>
    <m/>
    <s v="2B30-032-00+DR-TW-2B30-032-00-00"/>
  </r>
  <r>
    <n v="267"/>
    <x v="112"/>
    <x v="228"/>
    <x v="250"/>
    <x v="0"/>
    <x v="248"/>
    <x v="1"/>
    <m/>
    <s v="2B48-730-00+DR-TW-2B48-730-00-00"/>
  </r>
  <r>
    <n v="268"/>
    <x v="112"/>
    <x v="229"/>
    <x v="251"/>
    <x v="0"/>
    <x v="249"/>
    <x v="1"/>
    <m/>
    <s v="2B48-731-00+DR-TW-2B48-731-00-00"/>
  </r>
  <r>
    <n v="269"/>
    <x v="113"/>
    <x v="230"/>
    <x v="252"/>
    <x v="0"/>
    <x v="250"/>
    <x v="1"/>
    <m/>
    <s v="2B25-196-00-R+DR-TW-2B25-196-00-R-00"/>
  </r>
  <r>
    <n v="270"/>
    <x v="113"/>
    <x v="231"/>
    <x v="253"/>
    <x v="0"/>
    <x v="251"/>
    <x v="1"/>
    <m/>
    <s v="2B25-197-00-R+DR-TW-2B25-197-00-R-00"/>
  </r>
  <r>
    <n v="271"/>
    <x v="113"/>
    <x v="232"/>
    <x v="254"/>
    <x v="8"/>
    <x v="252"/>
    <x v="1"/>
    <m/>
    <s v="2B25-303-00-R+DR-TW-2B25-303-00-R"/>
  </r>
  <r>
    <n v="272"/>
    <x v="113"/>
    <x v="63"/>
    <x v="255"/>
    <x v="0"/>
    <x v="253"/>
    <x v="1"/>
    <d v="2021-01-16T00:00:00"/>
    <s v="2B51-350-00+DR-TW-2B51-215-01-00"/>
  </r>
  <r>
    <n v="273"/>
    <x v="113"/>
    <x v="63"/>
    <x v="256"/>
    <x v="0"/>
    <x v="254"/>
    <x v="1"/>
    <d v="2022-06-03T00:00:00"/>
    <s v="2B51-260-01+DR-TW-2B51-215-01-00"/>
  </r>
  <r>
    <n v="274"/>
    <x v="114"/>
    <x v="233"/>
    <x v="83"/>
    <x v="2"/>
    <x v="255"/>
    <x v="1"/>
    <d v="2020-03-06T00:00:00"/>
    <s v="2B51-215-01+DR-TW-2B51-215-01-02"/>
  </r>
  <r>
    <n v="275"/>
    <x v="115"/>
    <x v="234"/>
    <x v="257"/>
    <x v="0"/>
    <x v="256"/>
    <x v="1"/>
    <d v="2021-01-09T00:00:00"/>
    <s v="2B24E100-00+DR-TW-2B24E100-00-00"/>
  </r>
  <r>
    <n v="276"/>
    <x v="115"/>
    <x v="235"/>
    <x v="258"/>
    <x v="0"/>
    <x v="257"/>
    <x v="1"/>
    <d v="2017-06-22T00:00:00"/>
    <s v="2B48-106-03+DR-TW-2B48-106-03-00"/>
  </r>
  <r>
    <n v="277"/>
    <x v="116"/>
    <x v="236"/>
    <x v="259"/>
    <x v="0"/>
    <x v="258"/>
    <x v="1"/>
    <m/>
    <s v="2B24-242-00+DR-TW-2B24-242-00-00"/>
  </r>
  <r>
    <n v="278"/>
    <x v="116"/>
    <x v="237"/>
    <x v="260"/>
    <x v="0"/>
    <x v="259"/>
    <x v="0"/>
    <d v="2021-01-09T00:00:00"/>
    <s v="2B24-243-00+DR-TW-2B24-243-00-00"/>
  </r>
  <r>
    <n v="279"/>
    <x v="116"/>
    <x v="238"/>
    <x v="245"/>
    <x v="1"/>
    <x v="242"/>
    <x v="1"/>
    <d v="2020-12-21T00:00:00"/>
    <s v="2B24-300-01+DR-TW-2B24-300-01-01"/>
  </r>
  <r>
    <n v="280"/>
    <x v="116"/>
    <x v="239"/>
    <x v="261"/>
    <x v="0"/>
    <x v="260"/>
    <x v="1"/>
    <m/>
    <s v="2B25-199-00+DR-TW-2B25-199-00-00"/>
  </r>
  <r>
    <n v="281"/>
    <x v="116"/>
    <x v="240"/>
    <x v="262"/>
    <x v="0"/>
    <x v="261"/>
    <x v="0"/>
    <d v="2021-01-08T00:00:00"/>
    <s v="2B27-458-01+DR-TW-2B27-458-01-00"/>
  </r>
  <r>
    <n v="282"/>
    <x v="117"/>
    <x v="241"/>
    <x v="263"/>
    <x v="0"/>
    <x v="262"/>
    <x v="0"/>
    <d v="2020-12-18T00:00:00"/>
    <s v="2B27-459-00+DR-TW-2B27-459-00-00"/>
  </r>
  <r>
    <n v="283"/>
    <x v="117"/>
    <x v="242"/>
    <x v="264"/>
    <x v="0"/>
    <x v="263"/>
    <x v="0"/>
    <d v="2021-01-08T00:00:00"/>
    <s v="2B29-160-00+DR-TW-2B29-160-00-00"/>
  </r>
  <r>
    <n v="284"/>
    <x v="117"/>
    <x v="243"/>
    <x v="265"/>
    <x v="0"/>
    <x v="264"/>
    <x v="1"/>
    <m/>
    <s v="2B55-205-00+DR-TW-2B55-205-00-00"/>
  </r>
  <r>
    <n v="285"/>
    <x v="117"/>
    <x v="244"/>
    <x v="266"/>
    <x v="0"/>
    <x v="265"/>
    <x v="1"/>
    <m/>
    <s v="2B69M080-00+DR-TW-2B69M080-00-00"/>
  </r>
  <r>
    <n v="286"/>
    <x v="117"/>
    <x v="245"/>
    <x v="267"/>
    <x v="0"/>
    <x v="266"/>
    <x v="1"/>
    <d v="2021-01-14T00:00:00"/>
    <s v="2B69M087-00+DR-TW-2B69M087-00-00"/>
  </r>
  <r>
    <n v="287"/>
    <x v="118"/>
    <x v="246"/>
    <x v="237"/>
    <x v="2"/>
    <x v="234"/>
    <x v="1"/>
    <d v="2022-01-22T00:00:00"/>
    <s v="2B26-282-00+DR-TW-2B26-282-00-02"/>
  </r>
  <r>
    <n v="288"/>
    <x v="118"/>
    <x v="247"/>
    <x v="268"/>
    <x v="0"/>
    <x v="267"/>
    <x v="1"/>
    <m/>
    <s v="2B37-037-00+DR-TW-2B37-037-00-00"/>
  </r>
  <r>
    <n v="289"/>
    <x v="119"/>
    <x v="248"/>
    <x v="269"/>
    <x v="0"/>
    <x v="268"/>
    <x v="1"/>
    <m/>
    <s v="2B69M086-00+DR-TW-2B69M086-00-00"/>
  </r>
  <r>
    <n v="290"/>
    <x v="119"/>
    <x v="249"/>
    <x v="270"/>
    <x v="0"/>
    <x v="269"/>
    <x v="1"/>
    <d v="2564-01-27T00:00:00"/>
    <s v="2B69M089-00+DR-TW-2B69M089-00-00"/>
  </r>
  <r>
    <n v="291"/>
    <x v="120"/>
    <x v="250"/>
    <x v="271"/>
    <x v="0"/>
    <x v="270"/>
    <x v="1"/>
    <d v="2021-01-27T00:00:00"/>
    <s v="2B25-262-02+DR-TW-2B25-262-02-00"/>
  </r>
  <r>
    <n v="292"/>
    <x v="121"/>
    <x v="251"/>
    <x v="265"/>
    <x v="1"/>
    <x v="271"/>
    <x v="1"/>
    <d v="2019-03-23T00:00:00"/>
    <s v="2B55-205-00+DR-TW-2B55-205-00-01"/>
  </r>
  <r>
    <n v="293"/>
    <x v="121"/>
    <x v="252"/>
    <x v="204"/>
    <x v="9"/>
    <x v="272"/>
    <x v="1"/>
    <m/>
    <s v="Drawing Set+DR-TW-2B28A117-00-14"/>
  </r>
  <r>
    <n v="294"/>
    <x v="122"/>
    <x v="253"/>
    <x v="272"/>
    <x v="0"/>
    <x v="273"/>
    <x v="1"/>
    <d v="2021-02-05T00:00:00"/>
    <s v="2B27-123-00+DR-TW-2B27-123-00-00"/>
  </r>
  <r>
    <n v="295"/>
    <x v="123"/>
    <x v="254"/>
    <x v="126"/>
    <x v="1"/>
    <x v="274"/>
    <x v="1"/>
    <d v="2023-05-15T00:00:00"/>
    <s v="2B26-043-08+DR-TW-2B26-043-08-01"/>
  </r>
  <r>
    <n v="296"/>
    <x v="123"/>
    <x v="255"/>
    <x v="108"/>
    <x v="1"/>
    <x v="110"/>
    <x v="1"/>
    <d v="2021-02-11T00:00:00"/>
    <s v="2B26-110-0F+DR-TW-2B26-110-0F-01"/>
  </r>
  <r>
    <n v="297"/>
    <x v="123"/>
    <x v="256"/>
    <x v="109"/>
    <x v="1"/>
    <x v="275"/>
    <x v="0"/>
    <d v="2024-01-29T00:00:00"/>
    <s v="2B26-118-04+DR-TW-2B26-118-04-01"/>
  </r>
  <r>
    <n v="298"/>
    <x v="123"/>
    <x v="257"/>
    <x v="104"/>
    <x v="2"/>
    <x v="276"/>
    <x v="1"/>
    <d v="2021-02-13T00:00:00"/>
    <s v="2B26-142-05+DR-TW-2B26-142-05-02"/>
  </r>
  <r>
    <n v="299"/>
    <x v="123"/>
    <x v="258"/>
    <x v="273"/>
    <x v="0"/>
    <x v="277"/>
    <x v="1"/>
    <d v="2021-03-09T00:00:00"/>
    <s v="2B26-370-00+DR-TW-2B26-370-00-00"/>
  </r>
  <r>
    <n v="300"/>
    <x v="123"/>
    <x v="259"/>
    <x v="274"/>
    <x v="0"/>
    <x v="278"/>
    <x v="1"/>
    <d v="2021-03-08T00:00:00"/>
    <s v="2B26-371-00+DR-TW-2B26-371-00-00"/>
  </r>
  <r>
    <n v="301"/>
    <x v="123"/>
    <x v="260"/>
    <x v="275"/>
    <x v="0"/>
    <x v="279"/>
    <x v="0"/>
    <d v="2021-03-02T00:00:00"/>
    <s v="2B27-453-03+DR-TW-2B27-453-03-00"/>
  </r>
  <r>
    <n v="302"/>
    <x v="124"/>
    <x v="261"/>
    <x v="276"/>
    <x v="0"/>
    <x v="280"/>
    <x v="0"/>
    <d v="2021-02-12T00:00:00"/>
    <s v="2B25-420-00+DR-TW-2B25-420-00-00"/>
  </r>
  <r>
    <n v="303"/>
    <x v="125"/>
    <x v="262"/>
    <x v="277"/>
    <x v="1"/>
    <x v="281"/>
    <x v="0"/>
    <d v="2021-02-22T00:00:00"/>
    <s v="2B25-290-00+DR-TW-2B25-290-00-01"/>
  </r>
  <r>
    <n v="304"/>
    <x v="126"/>
    <x v="263"/>
    <x v="278"/>
    <x v="0"/>
    <x v="282"/>
    <x v="1"/>
    <d v="2021-02-16T00:00:00"/>
    <s v="2B69M111-00+DR-TW-2B69M111-00-00"/>
  </r>
  <r>
    <n v="305"/>
    <x v="126"/>
    <x v="264"/>
    <x v="204"/>
    <x v="3"/>
    <x v="283"/>
    <x v="1"/>
    <m/>
    <s v="Drawing Set+DR-TW-2B28-115-00-07"/>
  </r>
  <r>
    <n v="306"/>
    <x v="127"/>
    <x v="265"/>
    <x v="279"/>
    <x v="0"/>
    <x v="284"/>
    <x v="1"/>
    <m/>
    <s v="2B91-097-00+DR-TW-2B91-097-00-00"/>
  </r>
  <r>
    <n v="307"/>
    <x v="127"/>
    <x v="266"/>
    <x v="280"/>
    <x v="0"/>
    <x v="285"/>
    <x v="1"/>
    <d v="2021-02-25T00:00:00"/>
    <s v="2B91-247-00+DR-TW-2B91-247-00-00"/>
  </r>
  <r>
    <n v="308"/>
    <x v="128"/>
    <x v="267"/>
    <x v="281"/>
    <x v="0"/>
    <x v="286"/>
    <x v="1"/>
    <m/>
    <s v="2B25-305-00+DR-TW-2B25-305-00-00"/>
  </r>
  <r>
    <n v="309"/>
    <x v="128"/>
    <x v="268"/>
    <x v="281"/>
    <x v="1"/>
    <x v="286"/>
    <x v="1"/>
    <d v="2021-02-24T00:00:00"/>
    <s v="2B25-305-00+DR-TW-2B25-305-00-01"/>
  </r>
  <r>
    <n v="310"/>
    <x v="128"/>
    <x v="269"/>
    <x v="279"/>
    <x v="1"/>
    <x v="284"/>
    <x v="0"/>
    <d v="2021-02-25T00:00:00"/>
    <s v="2B91-097-00+DR-TW-2B91-097-00-01"/>
  </r>
  <r>
    <n v="311"/>
    <x v="128"/>
    <x v="270"/>
    <x v="282"/>
    <x v="0"/>
    <x v="287"/>
    <x v="0"/>
    <d v="2021-03-16T00:00:00"/>
    <s v="2B26-111-01+DR-TW-2B26-111-01-00"/>
  </r>
  <r>
    <n v="312"/>
    <x v="129"/>
    <x v="271"/>
    <x v="283"/>
    <x v="0"/>
    <x v="288"/>
    <x v="1"/>
    <d v="2021-03-05T00:00:00"/>
    <s v="2B25-400-01+DR-TW-2B25-400-01-00"/>
  </r>
  <r>
    <n v="313"/>
    <x v="129"/>
    <x v="272"/>
    <x v="284"/>
    <x v="0"/>
    <x v="289"/>
    <x v="0"/>
    <d v="2021-03-05T00:00:00"/>
    <s v="2B25-401-01+DR-TW-2B25-401-01-00"/>
  </r>
  <r>
    <n v="314"/>
    <x v="129"/>
    <x v="273"/>
    <x v="285"/>
    <x v="0"/>
    <x v="290"/>
    <x v="1"/>
    <d v="2021-03-05T00:00:00"/>
    <s v="2B26-400-00+DR-TW-2B26-400-00-00"/>
  </r>
  <r>
    <n v="315"/>
    <x v="130"/>
    <x v="274"/>
    <x v="286"/>
    <x v="0"/>
    <x v="291"/>
    <x v="1"/>
    <m/>
    <s v="2B26-203-01+DR-TW-2B26-203-01-00"/>
  </r>
  <r>
    <n v="317"/>
    <x v="130"/>
    <x v="275"/>
    <x v="204"/>
    <x v="1"/>
    <x v="292"/>
    <x v="1"/>
    <m/>
    <s v="Drawing Set+DR-TW-2B91-147A01-01"/>
  </r>
  <r>
    <n v="318"/>
    <x v="130"/>
    <x v="20"/>
    <x v="287"/>
    <x v="4"/>
    <x v="293"/>
    <x v="0"/>
    <d v="2021-04-08T00:00:00"/>
    <s v="2B25-170-02+DR-TW-2B25-034-02-05"/>
  </r>
  <r>
    <n v="319"/>
    <x v="131"/>
    <x v="276"/>
    <x v="288"/>
    <x v="0"/>
    <x v="232"/>
    <x v="1"/>
    <m/>
    <s v="2B26-276-01+DR-TW-2B26-276-01-00"/>
  </r>
  <r>
    <n v="320"/>
    <x v="131"/>
    <x v="277"/>
    <x v="289"/>
    <x v="0"/>
    <x v="294"/>
    <x v="1"/>
    <m/>
    <s v="2B91-248-00+DR-TW-2B91-248-00-00"/>
  </r>
  <r>
    <n v="321"/>
    <x v="131"/>
    <x v="278"/>
    <x v="290"/>
    <x v="0"/>
    <x v="295"/>
    <x v="1"/>
    <m/>
    <s v="2B91-249-00+DR-TW-2B91-249-00-00"/>
  </r>
  <r>
    <n v="322"/>
    <x v="132"/>
    <x v="279"/>
    <x v="291"/>
    <x v="0"/>
    <x v="296"/>
    <x v="1"/>
    <m/>
    <s v="2B29-273-00+DR-TW-2B29-273-00-00"/>
  </r>
  <r>
    <n v="323"/>
    <x v="132"/>
    <x v="280"/>
    <x v="204"/>
    <x v="4"/>
    <x v="297"/>
    <x v="1"/>
    <m/>
    <s v="Drawing Set+DR-TW-2B28I085-00-05"/>
  </r>
  <r>
    <n v="324"/>
    <x v="133"/>
    <x v="281"/>
    <x v="292"/>
    <x v="0"/>
    <x v="298"/>
    <x v="0"/>
    <d v="2023-05-04T00:00:00"/>
    <s v="2B25-199-01+DR-TW-2B25-199-01-00"/>
  </r>
  <r>
    <n v="325"/>
    <x v="134"/>
    <x v="282"/>
    <x v="293"/>
    <x v="0"/>
    <x v="299"/>
    <x v="1"/>
    <m/>
    <s v="2B91-450-00+DR-TW-2B91-450-00-00"/>
  </r>
  <r>
    <n v="326"/>
    <x v="134"/>
    <x v="283"/>
    <x v="294"/>
    <x v="0"/>
    <x v="300"/>
    <x v="1"/>
    <m/>
    <s v="2B91-451-00+DR-TW-2B91-451-00-00"/>
  </r>
  <r>
    <n v="327"/>
    <x v="134"/>
    <x v="284"/>
    <x v="295"/>
    <x v="0"/>
    <x v="301"/>
    <x v="1"/>
    <m/>
    <s v="2B91-452-00+DR-TW-2B91-452-00-00"/>
  </r>
  <r>
    <n v="328"/>
    <x v="134"/>
    <x v="285"/>
    <x v="296"/>
    <x v="0"/>
    <x v="302"/>
    <x v="1"/>
    <d v="2021-05-29T00:00:00"/>
    <s v="2B91-453-00+DR-TW-2B91-453-00-00"/>
  </r>
  <r>
    <n v="329"/>
    <x v="134"/>
    <x v="286"/>
    <x v="297"/>
    <x v="0"/>
    <x v="303"/>
    <x v="1"/>
    <m/>
    <s v="2B91-454-00+DR-TW-2B91-454-00-00"/>
  </r>
  <r>
    <n v="330"/>
    <x v="134"/>
    <x v="287"/>
    <x v="298"/>
    <x v="0"/>
    <x v="304"/>
    <x v="1"/>
    <m/>
    <s v="2B91-455-00+DR-TW-2B91-455-00-00"/>
  </r>
  <r>
    <n v="331"/>
    <x v="134"/>
    <x v="288"/>
    <x v="299"/>
    <x v="0"/>
    <x v="305"/>
    <x v="1"/>
    <m/>
    <s v="2B91-456-00+DR-TW-2B91-456-00-0"/>
  </r>
  <r>
    <n v="332"/>
    <x v="134"/>
    <x v="289"/>
    <x v="300"/>
    <x v="0"/>
    <x v="306"/>
    <x v="1"/>
    <m/>
    <s v="2B91-457-00+DR-TW-2B91-457-00-00"/>
  </r>
  <r>
    <n v="333"/>
    <x v="135"/>
    <x v="290"/>
    <x v="208"/>
    <x v="1"/>
    <x v="205"/>
    <x v="0"/>
    <d v="2022-06-28T00:00:00"/>
    <s v="2B27-180-00+DR-TW-2B27-180-00-01"/>
  </r>
  <r>
    <n v="334"/>
    <x v="136"/>
    <x v="291"/>
    <x v="301"/>
    <x v="0"/>
    <x v="307"/>
    <x v="1"/>
    <d v="2021-04-24T00:00:00"/>
    <s v="2B24-300-02+DR-TW-2B24-300-02-00"/>
  </r>
  <r>
    <n v="335"/>
    <x v="136"/>
    <x v="292"/>
    <x v="302"/>
    <x v="0"/>
    <x v="308"/>
    <x v="1"/>
    <d v="2021-04-24T00:00:00"/>
    <s v="2B53-400-03+DR-TW-2B53-400-03-00"/>
  </r>
  <r>
    <n v="336"/>
    <x v="136"/>
    <x v="293"/>
    <x v="293"/>
    <x v="1"/>
    <x v="299"/>
    <x v="1"/>
    <m/>
    <s v="2B91-450-00+DR-TW-2B91-450-00-01"/>
  </r>
  <r>
    <n v="337"/>
    <x v="136"/>
    <x v="294"/>
    <x v="294"/>
    <x v="1"/>
    <x v="303"/>
    <x v="1"/>
    <m/>
    <s v="2B91-451-00+DR-TW-2B91-451-00-01"/>
  </r>
  <r>
    <n v="338"/>
    <x v="136"/>
    <x v="295"/>
    <x v="295"/>
    <x v="1"/>
    <x v="301"/>
    <x v="1"/>
    <m/>
    <s v="2B91-452-00+DR-TW-2B91-452-00-01"/>
  </r>
  <r>
    <n v="339"/>
    <x v="137"/>
    <x v="296"/>
    <x v="298"/>
    <x v="1"/>
    <x v="304"/>
    <x v="1"/>
    <m/>
    <s v="2B91-455-00+DR-TW-2B91-455-00-01"/>
  </r>
  <r>
    <n v="340"/>
    <x v="138"/>
    <x v="297"/>
    <x v="286"/>
    <x v="1"/>
    <x v="291"/>
    <x v="1"/>
    <m/>
    <s v="2B26-203-01+DR-TW-2B26-203-01-01"/>
  </r>
  <r>
    <n v="341"/>
    <x v="138"/>
    <x v="298"/>
    <x v="191"/>
    <x v="1"/>
    <x v="309"/>
    <x v="0"/>
    <d v="2023-05-17T00:00:00"/>
    <s v="2B29-370-00+DR-TW-2B29-370-00-01"/>
  </r>
  <r>
    <n v="342"/>
    <x v="139"/>
    <x v="299"/>
    <x v="303"/>
    <x v="0"/>
    <x v="310"/>
    <x v="1"/>
    <m/>
    <s v="2B94-071-02+DR-TW-2B94-071-02-00"/>
  </r>
  <r>
    <n v="343"/>
    <x v="139"/>
    <x v="300"/>
    <x v="304"/>
    <x v="1"/>
    <x v="311"/>
    <x v="0"/>
    <d v="2023-03-10T00:00:00"/>
    <s v="2B27-109-01+DR-TW-2B27-109-01-01"/>
  </r>
  <r>
    <n v="344"/>
    <x v="139"/>
    <x v="301"/>
    <x v="305"/>
    <x v="0"/>
    <x v="312"/>
    <x v="0"/>
    <d v="2023-03-10T00:00:00"/>
    <s v="2B27-110-03+DR-TW-2B27-110-03-00"/>
  </r>
  <r>
    <n v="345"/>
    <x v="139"/>
    <x v="302"/>
    <x v="300"/>
    <x v="1"/>
    <x v="306"/>
    <x v="1"/>
    <m/>
    <s v="2B91-457-00+DR-TW-2B91-457-00-01"/>
  </r>
  <r>
    <n v="346"/>
    <x v="139"/>
    <x v="303"/>
    <x v="299"/>
    <x v="1"/>
    <x v="305"/>
    <x v="1"/>
    <m/>
    <s v="2B91-456-00+DR-TW-2B91-456-00-01"/>
  </r>
  <r>
    <n v="347"/>
    <x v="139"/>
    <x v="304"/>
    <x v="298"/>
    <x v="2"/>
    <x v="304"/>
    <x v="1"/>
    <d v="2021-07-03T00:00:00"/>
    <s v="2B91-455-00+DR-TW-2B91-455-00-02"/>
  </r>
  <r>
    <n v="348"/>
    <x v="139"/>
    <x v="305"/>
    <x v="297"/>
    <x v="1"/>
    <x v="303"/>
    <x v="1"/>
    <m/>
    <s v="2B91-454-00+DR-TW-2B91-454-00-01"/>
  </r>
  <r>
    <n v="349"/>
    <x v="139"/>
    <x v="306"/>
    <x v="296"/>
    <x v="1"/>
    <x v="302"/>
    <x v="1"/>
    <d v="2021-06-08T00:00:00"/>
    <s v="2B91-453-00+DR-TW-2B91-453-00-01"/>
  </r>
  <r>
    <n v="350"/>
    <x v="139"/>
    <x v="307"/>
    <x v="295"/>
    <x v="2"/>
    <x v="301"/>
    <x v="1"/>
    <m/>
    <s v="2B91-452-00+DR-TW-2B91-452-00-02"/>
  </r>
  <r>
    <n v="351"/>
    <x v="139"/>
    <x v="308"/>
    <x v="294"/>
    <x v="2"/>
    <x v="303"/>
    <x v="1"/>
    <m/>
    <s v="2B91-451-00+DR-TW-2B91-451-00-02"/>
  </r>
  <r>
    <n v="352"/>
    <x v="139"/>
    <x v="309"/>
    <x v="293"/>
    <x v="2"/>
    <x v="299"/>
    <x v="1"/>
    <m/>
    <s v="2B91-450-00+DR-TW-2B91-450-00-02"/>
  </r>
  <r>
    <n v="353"/>
    <x v="139"/>
    <x v="301"/>
    <x v="306"/>
    <x v="0"/>
    <x v="313"/>
    <x v="3"/>
    <m/>
    <s v="2B27-151-00+DR-TW-2B27-110-03-00"/>
  </r>
  <r>
    <n v="354"/>
    <x v="140"/>
    <x v="310"/>
    <x v="307"/>
    <x v="0"/>
    <x v="314"/>
    <x v="1"/>
    <d v="2024-01-29T00:00:00"/>
    <s v="2B26-278-03+DR-TW-2B26-278-03-00"/>
  </r>
  <r>
    <n v="355"/>
    <x v="141"/>
    <x v="311"/>
    <x v="308"/>
    <x v="6"/>
    <x v="315"/>
    <x v="0"/>
    <d v="2021-06-30T00:00:00"/>
    <s v="2B48-207-00+DR-TW-2B48-207-01-03"/>
  </r>
  <r>
    <n v="357"/>
    <x v="142"/>
    <x v="312"/>
    <x v="309"/>
    <x v="3"/>
    <x v="316"/>
    <x v="0"/>
    <d v="2023-05-19T00:00:00"/>
    <s v="2B91-020-02+DR-TW-2B91-017-02-07"/>
  </r>
  <r>
    <n v="358"/>
    <x v="142"/>
    <x v="312"/>
    <x v="310"/>
    <x v="3"/>
    <x v="299"/>
    <x v="0"/>
    <d v="2023-08-10T00:00:00"/>
    <s v="2B91-021-02+DR-TW-2B91-017-02-07"/>
  </r>
  <r>
    <n v="359"/>
    <x v="143"/>
    <x v="313"/>
    <x v="311"/>
    <x v="0"/>
    <x v="317"/>
    <x v="0"/>
    <d v="2023-06-12T00:00:00"/>
    <s v="2B25-238-01+DR-TW-2B25-238-01-00"/>
  </r>
  <r>
    <n v="360"/>
    <x v="144"/>
    <x v="314"/>
    <x v="302"/>
    <x v="1"/>
    <x v="308"/>
    <x v="1"/>
    <m/>
    <s v="2B53-400-03+DR-TW-2B53-400-03-01"/>
  </r>
  <r>
    <n v="361"/>
    <x v="145"/>
    <x v="315"/>
    <x v="301"/>
    <x v="1"/>
    <x v="307"/>
    <x v="1"/>
    <m/>
    <s v="2B24-300-02+DR-TW-2B24-300-02-01"/>
  </r>
  <r>
    <n v="362"/>
    <x v="145"/>
    <x v="316"/>
    <x v="312"/>
    <x v="0"/>
    <x v="318"/>
    <x v="0"/>
    <m/>
    <s v="2B91-240-00+DR-TW-2B91-240-00-00"/>
  </r>
  <r>
    <n v="363"/>
    <x v="145"/>
    <x v="317"/>
    <x v="313"/>
    <x v="0"/>
    <x v="319"/>
    <x v="1"/>
    <d v="2021-07-26T00:00:00"/>
    <s v="2B26-233-00+DR-TW-2B26-233-00-00"/>
  </r>
  <r>
    <n v="364"/>
    <x v="146"/>
    <x v="311"/>
    <x v="314"/>
    <x v="6"/>
    <x v="320"/>
    <x v="0"/>
    <d v="2023-04-24T00:00:00"/>
    <s v="2B48-205-00+DR-TW-2B48-207-01-03"/>
  </r>
  <r>
    <n v="365"/>
    <x v="147"/>
    <x v="318"/>
    <x v="315"/>
    <x v="0"/>
    <x v="321"/>
    <x v="1"/>
    <m/>
    <s v="2B69M135-00+DR-TW-2B69M135-00-00"/>
  </r>
  <r>
    <n v="366"/>
    <x v="147"/>
    <x v="319"/>
    <x v="316"/>
    <x v="0"/>
    <x v="322"/>
    <x v="1"/>
    <m/>
    <s v="2B69M134-00+DR-TW-2B69M134-00-00"/>
  </r>
  <r>
    <n v="367"/>
    <x v="147"/>
    <x v="320"/>
    <x v="317"/>
    <x v="0"/>
    <x v="323"/>
    <x v="0"/>
    <d v="2021-07-16T00:00:00"/>
    <s v="2B25-018-00+DR-TW-2B25-018-00-00"/>
  </r>
  <r>
    <n v="368"/>
    <x v="147"/>
    <x v="321"/>
    <x v="318"/>
    <x v="0"/>
    <x v="324"/>
    <x v="1"/>
    <m/>
    <s v="2B69A010-00+DR-TW-2B69A010-00-00"/>
  </r>
  <r>
    <n v="369"/>
    <x v="148"/>
    <x v="322"/>
    <x v="319"/>
    <x v="0"/>
    <x v="299"/>
    <x v="1"/>
    <m/>
    <s v="2B91-450-01+DR-TW-2B91-450-01-00"/>
  </r>
  <r>
    <n v="370"/>
    <x v="148"/>
    <x v="323"/>
    <x v="320"/>
    <x v="0"/>
    <x v="302"/>
    <x v="1"/>
    <m/>
    <s v="2B91-453-01+DR-TW-2B91-453-01-00"/>
  </r>
  <r>
    <n v="371"/>
    <x v="148"/>
    <x v="324"/>
    <x v="321"/>
    <x v="0"/>
    <x v="303"/>
    <x v="1"/>
    <m/>
    <s v="2B91-454-01+DR-TW-2B91-454-01-00"/>
  </r>
  <r>
    <n v="372"/>
    <x v="148"/>
    <x v="325"/>
    <x v="322"/>
    <x v="0"/>
    <x v="304"/>
    <x v="1"/>
    <m/>
    <s v="2B91-455-01+DR-TW-2B91-455-01-00"/>
  </r>
  <r>
    <n v="373"/>
    <x v="148"/>
    <x v="326"/>
    <x v="323"/>
    <x v="0"/>
    <x v="305"/>
    <x v="1"/>
    <m/>
    <s v="2B91-456-01+DR-TW-2B91-456-01-00"/>
  </r>
  <r>
    <n v="374"/>
    <x v="148"/>
    <x v="327"/>
    <x v="324"/>
    <x v="0"/>
    <x v="302"/>
    <x v="1"/>
    <m/>
    <s v="2B91-457-01+DR-TW-2B91-457-01-00"/>
  </r>
  <r>
    <n v="375"/>
    <x v="149"/>
    <x v="328"/>
    <x v="325"/>
    <x v="0"/>
    <x v="325"/>
    <x v="0"/>
    <d v="2021-08-06T00:00:00"/>
    <s v="2B91-098-00+DR-TW-2B91-098-00-00"/>
  </r>
  <r>
    <n v="376"/>
    <x v="150"/>
    <x v="329"/>
    <x v="326"/>
    <x v="0"/>
    <x v="326"/>
    <x v="1"/>
    <m/>
    <s v="2B26-030-00+DR-TW-2B26-030-00-00"/>
  </r>
  <r>
    <n v="377"/>
    <x v="150"/>
    <x v="330"/>
    <x v="204"/>
    <x v="7"/>
    <x v="297"/>
    <x v="1"/>
    <m/>
    <s v="Drawing Set+DR-TW-2B28I085-00-06"/>
  </r>
  <r>
    <n v="378"/>
    <x v="151"/>
    <x v="331"/>
    <x v="327"/>
    <x v="0"/>
    <x v="327"/>
    <x v="1"/>
    <m/>
    <s v="2B69M136-00+DR-TW-2B69M136-00-00"/>
  </r>
  <r>
    <n v="379"/>
    <x v="151"/>
    <x v="332"/>
    <x v="328"/>
    <x v="0"/>
    <x v="328"/>
    <x v="1"/>
    <m/>
    <s v="2B25-137-00+DR-TW-2B25-137-00-00"/>
  </r>
  <r>
    <n v="380"/>
    <x v="152"/>
    <x v="333"/>
    <x v="329"/>
    <x v="0"/>
    <x v="329"/>
    <x v="1"/>
    <m/>
    <s v="2B04-462-00+DR-TW-2B04-462-00-00"/>
  </r>
  <r>
    <n v="381"/>
    <x v="151"/>
    <x v="334"/>
    <x v="204"/>
    <x v="4"/>
    <x v="272"/>
    <x v="1"/>
    <m/>
    <s v="Drawing Set+DR-TW-2B28A117-00-15"/>
  </r>
  <r>
    <n v="382"/>
    <x v="151"/>
    <x v="335"/>
    <x v="273"/>
    <x v="1"/>
    <x v="277"/>
    <x v="1"/>
    <m/>
    <s v="2B26-370-00+DR-TW-2B26-370-00-01"/>
  </r>
  <r>
    <n v="383"/>
    <x v="151"/>
    <x v="336"/>
    <x v="274"/>
    <x v="1"/>
    <x v="278"/>
    <x v="1"/>
    <m/>
    <s v="2B26-371-00+DR-TW-2B26-371-00-01"/>
  </r>
  <r>
    <n v="384"/>
    <x v="153"/>
    <x v="337"/>
    <x v="330"/>
    <x v="0"/>
    <x v="330"/>
    <x v="1"/>
    <m/>
    <s v="2B69M140-00+DR-TW-2B69M140-00-00"/>
  </r>
  <r>
    <n v="385"/>
    <x v="154"/>
    <x v="338"/>
    <x v="331"/>
    <x v="0"/>
    <x v="273"/>
    <x v="0"/>
    <d v="2023-02-24T00:00:00"/>
    <s v="2B27-123-01+DR-TW-2B27-123-01-00"/>
  </r>
  <r>
    <n v="386"/>
    <x v="154"/>
    <x v="339"/>
    <x v="332"/>
    <x v="0"/>
    <x v="331"/>
    <x v="0"/>
    <m/>
    <s v="2B48-034-03+DR-TW-2B48-034-03-00"/>
  </r>
  <r>
    <n v="387"/>
    <x v="155"/>
    <x v="340"/>
    <x v="333"/>
    <x v="0"/>
    <x v="332"/>
    <x v="0"/>
    <d v="2024-05-02T00:00:00"/>
    <s v="2B26-117-00+DR-TW-2B26-117-00-00"/>
  </r>
  <r>
    <n v="388"/>
    <x v="155"/>
    <x v="341"/>
    <x v="334"/>
    <x v="0"/>
    <x v="333"/>
    <x v="1"/>
    <m/>
    <s v="2B69M146-01+DR-TW-2B69M146-01-00"/>
  </r>
  <r>
    <n v="389"/>
    <x v="156"/>
    <x v="342"/>
    <x v="335"/>
    <x v="0"/>
    <x v="334"/>
    <x v="1"/>
    <m/>
    <s v="2B69M148-00+DR-TW-2B69M148-00-00"/>
  </r>
  <r>
    <n v="390"/>
    <x v="157"/>
    <x v="343"/>
    <x v="336"/>
    <x v="0"/>
    <x v="335"/>
    <x v="1"/>
    <m/>
    <s v="2B69M152-00+DR-TW-2B69M152-00-00"/>
  </r>
  <r>
    <n v="391"/>
    <x v="157"/>
    <x v="344"/>
    <x v="337"/>
    <x v="0"/>
    <x v="336"/>
    <x v="1"/>
    <m/>
    <s v="2B69M150-00+DR-TW-2B69M150-00-00"/>
  </r>
  <r>
    <n v="392"/>
    <x v="157"/>
    <x v="345"/>
    <x v="338"/>
    <x v="0"/>
    <x v="337"/>
    <x v="1"/>
    <m/>
    <s v="2B69M151-00+DR-TW-2B69M151-00-00"/>
  </r>
  <r>
    <n v="393"/>
    <x v="157"/>
    <x v="346"/>
    <x v="339"/>
    <x v="1"/>
    <x v="338"/>
    <x v="1"/>
    <m/>
    <s v="2B29-402-01+DR-TW-2B29-402-01-01"/>
  </r>
  <r>
    <n v="394"/>
    <x v="157"/>
    <x v="347"/>
    <x v="340"/>
    <x v="2"/>
    <x v="339"/>
    <x v="1"/>
    <m/>
    <s v="2B48-051-01+DR-TW-2B48-051-01-02"/>
  </r>
  <r>
    <n v="395"/>
    <x v="157"/>
    <x v="348"/>
    <x v="341"/>
    <x v="0"/>
    <x v="334"/>
    <x v="1"/>
    <s v=" "/>
    <s v="2B29-401-01+DR-TW-2B29-401-01-00"/>
  </r>
  <r>
    <n v="396"/>
    <x v="157"/>
    <x v="349"/>
    <x v="342"/>
    <x v="1"/>
    <x v="340"/>
    <x v="1"/>
    <m/>
    <s v="2B26-276-02+DR-TW-2B26-276-02-01"/>
  </r>
  <r>
    <n v="397"/>
    <x v="157"/>
    <x v="350"/>
    <x v="343"/>
    <x v="1"/>
    <x v="341"/>
    <x v="1"/>
    <m/>
    <s v="2B26-253-01+DR-TW-2B26-253-01-01"/>
  </r>
  <r>
    <n v="398"/>
    <x v="157"/>
    <x v="351"/>
    <x v="344"/>
    <x v="1"/>
    <x v="342"/>
    <x v="1"/>
    <m/>
    <s v="2B26-252-01+DR-TW-2B26-252-01-01"/>
  </r>
  <r>
    <n v="399"/>
    <x v="158"/>
    <x v="352"/>
    <x v="345"/>
    <x v="1"/>
    <x v="343"/>
    <x v="0"/>
    <d v="2023-05-19T00:00:00"/>
    <s v="2B25-052-03+DR-TW-2B25-052-03-01"/>
  </r>
  <r>
    <n v="400"/>
    <x v="158"/>
    <x v="352"/>
    <x v="346"/>
    <x v="1"/>
    <x v="344"/>
    <x v="0"/>
    <d v="2021-07-17T00:00:00"/>
    <s v="2B25-306-00+DR-TW-2B25-052-03-01"/>
  </r>
  <r>
    <n v="401"/>
    <x v="158"/>
    <x v="352"/>
    <x v="347"/>
    <x v="1"/>
    <x v="345"/>
    <x v="0"/>
    <d v="2021-09-27T00:00:00"/>
    <s v="2B25-173-04+DR-TW-2B25-052-03-01"/>
  </r>
  <r>
    <n v="402"/>
    <x v="159"/>
    <x v="353"/>
    <x v="344"/>
    <x v="2"/>
    <x v="346"/>
    <x v="1"/>
    <m/>
    <s v="2B26-252-01+DR-TW-2B26-252-01-02"/>
  </r>
  <r>
    <n v="403"/>
    <x v="159"/>
    <x v="354"/>
    <x v="342"/>
    <x v="2"/>
    <x v="340"/>
    <x v="0"/>
    <d v="2023-02-24T00:00:00"/>
    <s v="2B26-276-02+DR-TW-2B26-276-02-02"/>
  </r>
  <r>
    <n v="404"/>
    <x v="159"/>
    <x v="355"/>
    <x v="348"/>
    <x v="0"/>
    <x v="347"/>
    <x v="1"/>
    <m/>
    <s v="2B26-284-00+DR-TW-2B26-284-00-00"/>
  </r>
  <r>
    <n v="405"/>
    <x v="159"/>
    <x v="356"/>
    <x v="349"/>
    <x v="0"/>
    <x v="347"/>
    <x v="1"/>
    <m/>
    <s v="2B26-285-00+DR-TW-2B26-285-00-00"/>
  </r>
  <r>
    <n v="406"/>
    <x v="159"/>
    <x v="357"/>
    <x v="350"/>
    <x v="0"/>
    <x v="348"/>
    <x v="4"/>
    <m/>
    <s v="2B69M155-00+DR-TW-2B69M155-00-00"/>
  </r>
  <r>
    <n v="407"/>
    <x v="159"/>
    <x v="358"/>
    <x v="351"/>
    <x v="0"/>
    <x v="349"/>
    <x v="1"/>
    <m/>
    <s v="2B69M156-00+DR-TW-2B69M156-00-00"/>
  </r>
  <r>
    <n v="408"/>
    <x v="160"/>
    <x v="359"/>
    <x v="352"/>
    <x v="0"/>
    <x v="350"/>
    <x v="1"/>
    <m/>
    <s v="2B19B115-00+DR-TW-2B19B115-00-00"/>
  </r>
  <r>
    <n v="409"/>
    <x v="161"/>
    <x v="360"/>
    <x v="353"/>
    <x v="0"/>
    <x v="351"/>
    <x v="1"/>
    <m/>
    <s v="2B69M170-00+DR-TW-2B69M170-00-00"/>
  </r>
  <r>
    <n v="410"/>
    <x v="161"/>
    <x v="361"/>
    <x v="204"/>
    <x v="5"/>
    <x v="352"/>
    <x v="0"/>
    <m/>
    <s v="Drawing Set+DR-TW-2B28-115-00-08"/>
  </r>
  <r>
    <n v="411"/>
    <x v="161"/>
    <x v="362"/>
    <x v="352"/>
    <x v="1"/>
    <x v="350"/>
    <x v="1"/>
    <m/>
    <s v="2B19B115-00+DR-TW-2B19B115-00-01"/>
  </r>
  <r>
    <n v="412"/>
    <x v="161"/>
    <x v="363"/>
    <x v="354"/>
    <x v="0"/>
    <x v="353"/>
    <x v="1"/>
    <m/>
    <s v="2B26-284-01+DR-TW-2B26-284-01-00"/>
  </r>
  <r>
    <n v="413"/>
    <x v="162"/>
    <x v="364"/>
    <x v="355"/>
    <x v="0"/>
    <x v="353"/>
    <x v="1"/>
    <m/>
    <s v="2B26-285-01+DR-TW-2B26-285-01-00"/>
  </r>
  <r>
    <n v="414"/>
    <x v="163"/>
    <x v="365"/>
    <x v="356"/>
    <x v="0"/>
    <x v="354"/>
    <x v="1"/>
    <m/>
    <s v="2B69M169-00+DR-TW-2B69M169-00-00"/>
  </r>
  <r>
    <n v="415"/>
    <x v="163"/>
    <x v="366"/>
    <x v="357"/>
    <x v="0"/>
    <x v="355"/>
    <x v="1"/>
    <m/>
    <s v="2B69M166-00+DR-TW-2B69M166-00-00"/>
  </r>
  <r>
    <n v="416"/>
    <x v="163"/>
    <x v="367"/>
    <x v="358"/>
    <x v="0"/>
    <x v="356"/>
    <x v="1"/>
    <m/>
    <s v="2B69M165-00+DR-TW-2B69M165-00-00"/>
  </r>
  <r>
    <n v="417"/>
    <x v="163"/>
    <x v="368"/>
    <x v="359"/>
    <x v="0"/>
    <x v="357"/>
    <x v="1"/>
    <m/>
    <s v="2B69M154-00+DR-TW-2B69M154-00-00"/>
  </r>
  <r>
    <n v="418"/>
    <x v="163"/>
    <x v="369"/>
    <x v="360"/>
    <x v="1"/>
    <x v="358"/>
    <x v="1"/>
    <m/>
    <s v="2B25-120-01+DR-TW-2B25-120-01-01"/>
  </r>
  <r>
    <n v="419"/>
    <x v="163"/>
    <x v="370"/>
    <x v="361"/>
    <x v="0"/>
    <x v="359"/>
    <x v="0"/>
    <d v="2018-05-18T00:00:00"/>
    <s v="2B27-117-03+DR-TW-2B27-117-03-00"/>
  </r>
  <r>
    <n v="420"/>
    <x v="163"/>
    <x v="371"/>
    <x v="265"/>
    <x v="2"/>
    <x v="271"/>
    <x v="1"/>
    <m/>
    <s v="2B55-205-00+DR-TW-2B55-205-00-02"/>
  </r>
  <r>
    <n v="421"/>
    <x v="163"/>
    <x v="372"/>
    <x v="319"/>
    <x v="1"/>
    <x v="299"/>
    <x v="1"/>
    <m/>
    <s v="2B91-450-01+DR-TW-2B91-450-01-01"/>
  </r>
  <r>
    <n v="422"/>
    <x v="163"/>
    <x v="373"/>
    <x v="362"/>
    <x v="0"/>
    <x v="303"/>
    <x v="1"/>
    <m/>
    <s v="2B91-451-01+DR-TW-2B91-451-01-00"/>
  </r>
  <r>
    <n v="423"/>
    <x v="163"/>
    <x v="374"/>
    <x v="363"/>
    <x v="0"/>
    <x v="301"/>
    <x v="0"/>
    <m/>
    <s v="2B91-452-01+DR-TW-2B91-452-01-00"/>
  </r>
  <r>
    <n v="424"/>
    <x v="163"/>
    <x v="375"/>
    <x v="321"/>
    <x v="1"/>
    <x v="303"/>
    <x v="1"/>
    <m/>
    <s v="2B91-454-01+DR-TW-2B91-454-01-01"/>
  </r>
  <r>
    <n v="425"/>
    <x v="163"/>
    <x v="376"/>
    <x v="322"/>
    <x v="1"/>
    <x v="304"/>
    <x v="0"/>
    <d v="2021-11-18T00:00:00"/>
    <s v="2B91-455-01+DR-TW-2B91-455-01-01"/>
  </r>
  <r>
    <n v="426"/>
    <x v="163"/>
    <x v="377"/>
    <x v="323"/>
    <x v="1"/>
    <x v="305"/>
    <x v="1"/>
    <m/>
    <s v="2B91-456-01+DR-TW-2B91-456-01-01"/>
  </r>
  <r>
    <n v="427"/>
    <x v="163"/>
    <x v="378"/>
    <x v="324"/>
    <x v="1"/>
    <x v="302"/>
    <x v="1"/>
    <m/>
    <s v="2B91-457-01+DR-TW-2B91-457-01-01"/>
  </r>
  <r>
    <n v="428"/>
    <x v="164"/>
    <x v="379"/>
    <x v="364"/>
    <x v="0"/>
    <x v="360"/>
    <x v="1"/>
    <m/>
    <s v="2B69M171-00+DR-TW-2B69M171-00-00"/>
  </r>
  <r>
    <n v="429"/>
    <x v="164"/>
    <x v="380"/>
    <x v="365"/>
    <x v="0"/>
    <x v="361"/>
    <x v="1"/>
    <m/>
    <s v="2B69M172-00+DR-TW-2B69M172-00-00"/>
  </r>
  <r>
    <n v="430"/>
    <x v="164"/>
    <x v="381"/>
    <x v="357"/>
    <x v="1"/>
    <x v="355"/>
    <x v="1"/>
    <m/>
    <s v="2B69M166-00+DR-TW-2B69M166-00-01"/>
  </r>
  <r>
    <n v="431"/>
    <x v="164"/>
    <x v="382"/>
    <x v="358"/>
    <x v="1"/>
    <x v="356"/>
    <x v="1"/>
    <m/>
    <s v="2B69M165-00+DR-TW-2B69M165-00-01"/>
  </r>
  <r>
    <n v="432"/>
    <x v="164"/>
    <x v="383"/>
    <x v="188"/>
    <x v="1"/>
    <x v="187"/>
    <x v="0"/>
    <d v="2024-06-15T00:00:00"/>
    <s v="2B26-051-05+DR-TW-2B26-051-05-01"/>
  </r>
  <r>
    <n v="433"/>
    <x v="164"/>
    <x v="384"/>
    <x v="147"/>
    <x v="1"/>
    <x v="131"/>
    <x v="2"/>
    <m/>
    <s v="2B26-055-03+DR-TW-2B26-055-03-01"/>
  </r>
  <r>
    <n v="434"/>
    <x v="164"/>
    <x v="385"/>
    <x v="148"/>
    <x v="2"/>
    <x v="147"/>
    <x v="1"/>
    <d v="2020-05-12T00:00:00"/>
    <s v="2B26-126-0J+DR-TW-2B26-126-0J-02"/>
  </r>
  <r>
    <n v="435"/>
    <x v="164"/>
    <x v="386"/>
    <x v="132"/>
    <x v="1"/>
    <x v="133"/>
    <x v="1"/>
    <m/>
    <s v="2B26-132-01+DR-TW-2B26-132-01-01"/>
  </r>
  <r>
    <n v="436"/>
    <x v="164"/>
    <x v="387"/>
    <x v="366"/>
    <x v="0"/>
    <x v="308"/>
    <x v="0"/>
    <d v="2021-12-03T00:00:00"/>
    <s v="2B53-400-04+DR-TW-2B53-400-04-00"/>
  </r>
  <r>
    <n v="437"/>
    <x v="164"/>
    <x v="388"/>
    <x v="367"/>
    <x v="0"/>
    <x v="362"/>
    <x v="1"/>
    <m/>
    <s v="2B26-286-00+DR-TW-2B26-286-00-00"/>
  </r>
  <r>
    <n v="438"/>
    <x v="164"/>
    <x v="389"/>
    <x v="368"/>
    <x v="0"/>
    <x v="353"/>
    <x v="0"/>
    <d v="2022-11-16T00:00:00"/>
    <s v="2B26-284-02+DR-TW-2B26-284-02-00"/>
  </r>
  <r>
    <n v="439"/>
    <x v="165"/>
    <x v="390"/>
    <x v="204"/>
    <x v="7"/>
    <x v="272"/>
    <x v="2"/>
    <m/>
    <s v="Drawing Set+DR-TW-2B28A117-00-16"/>
  </r>
  <r>
    <n v="440"/>
    <x v="165"/>
    <x v="391"/>
    <x v="369"/>
    <x v="0"/>
    <x v="363"/>
    <x v="1"/>
    <m/>
    <s v="2B26-451-00+DR-TW-2B26-451-00-00"/>
  </r>
  <r>
    <n v="441"/>
    <x v="166"/>
    <x v="392"/>
    <x v="370"/>
    <x v="0"/>
    <x v="364"/>
    <x v="1"/>
    <d v="2024-05-06T00:00:00"/>
    <s v="2B04B500-00+DR-TW-2B04B500-00-00"/>
  </r>
  <r>
    <n v="442"/>
    <x v="166"/>
    <x v="393"/>
    <x v="371"/>
    <x v="0"/>
    <x v="282"/>
    <x v="0"/>
    <d v="2023-02-07T00:00:00"/>
    <s v="2B24-065-00+DR-TW-2B24-065-00-00"/>
  </r>
  <r>
    <n v="443"/>
    <x v="167"/>
    <x v="394"/>
    <x v="372"/>
    <x v="0"/>
    <x v="365"/>
    <x v="1"/>
    <m/>
    <s v="2B69M181-00+DR-TW-2B69M181-00-00"/>
  </r>
  <r>
    <n v="444"/>
    <x v="168"/>
    <x v="395"/>
    <x v="373"/>
    <x v="0"/>
    <x v="366"/>
    <x v="0"/>
    <d v="2023-01-14T00:00:00"/>
    <s v="2B26-090-01+DR-TW-2B26-090-01-00"/>
  </r>
  <r>
    <n v="445"/>
    <x v="168"/>
    <x v="396"/>
    <x v="374"/>
    <x v="0"/>
    <x v="367"/>
    <x v="3"/>
    <m/>
    <s v="2B91-210-00+DR-TW-2B91-210-00-00"/>
  </r>
  <r>
    <n v="446"/>
    <x v="168"/>
    <x v="397"/>
    <x v="375"/>
    <x v="0"/>
    <x v="368"/>
    <x v="0"/>
    <m/>
    <s v="2B26-131-00+DR-TW-2B26-131-00-00"/>
  </r>
  <r>
    <n v="447"/>
    <x v="168"/>
    <x v="398"/>
    <x v="376"/>
    <x v="0"/>
    <x v="369"/>
    <x v="4"/>
    <m/>
    <s v="2B69A009-00+DR-TW-2B69A009-00-00"/>
  </r>
  <r>
    <n v="448"/>
    <x v="169"/>
    <x v="399"/>
    <x v="377"/>
    <x v="0"/>
    <x v="370"/>
    <x v="0"/>
    <d v="2022-01-31T00:00:00"/>
    <s v="2B29-433-01+DR-TW-2B29-433-01-00"/>
  </r>
  <r>
    <n v="449"/>
    <x v="169"/>
    <x v="400"/>
    <x v="378"/>
    <x v="0"/>
    <x v="371"/>
    <x v="1"/>
    <m/>
    <s v="2B52-283A00+DR-TW-2B52-283A00-00"/>
  </r>
  <r>
    <n v="450"/>
    <x v="169"/>
    <x v="401"/>
    <x v="379"/>
    <x v="0"/>
    <x v="363"/>
    <x v="0"/>
    <m/>
    <s v="2B69M192-00+DR-TW-2B69M192-00-00"/>
  </r>
  <r>
    <n v="451"/>
    <x v="169"/>
    <x v="402"/>
    <x v="380"/>
    <x v="0"/>
    <x v="372"/>
    <x v="1"/>
    <m/>
    <s v="2B69M193-00+DR-TW-2B69M193-00-00"/>
  </r>
  <r>
    <n v="452"/>
    <x v="170"/>
    <x v="403"/>
    <x v="352"/>
    <x v="2"/>
    <x v="350"/>
    <x v="1"/>
    <d v="2022-02-11T00:00:00"/>
    <s v="2B19B115-00+DR-TW-2B19B115-00-02"/>
  </r>
  <r>
    <n v="453"/>
    <x v="170"/>
    <x v="404"/>
    <x v="381"/>
    <x v="1"/>
    <x v="373"/>
    <x v="1"/>
    <m/>
    <s v="2B25-066-02+DR-TW-2B25-066-02-01"/>
  </r>
  <r>
    <n v="454"/>
    <x v="170"/>
    <x v="405"/>
    <x v="375"/>
    <x v="1"/>
    <x v="368"/>
    <x v="1"/>
    <d v="2022-07-20T00:00:00"/>
    <s v="2B26-131-00+DR-TW-2B26-131-00-01"/>
  </r>
  <r>
    <n v="455"/>
    <x v="171"/>
    <x v="406"/>
    <x v="382"/>
    <x v="0"/>
    <x v="374"/>
    <x v="0"/>
    <m/>
    <s v="2B69M196-00+DR-TW-2B69M196-00-00"/>
  </r>
  <r>
    <n v="456"/>
    <x v="172"/>
    <x v="407"/>
    <x v="383"/>
    <x v="0"/>
    <x v="375"/>
    <x v="0"/>
    <m/>
    <s v="2B69M200-00+DR-TW-2B69M200-00-00"/>
  </r>
  <r>
    <n v="457"/>
    <x v="172"/>
    <x v="408"/>
    <x v="384"/>
    <x v="0"/>
    <x v="376"/>
    <x v="0"/>
    <m/>
    <s v="2B69M199-00+DR-TW-2B69M199-00-00"/>
  </r>
  <r>
    <n v="458"/>
    <x v="173"/>
    <x v="409"/>
    <x v="385"/>
    <x v="0"/>
    <x v="196"/>
    <x v="1"/>
    <m/>
    <s v="2B29-421-01+DR-TW-2B29-421-01-00"/>
  </r>
  <r>
    <n v="459"/>
    <x v="174"/>
    <x v="410"/>
    <x v="386"/>
    <x v="0"/>
    <x v="377"/>
    <x v="1"/>
    <m/>
    <s v="2B26-125-00+DR-TW-2B26-125-00-00"/>
  </r>
  <r>
    <n v="460"/>
    <x v="175"/>
    <x v="411"/>
    <x v="352"/>
    <x v="6"/>
    <x v="350"/>
    <x v="2"/>
    <m/>
    <s v="2B19B115-00+DR-TW-2B19B115-00-03"/>
  </r>
  <r>
    <n v="461"/>
    <x v="175"/>
    <x v="412"/>
    <x v="387"/>
    <x v="2"/>
    <x v="378"/>
    <x v="1"/>
    <d v="2022-03-02T00:00:00"/>
    <s v="2B19E100-00+DR-TW-2B19E100-00-02"/>
  </r>
  <r>
    <n v="462"/>
    <x v="175"/>
    <x v="413"/>
    <x v="386"/>
    <x v="1"/>
    <x v="377"/>
    <x v="0"/>
    <d v="2022-02-28T00:00:00"/>
    <s v="2B26-125-00+DR-TW-2B26-125-00-01"/>
  </r>
  <r>
    <n v="463"/>
    <x v="175"/>
    <x v="412"/>
    <x v="388"/>
    <x v="2"/>
    <x v="379"/>
    <x v="1"/>
    <d v="2022-03-02T00:00:00"/>
    <s v="2B19E085-00+DR-TW-2B19E100-00-02"/>
  </r>
  <r>
    <n v="464"/>
    <x v="175"/>
    <x v="412"/>
    <x v="389"/>
    <x v="2"/>
    <x v="380"/>
    <x v="1"/>
    <d v="2022-03-02T00:00:00"/>
    <s v="2B19E090-00+DR-TW-2B19E100-00-02"/>
  </r>
  <r>
    <n v="465"/>
    <x v="175"/>
    <x v="412"/>
    <x v="390"/>
    <x v="2"/>
    <x v="381"/>
    <x v="1"/>
    <d v="2022-03-02T00:00:00"/>
    <s v="2B19E110-00+DR-TW-2B19E100-00-02"/>
  </r>
  <r>
    <n v="466"/>
    <x v="175"/>
    <x v="412"/>
    <x v="391"/>
    <x v="2"/>
    <x v="382"/>
    <x v="1"/>
    <d v="2022-03-02T00:00:00"/>
    <s v="2B19E115-00+DR-TW-2B19E100-00-02"/>
  </r>
  <r>
    <n v="467"/>
    <x v="175"/>
    <x v="412"/>
    <x v="392"/>
    <x v="2"/>
    <x v="383"/>
    <x v="1"/>
    <d v="2022-03-02T00:00:00"/>
    <s v="2B19E120-00+DR-TW-2B19E100-00-02"/>
  </r>
  <r>
    <n v="468"/>
    <x v="176"/>
    <x v="414"/>
    <x v="393"/>
    <x v="0"/>
    <x v="384"/>
    <x v="3"/>
    <m/>
    <s v="2B04-463-00+DR-TW-2B04-463-00-00"/>
  </r>
  <r>
    <n v="469"/>
    <x v="176"/>
    <x v="415"/>
    <x v="394"/>
    <x v="0"/>
    <x v="385"/>
    <x v="0"/>
    <m/>
    <s v="2B69M204-00+DR-TW-2B69M204-00-00"/>
  </r>
  <r>
    <n v="470"/>
    <x v="176"/>
    <x v="416"/>
    <x v="395"/>
    <x v="0"/>
    <x v="386"/>
    <x v="0"/>
    <m/>
    <s v="2B69M205-00+DR-TW-2B69M205-00-00"/>
  </r>
  <r>
    <n v="471"/>
    <x v="176"/>
    <x v="417"/>
    <x v="396"/>
    <x v="0"/>
    <x v="387"/>
    <x v="0"/>
    <m/>
    <s v="2B69M206-00+DR-TW-2B69M206-00-00"/>
  </r>
  <r>
    <n v="472"/>
    <x v="176"/>
    <x v="418"/>
    <x v="397"/>
    <x v="0"/>
    <x v="388"/>
    <x v="0"/>
    <m/>
    <s v="2B69M207-00+DR-TW-2B69M207-00-00"/>
  </r>
  <r>
    <n v="473"/>
    <x v="177"/>
    <x v="419"/>
    <x v="387"/>
    <x v="6"/>
    <x v="378"/>
    <x v="1"/>
    <d v="2022-04-05T00:00:00"/>
    <s v="2B19E100-00+DR-TW-2B19E100-00-03"/>
  </r>
  <r>
    <n v="474"/>
    <x v="177"/>
    <x v="419"/>
    <x v="388"/>
    <x v="6"/>
    <x v="379"/>
    <x v="1"/>
    <d v="2022-04-05T00:00:00"/>
    <s v="2B19E085-00+DR-TW-2B19E100-00-03"/>
  </r>
  <r>
    <n v="475"/>
    <x v="177"/>
    <x v="419"/>
    <x v="389"/>
    <x v="6"/>
    <x v="380"/>
    <x v="1"/>
    <d v="2022-04-05T00:00:00"/>
    <s v="2B19E090-00+DR-TW-2B19E100-00-03"/>
  </r>
  <r>
    <n v="476"/>
    <x v="177"/>
    <x v="419"/>
    <x v="390"/>
    <x v="6"/>
    <x v="381"/>
    <x v="1"/>
    <d v="2022-04-05T00:00:00"/>
    <s v="2B19E110-00+DR-TW-2B19E100-00-03"/>
  </r>
  <r>
    <n v="477"/>
    <x v="177"/>
    <x v="419"/>
    <x v="391"/>
    <x v="6"/>
    <x v="382"/>
    <x v="1"/>
    <d v="2022-04-05T00:00:00"/>
    <s v="2B19E115-00+DR-TW-2B19E100-00-03"/>
  </r>
  <r>
    <n v="478"/>
    <x v="177"/>
    <x v="419"/>
    <x v="392"/>
    <x v="6"/>
    <x v="383"/>
    <x v="1"/>
    <d v="2022-04-05T00:00:00"/>
    <s v="2B19E120-00+DR-TW-2B19E100-00-03"/>
  </r>
  <r>
    <n v="479"/>
    <x v="177"/>
    <x v="419"/>
    <x v="398"/>
    <x v="6"/>
    <x v="389"/>
    <x v="1"/>
    <d v="2022-04-05T00:00:00"/>
    <s v="2B19E105-00+DR-TW-2B19E100-00-03"/>
  </r>
  <r>
    <n v="480"/>
    <x v="178"/>
    <x v="420"/>
    <x v="399"/>
    <x v="0"/>
    <x v="390"/>
    <x v="1"/>
    <m/>
    <s v="2B69M225-00+DR-TW-2B69M225-00-00"/>
  </r>
  <r>
    <n v="481"/>
    <x v="178"/>
    <x v="421"/>
    <x v="400"/>
    <x v="0"/>
    <x v="391"/>
    <x v="1"/>
    <m/>
    <s v="2B69M226-00+DR-TW-2B69M226-00-00"/>
  </r>
  <r>
    <n v="482"/>
    <x v="178"/>
    <x v="422"/>
    <x v="401"/>
    <x v="0"/>
    <x v="392"/>
    <x v="1"/>
    <m/>
    <s v="2B69M228-00+DR-TW-2B69M228-00-00"/>
  </r>
  <r>
    <n v="483"/>
    <x v="179"/>
    <x v="423"/>
    <x v="402"/>
    <x v="0"/>
    <x v="393"/>
    <x v="1"/>
    <m/>
    <s v="2B69M219-00+DR-TW-2B69M219-00-00"/>
  </r>
  <r>
    <n v="484"/>
    <x v="179"/>
    <x v="424"/>
    <x v="403"/>
    <x v="0"/>
    <x v="394"/>
    <x v="0"/>
    <m/>
    <s v="2B69M220-00+DR-TW-2B69M220-00-00"/>
  </r>
  <r>
    <n v="485"/>
    <x v="179"/>
    <x v="425"/>
    <x v="404"/>
    <x v="0"/>
    <x v="395"/>
    <x v="1"/>
    <m/>
    <s v="2B69M221-00+DR-TW-2B69M221-00-00"/>
  </r>
  <r>
    <n v="486"/>
    <x v="179"/>
    <x v="426"/>
    <x v="405"/>
    <x v="0"/>
    <x v="396"/>
    <x v="0"/>
    <m/>
    <s v="2B69M222-00+DR-TW-2B69M222-00-00"/>
  </r>
  <r>
    <n v="487"/>
    <x v="180"/>
    <x v="427"/>
    <x v="406"/>
    <x v="0"/>
    <x v="397"/>
    <x v="0"/>
    <d v="2024-02-13T00:00:00"/>
    <s v="2B24-260-00+DR-TW-2B24-260-00-00"/>
  </r>
  <r>
    <n v="488"/>
    <x v="180"/>
    <x v="428"/>
    <x v="407"/>
    <x v="1"/>
    <x v="398"/>
    <x v="0"/>
    <d v="2022-06-11T00:00:00"/>
    <s v="2B25-120-02+DR-TW-2B25-120-02-01"/>
  </r>
  <r>
    <n v="489"/>
    <x v="180"/>
    <x v="428"/>
    <x v="408"/>
    <x v="1"/>
    <x v="399"/>
    <x v="0"/>
    <d v="2022-06-11T00:00:00"/>
    <s v="2B25-121-02+DR-TW-2B25-120-02-01"/>
  </r>
  <r>
    <n v="490"/>
    <x v="181"/>
    <x v="429"/>
    <x v="409"/>
    <x v="0"/>
    <x v="400"/>
    <x v="0"/>
    <d v="2022-05-21T00:00:00"/>
    <s v="2B30-070-00+DR-TW-2B30-070-00-00"/>
  </r>
  <r>
    <n v="491"/>
    <x v="181"/>
    <x v="430"/>
    <x v="410"/>
    <x v="0"/>
    <x v="401"/>
    <x v="0"/>
    <d v="2022-08-03T00:00:00"/>
    <s v="2B25-247-02+DR-TW-2B25-247-02-00"/>
  </r>
  <r>
    <n v="492"/>
    <x v="181"/>
    <x v="431"/>
    <x v="411"/>
    <x v="0"/>
    <x v="402"/>
    <x v="1"/>
    <m/>
    <s v="2B26-116-06+DR-TW-2B26-116-06-00"/>
  </r>
  <r>
    <n v="493"/>
    <x v="181"/>
    <x v="432"/>
    <x v="412"/>
    <x v="0"/>
    <x v="135"/>
    <x v="1"/>
    <m/>
    <s v="2B26-123-07+DR-TW-2B26-123-07-00"/>
  </r>
  <r>
    <n v="494"/>
    <x v="181"/>
    <x v="433"/>
    <x v="413"/>
    <x v="0"/>
    <x v="392"/>
    <x v="0"/>
    <d v="2022-04-19T00:00:00"/>
    <s v="2B27-414-00+DR-TW-2B27-414-00-00"/>
  </r>
  <r>
    <n v="495"/>
    <x v="182"/>
    <x v="434"/>
    <x v="414"/>
    <x v="0"/>
    <x v="403"/>
    <x v="0"/>
    <d v="2023-05-04T00:00:00"/>
    <s v="2B94-074-01+DR-TW-2B94-074-01-00"/>
  </r>
  <r>
    <n v="496"/>
    <x v="183"/>
    <x v="435"/>
    <x v="415"/>
    <x v="0"/>
    <x v="404"/>
    <x v="1"/>
    <m/>
    <s v="2B69M236-00+DR-TW-2B69N236-00-00"/>
  </r>
  <r>
    <n v="497"/>
    <x v="184"/>
    <x v="436"/>
    <x v="416"/>
    <x v="0"/>
    <x v="404"/>
    <x v="1"/>
    <m/>
    <s v="2B26-500-00+DR-TW-2B26-500-00-00"/>
  </r>
  <r>
    <n v="498"/>
    <x v="184"/>
    <x v="437"/>
    <x v="417"/>
    <x v="0"/>
    <x v="405"/>
    <x v="0"/>
    <d v="2022-06-06T00:00:00"/>
    <s v="2B25-502-00+DR-TW-2B25-502-00-00"/>
  </r>
  <r>
    <n v="499"/>
    <x v="185"/>
    <x v="438"/>
    <x v="418"/>
    <x v="0"/>
    <x v="406"/>
    <x v="1"/>
    <m/>
    <s v="2B69M238-00+DR-TW-2B69M238-00-00"/>
  </r>
  <r>
    <n v="500"/>
    <x v="185"/>
    <x v="439"/>
    <x v="419"/>
    <x v="0"/>
    <x v="407"/>
    <x v="1"/>
    <m/>
    <s v="2B69M240-00+DR-TW-2B69M240-00-00"/>
  </r>
  <r>
    <n v="501"/>
    <x v="185"/>
    <x v="440"/>
    <x v="420"/>
    <x v="0"/>
    <x v="408"/>
    <x v="1"/>
    <m/>
    <s v="2B69M237-00+DR-TW-2B69M237-00-00"/>
  </r>
  <r>
    <n v="502"/>
    <x v="185"/>
    <x v="441"/>
    <x v="421"/>
    <x v="0"/>
    <x v="409"/>
    <x v="1"/>
    <m/>
    <s v="2B69M241-00+DR-TW-2B69M241-00-00"/>
  </r>
  <r>
    <n v="503"/>
    <x v="186"/>
    <x v="442"/>
    <x v="422"/>
    <x v="0"/>
    <x v="410"/>
    <x v="1"/>
    <m/>
    <s v="2B69M242-00+DR-TW-2B69M242-00-00"/>
  </r>
  <r>
    <n v="504"/>
    <x v="187"/>
    <x v="443"/>
    <x v="423"/>
    <x v="0"/>
    <x v="411"/>
    <x v="1"/>
    <m/>
    <s v="2B69M250-00+DR-TW-2B69M250-00-00"/>
  </r>
  <r>
    <n v="505"/>
    <x v="39"/>
    <x v="444"/>
    <x v="102"/>
    <x v="2"/>
    <x v="412"/>
    <x v="1"/>
    <d v="2022-07-20T00:00:00"/>
    <s v="2B26-081-01+DR-TW-2B26-081-01-02"/>
  </r>
  <r>
    <n v="506"/>
    <x v="39"/>
    <x v="445"/>
    <x v="103"/>
    <x v="2"/>
    <x v="413"/>
    <x v="1"/>
    <m/>
    <s v="2B26-082-01+DR-TW-2B26-082-01-02"/>
  </r>
  <r>
    <n v="507"/>
    <x v="39"/>
    <x v="446"/>
    <x v="424"/>
    <x v="0"/>
    <x v="408"/>
    <x v="0"/>
    <d v="2022-07-06T00:00:00"/>
    <s v="2B25-273-00+DR-TW-2B25-273-00-00"/>
  </r>
  <r>
    <n v="508"/>
    <x v="39"/>
    <x v="447"/>
    <x v="425"/>
    <x v="0"/>
    <x v="395"/>
    <x v="0"/>
    <d v="2022-08-11T00:00:00"/>
    <s v="2B69M221-01+DR-TW-2B69M221-01-00"/>
  </r>
  <r>
    <n v="509"/>
    <x v="39"/>
    <x v="448"/>
    <x v="426"/>
    <x v="0"/>
    <x v="414"/>
    <x v="1"/>
    <d v="2022-06-24T00:00:00"/>
    <s v="2B69A014-00+DR-TW-2B69A014-00-00"/>
  </r>
  <r>
    <n v="510"/>
    <x v="39"/>
    <x v="449"/>
    <x v="427"/>
    <x v="0"/>
    <x v="415"/>
    <x v="1"/>
    <d v="2022-06-28T00:00:00"/>
    <s v="2B69A015-00+DR-TW-2B69A015-00-00"/>
  </r>
  <r>
    <n v="511"/>
    <x v="39"/>
    <x v="450"/>
    <x v="428"/>
    <x v="6"/>
    <x v="416"/>
    <x v="1"/>
    <d v="2019-03-14T00:00:00"/>
    <s v="2B24B075-00+DR-TW-2B24B090-00-03"/>
  </r>
  <r>
    <n v="512"/>
    <x v="39"/>
    <x v="450"/>
    <x v="429"/>
    <x v="6"/>
    <x v="417"/>
    <x v="1"/>
    <d v="2019-03-14T00:00:00"/>
    <s v="2B24B090-00+DR-TW-2B24B090-00-03"/>
  </r>
  <r>
    <n v="513"/>
    <x v="39"/>
    <x v="451"/>
    <x v="430"/>
    <x v="1"/>
    <x v="418"/>
    <x v="1"/>
    <d v="2018-10-31T00:00:00"/>
    <s v="2B24C110-00+DR-TW-2B24C110-00-01"/>
  </r>
  <r>
    <n v="60"/>
    <x v="40"/>
    <x v="39"/>
    <x v="431"/>
    <x v="0"/>
    <x v="419"/>
    <x v="1"/>
    <d v="2021-09-30T00:00:00"/>
    <s v="2B24D120-00+DR-TW-2B24D085-00-00"/>
  </r>
  <r>
    <n v="515"/>
    <x v="39"/>
    <x v="452"/>
    <x v="432"/>
    <x v="1"/>
    <x v="420"/>
    <x v="1"/>
    <d v="2022-06-28T00:00:00"/>
    <s v="2B26-132-02+DR-TW-2B26-132-02-01"/>
  </r>
  <r>
    <n v="516"/>
    <x v="39"/>
    <x v="453"/>
    <x v="433"/>
    <x v="1"/>
    <x v="71"/>
    <x v="1"/>
    <d v="2019-06-08T00:00:00"/>
    <s v="2B26-207-03+DR-TW-2B26-207-03-01"/>
  </r>
  <r>
    <n v="517"/>
    <x v="39"/>
    <x v="454"/>
    <x v="434"/>
    <x v="2"/>
    <x v="421"/>
    <x v="1"/>
    <d v="2024-05-10T00:00:00"/>
    <s v="2B26-211-03+DR-TW-2B26-211-03-02"/>
  </r>
  <r>
    <n v="518"/>
    <x v="39"/>
    <x v="455"/>
    <x v="435"/>
    <x v="0"/>
    <x v="422"/>
    <x v="0"/>
    <d v="2020-07-24T00:00:00"/>
    <s v="2B27-128-01+DR-TW-2B27-128-01-00"/>
  </r>
  <r>
    <n v="519"/>
    <x v="39"/>
    <x v="456"/>
    <x v="436"/>
    <x v="0"/>
    <x v="423"/>
    <x v="1"/>
    <d v="2019-01-10T00:00:00"/>
    <s v="2B29-431-01+DR-TW-2B29-431-01-00"/>
  </r>
  <r>
    <n v="520"/>
    <x v="39"/>
    <x v="457"/>
    <x v="437"/>
    <x v="0"/>
    <x v="424"/>
    <x v="0"/>
    <d v="2019-03-02T00:00:00"/>
    <s v="2B94-030-01+DR-TW-2B94-030-01-00"/>
  </r>
  <r>
    <n v="521"/>
    <x v="39"/>
    <x v="458"/>
    <x v="438"/>
    <x v="0"/>
    <x v="425"/>
    <x v="0"/>
    <d v="2018-04-06T00:00:00"/>
    <s v="2B94-055-01+DR-TW-2B94-055-01-00"/>
  </r>
  <r>
    <n v="522"/>
    <x v="39"/>
    <x v="459"/>
    <x v="439"/>
    <x v="1"/>
    <x v="426"/>
    <x v="0"/>
    <d v="2019-03-18T00:00:00"/>
    <s v="2B94-092-02+DR-TW-2B94-092-02-01"/>
  </r>
  <r>
    <n v="523"/>
    <x v="39"/>
    <x v="460"/>
    <x v="440"/>
    <x v="0"/>
    <x v="427"/>
    <x v="0"/>
    <d v="2022-07-18T00:00:00"/>
    <s v="2B19-120-06+DR-TW-2B19-110-06-00"/>
  </r>
  <r>
    <n v="524"/>
    <x v="39"/>
    <x v="460"/>
    <x v="441"/>
    <x v="0"/>
    <x v="428"/>
    <x v="0"/>
    <d v="2021-11-10T00:00:00"/>
    <s v="2B19-125-06+DR-TW-2B19-110-06-00"/>
  </r>
  <r>
    <n v="525"/>
    <x v="39"/>
    <x v="460"/>
    <x v="442"/>
    <x v="0"/>
    <x v="429"/>
    <x v="0"/>
    <d v="2021-11-10T00:00:00"/>
    <s v="2B19-130-06+DR-TW-2B19-110-06-00"/>
  </r>
  <r>
    <n v="526"/>
    <x v="39"/>
    <x v="460"/>
    <x v="443"/>
    <x v="0"/>
    <x v="430"/>
    <x v="0"/>
    <d v="2021-11-09T00:00:00"/>
    <s v="2B19-135-06+DR-TW-2B19-110-06-00"/>
  </r>
  <r>
    <n v="527"/>
    <x v="39"/>
    <x v="460"/>
    <x v="444"/>
    <x v="0"/>
    <x v="431"/>
    <x v="0"/>
    <d v="2021-11-10T00:00:00"/>
    <s v="2B19-140-06+DR-TW-2B19-110-06-00"/>
  </r>
  <r>
    <n v="528"/>
    <x v="39"/>
    <x v="461"/>
    <x v="445"/>
    <x v="0"/>
    <x v="432"/>
    <x v="0"/>
    <d v="2019-02-11T00:00:00"/>
    <s v="2B19C205-02+DR-TW-2B19C140-02-00"/>
  </r>
  <r>
    <n v="529"/>
    <x v="39"/>
    <x v="461"/>
    <x v="446"/>
    <x v="0"/>
    <x v="433"/>
    <x v="0"/>
    <d v="2019-02-11T00:00:00"/>
    <s v="2B19C140-02+DR-TW-2B19C140-02-00"/>
  </r>
  <r>
    <n v="530"/>
    <x v="39"/>
    <x v="461"/>
    <x v="447"/>
    <x v="0"/>
    <x v="434"/>
    <x v="0"/>
    <d v="2019-02-11T00:00:00"/>
    <s v="2B19C145-02+DR-TW-2B19C140-02-00"/>
  </r>
  <r>
    <n v="531"/>
    <x v="39"/>
    <x v="461"/>
    <x v="448"/>
    <x v="0"/>
    <x v="435"/>
    <x v="0"/>
    <d v="2019-02-11T00:00:00"/>
    <s v="2B19C150-02+DR-TW-2B19C140-02-00"/>
  </r>
  <r>
    <n v="532"/>
    <x v="39"/>
    <x v="461"/>
    <x v="449"/>
    <x v="0"/>
    <x v="436"/>
    <x v="0"/>
    <d v="2019-02-11T00:00:00"/>
    <s v="2B19C155-02+DR-TW-2B19C140-02-00"/>
  </r>
  <r>
    <n v="533"/>
    <x v="39"/>
    <x v="461"/>
    <x v="450"/>
    <x v="0"/>
    <x v="437"/>
    <x v="0"/>
    <d v="2019-02-11T00:00:00"/>
    <s v="2B19C160-02+DR-TW-2B19C140-02-00"/>
  </r>
  <r>
    <n v="534"/>
    <x v="39"/>
    <x v="461"/>
    <x v="451"/>
    <x v="0"/>
    <x v="438"/>
    <x v="0"/>
    <d v="2019-02-11T00:00:00"/>
    <s v="2B19C165-02+DR-TW-2B19C140-02-00"/>
  </r>
  <r>
    <n v="535"/>
    <x v="39"/>
    <x v="461"/>
    <x v="452"/>
    <x v="0"/>
    <x v="439"/>
    <x v="0"/>
    <d v="2019-02-11T00:00:00"/>
    <s v="2B19C170-02+DR-TW-2B19C140-02-00"/>
  </r>
  <r>
    <n v="536"/>
    <x v="39"/>
    <x v="461"/>
    <x v="453"/>
    <x v="0"/>
    <x v="440"/>
    <x v="0"/>
    <d v="2019-02-11T00:00:00"/>
    <s v="2B19C175-02+DR-TW-2B19C140-02-00"/>
  </r>
  <r>
    <n v="537"/>
    <x v="39"/>
    <x v="461"/>
    <x v="454"/>
    <x v="0"/>
    <x v="441"/>
    <x v="0"/>
    <d v="2019-02-11T00:00:00"/>
    <s v="2B19C180-02+DR-TW-2B19C140-02-00"/>
  </r>
  <r>
    <n v="538"/>
    <x v="39"/>
    <x v="461"/>
    <x v="455"/>
    <x v="0"/>
    <x v="442"/>
    <x v="0"/>
    <d v="2019-02-11T00:00:00"/>
    <s v="2B19C200-02+DR-TW-2B19C140-02-00"/>
  </r>
  <r>
    <n v="539"/>
    <x v="39"/>
    <x v="460"/>
    <x v="456"/>
    <x v="0"/>
    <x v="443"/>
    <x v="0"/>
    <d v="2021-11-10T00:00:00"/>
    <s v="2B19-150-06+DR-TW-2B19-110-06-00"/>
  </r>
  <r>
    <n v="540"/>
    <x v="39"/>
    <x v="460"/>
    <x v="457"/>
    <x v="0"/>
    <x v="444"/>
    <x v="0"/>
    <d v="2021-11-10T00:00:00"/>
    <s v="2B19-155-06+DR-TW-2B19-110-06-00"/>
  </r>
  <r>
    <n v="541"/>
    <x v="39"/>
    <x v="460"/>
    <x v="458"/>
    <x v="0"/>
    <x v="445"/>
    <x v="0"/>
    <d v="2021-12-10T00:00:00"/>
    <s v="2B19-160-07+DR-TW-2B19-110-06-00"/>
  </r>
  <r>
    <n v="542"/>
    <x v="39"/>
    <x v="460"/>
    <x v="459"/>
    <x v="0"/>
    <x v="446"/>
    <x v="0"/>
    <d v="2021-12-10T00:00:00"/>
    <s v="2B19-165-07+DR-TW-2B19-110-06-00"/>
  </r>
  <r>
    <n v="543"/>
    <x v="39"/>
    <x v="460"/>
    <x v="460"/>
    <x v="0"/>
    <x v="447"/>
    <x v="0"/>
    <d v="2021-11-10T00:00:00"/>
    <s v="2B19-175-07+DR-TW-2B19-110-06-00"/>
  </r>
  <r>
    <n v="544"/>
    <x v="39"/>
    <x v="460"/>
    <x v="461"/>
    <x v="0"/>
    <x v="448"/>
    <x v="0"/>
    <d v="2021-11-10T00:00:00"/>
    <s v="2B19-180-07+DR-TW-2B19-110-06-00"/>
  </r>
  <r>
    <n v="545"/>
    <x v="39"/>
    <x v="460"/>
    <x v="462"/>
    <x v="0"/>
    <x v="449"/>
    <x v="0"/>
    <d v="2021-11-10T00:00:00"/>
    <s v="2B19-190-07+DR-TW-2B19-110-06-00"/>
  </r>
  <r>
    <n v="546"/>
    <x v="39"/>
    <x v="460"/>
    <x v="463"/>
    <x v="0"/>
    <x v="450"/>
    <x v="0"/>
    <d v="2021-11-10T00:00:00"/>
    <s v="2B19-195-07+DR-TW-2B19-110-06-00"/>
  </r>
  <r>
    <n v="547"/>
    <x v="39"/>
    <x v="460"/>
    <x v="464"/>
    <x v="0"/>
    <x v="451"/>
    <x v="0"/>
    <d v="2021-11-10T00:00:00"/>
    <s v="2B19-200-07+DR-TW-2B19-110-06-00"/>
  </r>
  <r>
    <n v="548"/>
    <x v="39"/>
    <x v="460"/>
    <x v="465"/>
    <x v="0"/>
    <x v="452"/>
    <x v="0"/>
    <d v="2021-11-10T00:00:00"/>
    <s v="2B19-215-01+DR-TW-2B19-110-06-00"/>
  </r>
  <r>
    <n v="549"/>
    <x v="39"/>
    <x v="460"/>
    <x v="466"/>
    <x v="0"/>
    <x v="453"/>
    <x v="0"/>
    <d v="2021-11-10T00:00:00"/>
    <s v="2B19-205-01+DR-TW-2B19-110-06-00"/>
  </r>
  <r>
    <n v="550"/>
    <x v="39"/>
    <x v="460"/>
    <x v="467"/>
    <x v="0"/>
    <x v="454"/>
    <x v="0"/>
    <d v="2021-11-12T00:00:00"/>
    <s v="2B19-220-01+DR-TW-2B19-110-06-00"/>
  </r>
  <r>
    <n v="551"/>
    <x v="39"/>
    <x v="460"/>
    <x v="468"/>
    <x v="0"/>
    <x v="455"/>
    <x v="0"/>
    <d v="2022-08-16T00:00:00"/>
    <s v="2B19-210-01+DR-TW-2B19-110-06-00"/>
  </r>
  <r>
    <n v="552"/>
    <x v="39"/>
    <x v="460"/>
    <x v="469"/>
    <x v="0"/>
    <x v="456"/>
    <x v="0"/>
    <d v="2022-08-16T00:00:00"/>
    <s v="2B19-145-06+DR-TW-2B19-110-06-00"/>
  </r>
  <r>
    <n v="553"/>
    <x v="39"/>
    <x v="460"/>
    <x v="470"/>
    <x v="0"/>
    <x v="457"/>
    <x v="0"/>
    <d v="2023-03-29T00:00:00"/>
    <s v="2B19-110-06+DR-TW-2B19-110-06-00"/>
  </r>
  <r>
    <n v="554"/>
    <x v="39"/>
    <x v="460"/>
    <x v="471"/>
    <x v="0"/>
    <x v="458"/>
    <x v="0"/>
    <d v="2023-08-01T00:00:00"/>
    <s v="2B19-115-06+DR-TW-2B19-110-06-00"/>
  </r>
  <r>
    <n v="555"/>
    <x v="188"/>
    <x v="462"/>
    <x v="472"/>
    <x v="0"/>
    <x v="459"/>
    <x v="1"/>
    <d v="2022-06-28T00:00:00"/>
    <s v="2B69A017-00+DR-TW-2B69A017-00-00"/>
  </r>
  <r>
    <n v="556"/>
    <x v="188"/>
    <x v="450"/>
    <x v="473"/>
    <x v="6"/>
    <x v="460"/>
    <x v="1"/>
    <d v="2021-06-30T00:00:00"/>
    <s v="2B24B065-00+DR-TW-2B24B090-00-03"/>
  </r>
  <r>
    <n v="557"/>
    <x v="188"/>
    <x v="450"/>
    <x v="474"/>
    <x v="6"/>
    <x v="461"/>
    <x v="1"/>
    <d v="2021-06-30T00:00:00"/>
    <s v="2B24B105-00+DR-TW-2B24B090-00-03"/>
  </r>
  <r>
    <n v="558"/>
    <x v="188"/>
    <x v="450"/>
    <x v="475"/>
    <x v="6"/>
    <x v="462"/>
    <x v="1"/>
    <d v="2021-06-30T00:00:00"/>
    <s v="2B24B120-00+DR-TW-2B24B090-00-03"/>
  </r>
  <r>
    <n v="559"/>
    <x v="188"/>
    <x v="463"/>
    <x v="476"/>
    <x v="0"/>
    <x v="463"/>
    <x v="0"/>
    <d v="2020-04-16T00:00:00"/>
    <s v="2B27-211-00+DR-TW-2B27-211-00-00"/>
  </r>
  <r>
    <n v="560"/>
    <x v="189"/>
    <x v="464"/>
    <x v="477"/>
    <x v="0"/>
    <x v="464"/>
    <x v="1"/>
    <d v="2022-07-14T00:00:00"/>
    <s v="2B26-190-00+DR-TW-2B26-190-00-00"/>
  </r>
  <r>
    <n v="561"/>
    <x v="189"/>
    <x v="465"/>
    <x v="478"/>
    <x v="0"/>
    <x v="465"/>
    <x v="1"/>
    <d v="2022-07-20T00:00:00"/>
    <s v="2B26-295-00+DR-TW-2B26-295-00-00"/>
  </r>
  <r>
    <n v="562"/>
    <x v="189"/>
    <x v="466"/>
    <x v="479"/>
    <x v="0"/>
    <x v="466"/>
    <x v="0"/>
    <d v="2022-07-06T00:00:00"/>
    <s v="2B27-082-00+DR-TW-2B27-082-00-00"/>
  </r>
  <r>
    <n v="563"/>
    <x v="189"/>
    <x v="467"/>
    <x v="480"/>
    <x v="0"/>
    <x v="467"/>
    <x v="0"/>
    <d v="2022-07-06T00:00:00"/>
    <s v="2B26-084-00+DR-TW-2B26-084-00-00"/>
  </r>
  <r>
    <n v="564"/>
    <x v="189"/>
    <x v="468"/>
    <x v="481"/>
    <x v="0"/>
    <x v="468"/>
    <x v="0"/>
    <d v="2022-07-20T00:00:00"/>
    <s v="2B25-287-00+DR-TW-2B25-287-00-00"/>
  </r>
  <r>
    <n v="565"/>
    <x v="189"/>
    <x v="469"/>
    <x v="482"/>
    <x v="0"/>
    <x v="469"/>
    <x v="0"/>
    <d v="2022-07-25T00:00:00"/>
    <s v="2B27-101-00+DR-TW-2B27-101-00-00"/>
  </r>
  <r>
    <n v="566"/>
    <x v="189"/>
    <x v="470"/>
    <x v="483"/>
    <x v="0"/>
    <x v="470"/>
    <x v="0"/>
    <d v="2022-07-23T00:00:00"/>
    <s v="2B94-051-00+DR-TW-2B94-051-00-00"/>
  </r>
  <r>
    <n v="567"/>
    <x v="190"/>
    <x v="471"/>
    <x v="484"/>
    <x v="0"/>
    <x v="471"/>
    <x v="0"/>
    <d v="2022-06-29T00:00:00"/>
    <s v="PCX-RS02-00+ATP-PCX-RH02-00-00"/>
  </r>
  <r>
    <n v="568"/>
    <x v="191"/>
    <x v="472"/>
    <x v="485"/>
    <x v="0"/>
    <x v="472"/>
    <x v="1"/>
    <m/>
    <s v="2B26-249-03+DR-TW-2B26-249-03-00"/>
  </r>
  <r>
    <n v="569"/>
    <x v="192"/>
    <x v="473"/>
    <x v="411"/>
    <x v="1"/>
    <x v="402"/>
    <x v="0"/>
    <d v="2022-06-23T00:00:00"/>
    <s v="2B26-116-06+DR-TW-2B26-116-06-01"/>
  </r>
  <r>
    <n v="570"/>
    <x v="192"/>
    <x v="474"/>
    <x v="486"/>
    <x v="0"/>
    <x v="473"/>
    <x v="3"/>
    <m/>
    <s v="2B04-464-00+DR-TW-2B04-464-00-00"/>
  </r>
  <r>
    <n v="571"/>
    <x v="192"/>
    <x v="475"/>
    <x v="487"/>
    <x v="0"/>
    <x v="474"/>
    <x v="0"/>
    <m/>
    <s v="2B69M255-00+DR-TW-2B69M255-00-00"/>
  </r>
  <r>
    <n v="572"/>
    <x v="193"/>
    <x v="476"/>
    <x v="488"/>
    <x v="0"/>
    <x v="475"/>
    <x v="0"/>
    <d v="2022-06-23T00:00:00"/>
    <s v="PCX-FS02-00+ATP-PCX-FH02-00-00"/>
  </r>
  <r>
    <n v="573"/>
    <x v="194"/>
    <x v="477"/>
    <x v="489"/>
    <x v="0"/>
    <x v="476"/>
    <x v="1"/>
    <d v="2022-08-11T00:00:00"/>
    <s v="2B26-068-04+DR-TW-2B26-068-04-00"/>
  </r>
  <r>
    <n v="574"/>
    <x v="195"/>
    <x v="478"/>
    <x v="490"/>
    <x v="0"/>
    <x v="477"/>
    <x v="1"/>
    <d v="2022-08-08T00:00:00"/>
    <s v="2B69M257-00+DR-TW-2B69M257-00-00"/>
  </r>
  <r>
    <n v="575"/>
    <x v="195"/>
    <x v="479"/>
    <x v="491"/>
    <x v="0"/>
    <x v="478"/>
    <x v="1"/>
    <d v="2022-08-08T00:00:00"/>
    <s v="2B69M256-00+DR-TW-2B69M256-00-00"/>
  </r>
  <r>
    <n v="576"/>
    <x v="196"/>
    <x v="480"/>
    <x v="492"/>
    <x v="0"/>
    <x v="473"/>
    <x v="3"/>
    <m/>
    <s v="2B04-465-00+DR-TW-2B04-465-00-00"/>
  </r>
  <r>
    <n v="577"/>
    <x v="197"/>
    <x v="481"/>
    <x v="493"/>
    <x v="0"/>
    <x v="479"/>
    <x v="0"/>
    <d v="2024-01-03T00:00:00"/>
    <s v="2B91-044-02+DR-TW-2B91-044-02-00"/>
  </r>
  <r>
    <n v="578"/>
    <x v="197"/>
    <x v="482"/>
    <x v="494"/>
    <x v="0"/>
    <x v="480"/>
    <x v="0"/>
    <d v="2023-02-07T00:00:00"/>
    <s v="2B19D145-03+DR-TW-2B19D140-03-00"/>
  </r>
  <r>
    <n v="579"/>
    <x v="197"/>
    <x v="482"/>
    <x v="495"/>
    <x v="0"/>
    <x v="121"/>
    <x v="2"/>
    <m/>
    <s v="2B19D155-03+DR-TW-2B19D140-03-00"/>
  </r>
  <r>
    <n v="580"/>
    <x v="197"/>
    <x v="482"/>
    <x v="496"/>
    <x v="0"/>
    <x v="122"/>
    <x v="0"/>
    <d v="2022-09-29T00:00:00"/>
    <s v="2B19D160-03+DR-TW-2B19D140-03-00"/>
  </r>
  <r>
    <n v="581"/>
    <x v="197"/>
    <x v="482"/>
    <x v="497"/>
    <x v="0"/>
    <x v="123"/>
    <x v="2"/>
    <m/>
    <s v="2B19D165-03+DR-TW-2B19D140-03-00"/>
  </r>
  <r>
    <n v="582"/>
    <x v="197"/>
    <x v="482"/>
    <x v="498"/>
    <x v="0"/>
    <x v="124"/>
    <x v="0"/>
    <d v="2022-09-29T00:00:00"/>
    <s v="2B19D170-03+DR-TW-2B19D140-03-00"/>
  </r>
  <r>
    <n v="583"/>
    <x v="197"/>
    <x v="482"/>
    <x v="499"/>
    <x v="0"/>
    <x v="125"/>
    <x v="0"/>
    <d v="2023-01-31T00:00:00"/>
    <s v="2B19D180-03+DR-TW-2B19D140-03-00"/>
  </r>
  <r>
    <n v="584"/>
    <x v="198"/>
    <x v="483"/>
    <x v="500"/>
    <x v="0"/>
    <x v="481"/>
    <x v="0"/>
    <d v="2022-09-05T00:00:00"/>
    <s v="2B69M219-01+DR-TW-2B69M219-01-00"/>
  </r>
  <r>
    <n v="585"/>
    <x v="199"/>
    <x v="484"/>
    <x v="501"/>
    <x v="0"/>
    <x v="482"/>
    <x v="3"/>
    <m/>
    <s v="2B25-161-00+DR-TW-2B25-161-00-00"/>
  </r>
  <r>
    <n v="586"/>
    <x v="200"/>
    <x v="485"/>
    <x v="502"/>
    <x v="0"/>
    <x v="364"/>
    <x v="1"/>
    <m/>
    <s v="2B69M056-00+DR-TW-2B69M056-00-00"/>
  </r>
  <r>
    <n v="587"/>
    <x v="200"/>
    <x v="486"/>
    <x v="503"/>
    <x v="0"/>
    <x v="483"/>
    <x v="4"/>
    <m/>
    <s v="2B69M036-00+DR-TW-2B69M036-00-00"/>
  </r>
  <r>
    <n v="588"/>
    <x v="201"/>
    <x v="487"/>
    <x v="504"/>
    <x v="0"/>
    <x v="484"/>
    <x v="4"/>
    <m/>
    <s v="2B69M057-00+DR-TW-2B69M057-00-00"/>
  </r>
  <r>
    <n v="589"/>
    <x v="201"/>
    <x v="488"/>
    <x v="505"/>
    <x v="0"/>
    <x v="485"/>
    <x v="4"/>
    <m/>
    <s v="2B69M058-00+DR-TW-2B69M058-00-00"/>
  </r>
  <r>
    <n v="590"/>
    <x v="202"/>
    <x v="489"/>
    <x v="506"/>
    <x v="0"/>
    <x v="477"/>
    <x v="0"/>
    <d v="2022-09-16T00:00:00"/>
    <s v="2B25-193-00+DR-TW-2B25-193-00-00"/>
  </r>
  <r>
    <n v="591"/>
    <x v="202"/>
    <x v="490"/>
    <x v="507"/>
    <x v="0"/>
    <x v="478"/>
    <x v="0"/>
    <d v="2022-09-16T00:00:00"/>
    <s v="2B25-274-00+DR-TW-2B25-274-00-00"/>
  </r>
  <r>
    <n v="592"/>
    <x v="203"/>
    <x v="491"/>
    <x v="508"/>
    <x v="0"/>
    <x v="486"/>
    <x v="0"/>
    <d v="2022-09-26T00:00:00"/>
    <s v="2B69M268-00+DR-TW-2B69M268-00-00"/>
  </r>
  <r>
    <n v="593"/>
    <x v="203"/>
    <x v="492"/>
    <x v="509"/>
    <x v="0"/>
    <x v="487"/>
    <x v="4"/>
    <m/>
    <s v="2B69M269-00+DR-TW-2B69M269-00-00"/>
  </r>
  <r>
    <n v="594"/>
    <x v="203"/>
    <x v="493"/>
    <x v="510"/>
    <x v="0"/>
    <x v="488"/>
    <x v="0"/>
    <d v="2022-09-26T00:00:00"/>
    <s v="2B69M272-00+DR-TW-2B69M272-00-00"/>
  </r>
  <r>
    <n v="595"/>
    <x v="204"/>
    <x v="494"/>
    <x v="511"/>
    <x v="0"/>
    <x v="489"/>
    <x v="4"/>
    <m/>
    <s v="2B69M274-00+DR-TW-2B69M274-00-00"/>
  </r>
  <r>
    <n v="596"/>
    <x v="205"/>
    <x v="311"/>
    <x v="512"/>
    <x v="6"/>
    <x v="490"/>
    <x v="0"/>
    <d v="2021-06-30T00:00:00"/>
    <s v="2B48-208-00+DR-TW-2B48-207-01-03"/>
  </r>
  <r>
    <n v="597"/>
    <x v="206"/>
    <x v="495"/>
    <x v="513"/>
    <x v="0"/>
    <x v="491"/>
    <x v="0"/>
    <d v="2023-02-01T00:00:00"/>
    <s v="2B26-360-00+DR-TW-2B26-360-00-00"/>
  </r>
  <r>
    <n v="598"/>
    <x v="206"/>
    <x v="496"/>
    <x v="514"/>
    <x v="0"/>
    <x v="492"/>
    <x v="3"/>
    <m/>
    <s v="2B25-269-00+DR-TW-2B25-069-00-00"/>
  </r>
  <r>
    <n v="599"/>
    <x v="207"/>
    <x v="497"/>
    <x v="515"/>
    <x v="0"/>
    <x v="493"/>
    <x v="0"/>
    <d v="2023-12-15T00:00:00"/>
    <s v="2B25-283-00+DR-TW-2B25-283-00-00"/>
  </r>
  <r>
    <n v="600"/>
    <x v="206"/>
    <x v="498"/>
    <x v="516"/>
    <x v="0"/>
    <x v="415"/>
    <x v="0"/>
    <d v="2023-11-14T00:00:00"/>
    <s v="2B25-525-00+DR-TW-2B25-525-00-00"/>
  </r>
  <r>
    <n v="601"/>
    <x v="206"/>
    <x v="499"/>
    <x v="517"/>
    <x v="0"/>
    <x v="494"/>
    <x v="0"/>
    <d v="2024-03-28T00:00:00"/>
    <s v="2B25-526-00+DR-TW-2B25-526-00-00"/>
  </r>
  <r>
    <n v="602"/>
    <x v="208"/>
    <x v="500"/>
    <x v="518"/>
    <x v="0"/>
    <x v="277"/>
    <x v="2"/>
    <m/>
    <s v="2B26-370-01+DR-TW-2B26-370-01-00"/>
  </r>
  <r>
    <n v="603"/>
    <x v="208"/>
    <x v="501"/>
    <x v="519"/>
    <x v="0"/>
    <x v="63"/>
    <x v="2"/>
    <m/>
    <s v="2B25-284-01+DR-TW-2B25-284-01-00"/>
  </r>
  <r>
    <n v="604"/>
    <x v="208"/>
    <x v="502"/>
    <x v="520"/>
    <x v="0"/>
    <x v="238"/>
    <x v="2"/>
    <m/>
    <s v="2B26-340-02+DR-TW-2B26-340-02-00"/>
  </r>
  <r>
    <n v="605"/>
    <x v="208"/>
    <x v="503"/>
    <x v="521"/>
    <x v="0"/>
    <x v="278"/>
    <x v="2"/>
    <m/>
    <s v="2B26-371-01+DR-TW-2B26-371-01-00"/>
  </r>
  <r>
    <n v="606"/>
    <x v="209"/>
    <x v="504"/>
    <x v="522"/>
    <x v="0"/>
    <x v="495"/>
    <x v="4"/>
    <m/>
    <s v="2B69M090-00+DR-TW-2B69M090-00-00"/>
  </r>
  <r>
    <n v="607"/>
    <x v="209"/>
    <x v="505"/>
    <x v="523"/>
    <x v="0"/>
    <x v="496"/>
    <x v="4"/>
    <m/>
    <s v="2B69M100-00+DR-TW-2B69M100-00-00"/>
  </r>
  <r>
    <n v="608"/>
    <x v="210"/>
    <x v="506"/>
    <x v="265"/>
    <x v="6"/>
    <x v="271"/>
    <x v="1"/>
    <m/>
    <s v="2B55-205-00+DR-TW-2B55-205-00-03"/>
  </r>
  <r>
    <n v="609"/>
    <x v="210"/>
    <x v="506"/>
    <x v="524"/>
    <x v="6"/>
    <x v="497"/>
    <x v="2"/>
    <m/>
    <s v="2B55-200-00+DR-TW-2B55-205-00-03"/>
  </r>
  <r>
    <n v="610"/>
    <x v="210"/>
    <x v="506"/>
    <x v="525"/>
    <x v="6"/>
    <x v="498"/>
    <x v="2"/>
    <m/>
    <s v="2B55-195-00+DR-TW-2B55-205-00-03"/>
  </r>
  <r>
    <n v="611"/>
    <x v="210"/>
    <x v="507"/>
    <x v="526"/>
    <x v="1"/>
    <x v="499"/>
    <x v="3"/>
    <m/>
    <s v="2B29-230-00+DR-TW-2B29-230-00-01"/>
  </r>
  <r>
    <n v="612"/>
    <x v="211"/>
    <x v="508"/>
    <x v="527"/>
    <x v="0"/>
    <x v="500"/>
    <x v="4"/>
    <m/>
    <s v="2B69M298-00+DR-TW-2B69M298-00-00"/>
  </r>
  <r>
    <n v="613"/>
    <x v="212"/>
    <x v="509"/>
    <x v="528"/>
    <x v="0"/>
    <x v="157"/>
    <x v="0"/>
    <d v="2023-05-09T00:00:00"/>
    <s v="2B26-124-04+DR-TW-2B26-124-04-00"/>
  </r>
  <r>
    <n v="614"/>
    <x v="212"/>
    <x v="509"/>
    <x v="529"/>
    <x v="0"/>
    <x v="156"/>
    <x v="0"/>
    <d v="2023-02-08T00:00:00"/>
    <s v="2B26-122-08+DR-TW-2B26-124-04-00"/>
  </r>
  <r>
    <n v="615"/>
    <x v="213"/>
    <x v="510"/>
    <x v="530"/>
    <x v="0"/>
    <x v="501"/>
    <x v="1"/>
    <d v="2022-11-12T00:00:00"/>
    <s v="2B26-248-04+DR-TW-2B26-248-04-00"/>
  </r>
  <r>
    <n v="616"/>
    <x v="214"/>
    <x v="511"/>
    <x v="531"/>
    <x v="0"/>
    <x v="502"/>
    <x v="4"/>
    <m/>
    <s v="2B69M304-00+DR-TW-2B69M304-00-00"/>
  </r>
  <r>
    <n v="617"/>
    <x v="214"/>
    <x v="512"/>
    <x v="532"/>
    <x v="0"/>
    <x v="503"/>
    <x v="1"/>
    <m/>
    <s v="2B69M305-00+DR-TW-2B69M305-00-00"/>
  </r>
  <r>
    <n v="618"/>
    <x v="214"/>
    <x v="513"/>
    <x v="533"/>
    <x v="0"/>
    <x v="504"/>
    <x v="4"/>
    <m/>
    <s v="2B69M306-00+DR-TW-2B69M306-00-00"/>
  </r>
  <r>
    <n v="619"/>
    <x v="215"/>
    <x v="514"/>
    <x v="534"/>
    <x v="0"/>
    <x v="326"/>
    <x v="2"/>
    <m/>
    <s v="2B26-030-01+DR-TW-2B26-030-01-00"/>
  </r>
  <r>
    <n v="620"/>
    <x v="215"/>
    <x v="515"/>
    <x v="535"/>
    <x v="0"/>
    <x v="153"/>
    <x v="2"/>
    <m/>
    <s v="2B26-050-06+DR-TW-2B26-050-06-00"/>
  </r>
  <r>
    <n v="621"/>
    <x v="215"/>
    <x v="516"/>
    <x v="536"/>
    <x v="0"/>
    <x v="505"/>
    <x v="2"/>
    <m/>
    <s v="2B26-061-05+DR-TW-2B26-061-05-00"/>
  </r>
  <r>
    <n v="622"/>
    <x v="215"/>
    <x v="517"/>
    <x v="537"/>
    <x v="0"/>
    <x v="74"/>
    <x v="1"/>
    <d v="2023-04-24T00:00:00"/>
    <s v="2B26-062-05+DR-TW-2B26-062-05-00"/>
  </r>
  <r>
    <n v="623"/>
    <x v="215"/>
    <x v="518"/>
    <x v="538"/>
    <x v="0"/>
    <x v="75"/>
    <x v="0"/>
    <d v="2023-04-24T00:00:00"/>
    <s v="2B26-063-05+DR-TW-2B26-063-05-00"/>
  </r>
  <r>
    <n v="624"/>
    <x v="215"/>
    <x v="519"/>
    <x v="539"/>
    <x v="0"/>
    <x v="229"/>
    <x v="0"/>
    <m/>
    <s v="2B26-066-05+DR-TW-2B26-066-05-00"/>
  </r>
  <r>
    <n v="625"/>
    <x v="215"/>
    <x v="520"/>
    <x v="540"/>
    <x v="0"/>
    <x v="200"/>
    <x v="0"/>
    <d v="2023-04-24T00:00:00"/>
    <s v="2B26-067-05+DR-TW-2B26-067-05-00"/>
  </r>
  <r>
    <n v="626"/>
    <x v="215"/>
    <x v="521"/>
    <x v="541"/>
    <x v="0"/>
    <x v="506"/>
    <x v="0"/>
    <d v="2023-02-07T00:00:00"/>
    <s v="2B26-068-05+DR-TW-2B26-068-05-00"/>
  </r>
  <r>
    <n v="627"/>
    <x v="215"/>
    <x v="522"/>
    <x v="542"/>
    <x v="0"/>
    <x v="507"/>
    <x v="3"/>
    <m/>
    <s v="2B26-069-04+DR-TW-2B26-069-04-00"/>
  </r>
  <r>
    <n v="628"/>
    <x v="215"/>
    <x v="523"/>
    <x v="543"/>
    <x v="0"/>
    <x v="508"/>
    <x v="0"/>
    <d v="2023-02-07T00:00:00"/>
    <s v="2B26-083-03+DR-TW-2B26-083-03-00"/>
  </r>
  <r>
    <n v="629"/>
    <x v="215"/>
    <x v="524"/>
    <x v="544"/>
    <x v="0"/>
    <x v="368"/>
    <x v="0"/>
    <d v="2024-02-17T00:00:00"/>
    <s v="2B26-131-01+DR-TW-2B26-131-01-00"/>
  </r>
  <r>
    <n v="630"/>
    <x v="215"/>
    <x v="525"/>
    <x v="545"/>
    <x v="0"/>
    <x v="420"/>
    <x v="0"/>
    <d v="2023-02-16T00:00:00"/>
    <s v="2B26-132-03+DR-TW-2B26-132-03-00"/>
  </r>
  <r>
    <n v="631"/>
    <x v="215"/>
    <x v="525"/>
    <x v="546"/>
    <x v="0"/>
    <x v="127"/>
    <x v="0"/>
    <d v="2024-01-29T00:00:00"/>
    <s v="2B26-009-03+DR-TW-2B26-132-03-00"/>
  </r>
  <r>
    <n v="632"/>
    <x v="215"/>
    <x v="525"/>
    <x v="547"/>
    <x v="0"/>
    <x v="147"/>
    <x v="0"/>
    <d v="2023-02-28T00:00:00"/>
    <s v="2B26-126-0K+DR-TW-2B26-132-03-00"/>
  </r>
  <r>
    <n v="633"/>
    <x v="215"/>
    <x v="526"/>
    <x v="548"/>
    <x v="0"/>
    <x v="509"/>
    <x v="2"/>
    <m/>
    <s v="2B26-201-04+DR-TW-2B26-201-04-00"/>
  </r>
  <r>
    <n v="634"/>
    <x v="215"/>
    <x v="527"/>
    <x v="549"/>
    <x v="0"/>
    <x v="510"/>
    <x v="2"/>
    <m/>
    <s v="2B26-201-03+DR-TW-2B26-202-03-00"/>
  </r>
  <r>
    <n v="635"/>
    <x v="215"/>
    <x v="528"/>
    <x v="550"/>
    <x v="0"/>
    <x v="291"/>
    <x v="2"/>
    <m/>
    <s v="2B26-203-02+DR-TW-2B26-203-02-00"/>
  </r>
  <r>
    <n v="636"/>
    <x v="215"/>
    <x v="529"/>
    <x v="551"/>
    <x v="0"/>
    <x v="72"/>
    <x v="1"/>
    <d v="2023-01-14T00:00:00"/>
    <s v="2B26-218-04+DR-TW-2B26-218-04-00"/>
  </r>
  <r>
    <n v="637"/>
    <x v="215"/>
    <x v="530"/>
    <x v="552"/>
    <x v="0"/>
    <x v="511"/>
    <x v="0"/>
    <d v="2023-02-07T00:00:00"/>
    <s v="2B26-227-03+DR-TW-2B26-227-03-00"/>
  </r>
  <r>
    <n v="638"/>
    <x v="215"/>
    <x v="531"/>
    <x v="553"/>
    <x v="0"/>
    <x v="501"/>
    <x v="0"/>
    <d v="2023-05-11T00:00:00"/>
    <s v="2B26-248-05+DR-TW-2B26-248-05-00"/>
  </r>
  <r>
    <n v="639"/>
    <x v="216"/>
    <x v="532"/>
    <x v="554"/>
    <x v="0"/>
    <x v="364"/>
    <x v="1"/>
    <m/>
    <s v="2B69M056-01+DR-TW-2B69M056-01-00"/>
  </r>
  <r>
    <n v="640"/>
    <x v="217"/>
    <x v="533"/>
    <x v="555"/>
    <x v="0"/>
    <x v="512"/>
    <x v="4"/>
    <m/>
    <s v="2B69M308-00+DR-TW-2B69M308-00-00"/>
  </r>
  <r>
    <n v="641"/>
    <x v="218"/>
    <x v="534"/>
    <x v="556"/>
    <x v="0"/>
    <x v="513"/>
    <x v="2"/>
    <m/>
    <s v="2B25-266-01+DR-TW-2B25-266-01-00"/>
  </r>
  <r>
    <n v="642"/>
    <x v="219"/>
    <x v="535"/>
    <x v="557"/>
    <x v="0"/>
    <x v="110"/>
    <x v="0"/>
    <d v="2023-01-23T00:00:00"/>
    <s v="2B26-110-0G+DR-TW-2B26-110-0G-00"/>
  </r>
  <r>
    <n v="643"/>
    <x v="220"/>
    <x v="536"/>
    <x v="558"/>
    <x v="0"/>
    <x v="337"/>
    <x v="1"/>
    <d v="2024-11-04T00:00:00"/>
    <s v="2B26-470-00+DR-TW-2B26-470-00-00"/>
  </r>
  <r>
    <n v="644"/>
    <x v="220"/>
    <x v="537"/>
    <x v="559"/>
    <x v="0"/>
    <x v="336"/>
    <x v="1"/>
    <m/>
    <s v="2B26-471-00+DR-TW-2B26-471-00-00"/>
  </r>
  <r>
    <n v="645"/>
    <x v="220"/>
    <x v="538"/>
    <x v="560"/>
    <x v="0"/>
    <x v="335"/>
    <x v="0"/>
    <d v="2023-03-10T00:00:00"/>
    <s v="2B25-550-00+DR-TW-2B25-550-00-00"/>
  </r>
  <r>
    <n v="646"/>
    <x v="220"/>
    <x v="539"/>
    <x v="561"/>
    <x v="0"/>
    <x v="472"/>
    <x v="0"/>
    <d v="2023-02-08T00:00:00"/>
    <s v="2B26-249-04+DR-TW-2B26-249-04-00"/>
  </r>
  <r>
    <n v="647"/>
    <x v="221"/>
    <x v="540"/>
    <x v="562"/>
    <x v="0"/>
    <x v="70"/>
    <x v="0"/>
    <d v="2023-04-24T00:00:00"/>
    <s v="2B25-012-06+DR-TW-2B25-012-06-00"/>
  </r>
  <r>
    <n v="648"/>
    <x v="221"/>
    <x v="541"/>
    <x v="563"/>
    <x v="0"/>
    <x v="373"/>
    <x v="2"/>
    <m/>
    <s v="2B25-066-03+DR-TW-2B25-066-03-00"/>
  </r>
  <r>
    <n v="649"/>
    <x v="221"/>
    <x v="542"/>
    <x v="83"/>
    <x v="6"/>
    <x v="255"/>
    <x v="1"/>
    <d v="2023-03-28T00:00:00"/>
    <s v="2B51-215-01+DR-TW-2B51-215-01-03"/>
  </r>
  <r>
    <n v="650"/>
    <x v="221"/>
    <x v="542"/>
    <x v="256"/>
    <x v="6"/>
    <x v="514"/>
    <x v="1"/>
    <d v="2023-02-07T00:00:00"/>
    <s v="2B51-260-01+DR-TW-2B51-215-01-03"/>
  </r>
  <r>
    <n v="651"/>
    <x v="221"/>
    <x v="542"/>
    <x v="255"/>
    <x v="6"/>
    <x v="515"/>
    <x v="1"/>
    <d v="2023-02-07T00:00:00"/>
    <s v="2B51-350-00+DR-TW-2B51-215-01-03"/>
  </r>
  <r>
    <n v="652"/>
    <x v="221"/>
    <x v="542"/>
    <x v="564"/>
    <x v="6"/>
    <x v="516"/>
    <x v="1"/>
    <d v="2023-02-07T00:00:00"/>
    <s v="2B51-300-00+DR-TW-2B51-215-01-03"/>
  </r>
  <r>
    <n v="653"/>
    <x v="221"/>
    <x v="543"/>
    <x v="565"/>
    <x v="0"/>
    <x v="517"/>
    <x v="2"/>
    <m/>
    <s v="2B25-260-03+DR-TW-2B25-260-03-00"/>
  </r>
  <r>
    <n v="654"/>
    <x v="221"/>
    <x v="544"/>
    <x v="566"/>
    <x v="0"/>
    <x v="270"/>
    <x v="2"/>
    <m/>
    <s v="2B25-262-03+DR-TW-2B25-262-03-00"/>
  </r>
  <r>
    <n v="655"/>
    <x v="221"/>
    <x v="545"/>
    <x v="567"/>
    <x v="0"/>
    <x v="518"/>
    <x v="2"/>
    <m/>
    <s v="2B25-263-02+DR-TW-2B25-263-02-00"/>
  </r>
  <r>
    <n v="656"/>
    <x v="221"/>
    <x v="546"/>
    <x v="568"/>
    <x v="0"/>
    <x v="69"/>
    <x v="0"/>
    <m/>
    <s v="2B25-264-01+DR-TW-2B25-264-01-00"/>
  </r>
  <r>
    <n v="657"/>
    <x v="221"/>
    <x v="547"/>
    <x v="569"/>
    <x v="0"/>
    <x v="66"/>
    <x v="0"/>
    <d v="2023-05-17T00:00:00"/>
    <s v="2B25-265-01+DR-TW-2B25-265-01-00"/>
  </r>
  <r>
    <n v="658"/>
    <x v="221"/>
    <x v="548"/>
    <x v="570"/>
    <x v="0"/>
    <x v="241"/>
    <x v="0"/>
    <d v="2023-04-24T00:00:00"/>
    <s v="2B25-268-01+DR-TW-2B25-268-01-00"/>
  </r>
  <r>
    <n v="659"/>
    <x v="221"/>
    <x v="549"/>
    <x v="571"/>
    <x v="0"/>
    <x v="519"/>
    <x v="0"/>
    <d v="2023-03-27T00:00:00"/>
    <s v="2B25-282-02+DR-TW-2B25-282-02-00"/>
  </r>
  <r>
    <n v="660"/>
    <x v="221"/>
    <x v="550"/>
    <x v="572"/>
    <x v="0"/>
    <x v="520"/>
    <x v="0"/>
    <d v="2023-04-24T00:00:00"/>
    <s v="2B91-247-01+DR-TW-2B91-247-01-00"/>
  </r>
  <r>
    <n v="661"/>
    <x v="221"/>
    <x v="551"/>
    <x v="573"/>
    <x v="0"/>
    <x v="294"/>
    <x v="2"/>
    <m/>
    <s v="2B91-248-01+DR-TW-2B91-248-01-00"/>
  </r>
  <r>
    <n v="662"/>
    <x v="222"/>
    <x v="552"/>
    <x v="574"/>
    <x v="0"/>
    <x v="470"/>
    <x v="4"/>
    <m/>
    <s v="2B69M318-00+DR-TW-2B69M318-00-00"/>
  </r>
  <r>
    <n v="663"/>
    <x v="222"/>
    <x v="553"/>
    <x v="575"/>
    <x v="0"/>
    <x v="105"/>
    <x v="4"/>
    <m/>
    <s v="2B69M319-00+DR-TW-2B69M319-00-00"/>
  </r>
  <r>
    <n v="664"/>
    <x v="222"/>
    <x v="554"/>
    <x v="576"/>
    <x v="0"/>
    <x v="521"/>
    <x v="4"/>
    <m/>
    <s v="2B69M320-00+DR-TW-2B69M320-00-00"/>
  </r>
  <r>
    <n v="665"/>
    <x v="222"/>
    <x v="555"/>
    <x v="577"/>
    <x v="0"/>
    <x v="236"/>
    <x v="0"/>
    <d v="2023-02-07T00:00:00"/>
    <s v="2B25-267-01+DR-TW-2B25-267-01-00"/>
  </r>
  <r>
    <n v="666"/>
    <x v="223"/>
    <x v="556"/>
    <x v="578"/>
    <x v="0"/>
    <x v="522"/>
    <x v="1"/>
    <m/>
    <s v="2B48-430-00+DR-TW-2B48-430-00-00"/>
  </r>
  <r>
    <n v="667"/>
    <x v="223"/>
    <x v="557"/>
    <x v="579"/>
    <x v="0"/>
    <x v="523"/>
    <x v="1"/>
    <m/>
    <s v="2B48-431-00+DR-TW-2B48-431-00-00"/>
  </r>
  <r>
    <n v="668"/>
    <x v="223"/>
    <x v="558"/>
    <x v="580"/>
    <x v="0"/>
    <x v="495"/>
    <x v="3"/>
    <m/>
    <s v="2B48-308-00+DR-TW-2B48-308-00-00"/>
  </r>
  <r>
    <n v="669"/>
    <x v="223"/>
    <x v="559"/>
    <x v="581"/>
    <x v="0"/>
    <x v="524"/>
    <x v="3"/>
    <m/>
    <s v="2B48-307-00+DR-TW-2B48-307-00-00"/>
  </r>
  <r>
    <n v="670"/>
    <x v="223"/>
    <x v="560"/>
    <x v="582"/>
    <x v="0"/>
    <x v="525"/>
    <x v="1"/>
    <m/>
    <s v="2B48-432-00+DR-TW-2B48-432-00-00"/>
  </r>
  <r>
    <n v="671"/>
    <x v="223"/>
    <x v="561"/>
    <x v="583"/>
    <x v="0"/>
    <x v="526"/>
    <x v="1"/>
    <m/>
    <s v="2B48-433-00+DR-TW-2B48-433-00-00"/>
  </r>
  <r>
    <n v="672"/>
    <x v="224"/>
    <x v="562"/>
    <x v="584"/>
    <x v="0"/>
    <x v="527"/>
    <x v="1"/>
    <m/>
    <s v="2B69M330-00+DR-TW-2B69M330-00-00"/>
  </r>
  <r>
    <n v="673"/>
    <x v="224"/>
    <x v="563"/>
    <x v="585"/>
    <x v="0"/>
    <x v="528"/>
    <x v="1"/>
    <m/>
    <s v="2B69M328-00+DR-TW-2B69M328-00-00"/>
  </r>
  <r>
    <n v="674"/>
    <x v="224"/>
    <x v="564"/>
    <x v="586"/>
    <x v="0"/>
    <x v="529"/>
    <x v="1"/>
    <m/>
    <s v="2B69M322-00+DR-TW-2B69M322-00-00"/>
  </r>
  <r>
    <n v="675"/>
    <x v="224"/>
    <x v="565"/>
    <x v="587"/>
    <x v="0"/>
    <x v="530"/>
    <x v="1"/>
    <m/>
    <s v="2B69M321-00+DR-TW-2B69M321-00-00"/>
  </r>
  <r>
    <n v="676"/>
    <x v="224"/>
    <x v="565"/>
    <x v="588"/>
    <x v="0"/>
    <x v="531"/>
    <x v="1"/>
    <m/>
    <s v="2B69M332-00+DR-TW-2B69M321-00-00"/>
  </r>
  <r>
    <n v="677"/>
    <x v="225"/>
    <x v="566"/>
    <x v="589"/>
    <x v="0"/>
    <x v="532"/>
    <x v="1"/>
    <m/>
    <s v="2B69M330-01+DR-TW-2B69M330-01-00"/>
  </r>
  <r>
    <n v="678"/>
    <x v="226"/>
    <x v="567"/>
    <x v="478"/>
    <x v="1"/>
    <x v="465"/>
    <x v="1"/>
    <d v="2023-02-07T00:00:00"/>
    <s v="2B26-295-00+DR-TW-2B26-295-00-01"/>
  </r>
  <r>
    <n v="679"/>
    <x v="226"/>
    <x v="567"/>
    <x v="590"/>
    <x v="1"/>
    <x v="533"/>
    <x v="1"/>
    <d v="2023-02-07T00:00:00"/>
    <s v="2B26-296-00+DR-TW-2B26-295-00-01"/>
  </r>
  <r>
    <n v="680"/>
    <x v="226"/>
    <x v="568"/>
    <x v="591"/>
    <x v="0"/>
    <x v="534"/>
    <x v="1"/>
    <d v="2023-02-07T00:00:00"/>
    <s v="2B26-042-00+DR-TW-2B26-042-00-00"/>
  </r>
  <r>
    <n v="681"/>
    <x v="226"/>
    <x v="569"/>
    <x v="592"/>
    <x v="0"/>
    <x v="535"/>
    <x v="1"/>
    <d v="2023-02-07T00:00:00"/>
    <s v="2B26-041-00+DR-TW-2B26-041-00-00"/>
  </r>
  <r>
    <n v="682"/>
    <x v="226"/>
    <x v="570"/>
    <x v="593"/>
    <x v="0"/>
    <x v="536"/>
    <x v="1"/>
    <d v="2023-02-07T00:00:00"/>
    <s v="2B26-191-00+DR-TW-2B26-191-00-00"/>
  </r>
  <r>
    <n v="683"/>
    <x v="227"/>
    <x v="571"/>
    <x v="593"/>
    <x v="1"/>
    <x v="536"/>
    <x v="1"/>
    <d v="2023-02-08T00:00:00"/>
    <s v="2B26-191-00+DR-TW-2B26-191-00-01"/>
  </r>
  <r>
    <n v="684"/>
    <x v="227"/>
    <x v="572"/>
    <x v="594"/>
    <x v="0"/>
    <x v="290"/>
    <x v="0"/>
    <m/>
    <s v="2B26-400-01+DR-TW-2B26-400-01-00"/>
  </r>
  <r>
    <n v="685"/>
    <x v="228"/>
    <x v="573"/>
    <x v="595"/>
    <x v="0"/>
    <x v="465"/>
    <x v="1"/>
    <d v="2023-03-27T00:00:00"/>
    <s v="2B26-295-01+DR-TW-2B26-295-01-00"/>
  </r>
  <r>
    <n v="686"/>
    <x v="228"/>
    <x v="573"/>
    <x v="596"/>
    <x v="0"/>
    <x v="465"/>
    <x v="1"/>
    <d v="2023-03-28T00:00:00"/>
    <s v="2B26-296-01+DR-TW-2B26-295-01-00"/>
  </r>
  <r>
    <n v="687"/>
    <x v="228"/>
    <x v="574"/>
    <x v="597"/>
    <x v="0"/>
    <x v="537"/>
    <x v="4"/>
    <m/>
    <s v="2B69A020-01+DR-TW-2B69A020-01-00"/>
  </r>
  <r>
    <n v="688"/>
    <x v="228"/>
    <x v="575"/>
    <x v="598"/>
    <x v="0"/>
    <x v="538"/>
    <x v="4"/>
    <m/>
    <s v="2B69M350-00+DR-TW-2B69M350-00-00"/>
  </r>
  <r>
    <n v="689"/>
    <x v="229"/>
    <x v="576"/>
    <x v="599"/>
    <x v="0"/>
    <x v="539"/>
    <x v="4"/>
    <m/>
    <s v="2B69MXXX-00+DR-TW-2B69MXXX-00-00"/>
  </r>
  <r>
    <n v="690"/>
    <x v="230"/>
    <x v="577"/>
    <x v="600"/>
    <x v="0"/>
    <x v="540"/>
    <x v="0"/>
    <d v="2023-02-25T00:00:00"/>
    <s v="2B27-120-02+DR-TW-2B27-120-02-00"/>
  </r>
  <r>
    <n v="691"/>
    <x v="230"/>
    <x v="578"/>
    <x v="601"/>
    <x v="0"/>
    <x v="541"/>
    <x v="0"/>
    <d v="2023-06-17T00:00:00"/>
    <s v="2B27-063-00+DR-TW-2B27-063-00-00"/>
  </r>
  <r>
    <n v="692"/>
    <x v="230"/>
    <x v="579"/>
    <x v="602"/>
    <x v="0"/>
    <x v="542"/>
    <x v="0"/>
    <m/>
    <s v="2B27-111-02+DR-TW-2B27-111-02-00"/>
  </r>
  <r>
    <n v="693"/>
    <x v="230"/>
    <x v="580"/>
    <x v="603"/>
    <x v="0"/>
    <x v="543"/>
    <x v="0"/>
    <d v="2023-02-28T00:00:00"/>
    <s v="2B27-112-02+DR-TW-2B27-112-02-00"/>
  </r>
  <r>
    <n v="694"/>
    <x v="230"/>
    <x v="581"/>
    <x v="604"/>
    <x v="0"/>
    <x v="544"/>
    <x v="0"/>
    <d v="2023-02-25T00:00:00"/>
    <s v="2B27-102-01+DR-TW-2B27-102-01-00"/>
  </r>
  <r>
    <n v="695"/>
    <x v="230"/>
    <x v="582"/>
    <x v="605"/>
    <x v="0"/>
    <x v="503"/>
    <x v="0"/>
    <d v="2023-03-28T00:00:00"/>
    <s v="2B26-401-00+DR-TW-2B26-401-00-00"/>
  </r>
  <r>
    <n v="696"/>
    <x v="230"/>
    <x v="583"/>
    <x v="606"/>
    <x v="0"/>
    <x v="502"/>
    <x v="0"/>
    <d v="2023-03-28T00:00:00"/>
    <s v="2B91-220-00+DR-TW-2B91-220-00-00"/>
  </r>
  <r>
    <n v="697"/>
    <x v="230"/>
    <x v="584"/>
    <x v="607"/>
    <x v="0"/>
    <x v="545"/>
    <x v="1"/>
    <m/>
    <s v="2B26-430-00+DR-TW-2B26-430-00-00"/>
  </r>
  <r>
    <n v="698"/>
    <x v="230"/>
    <x v="585"/>
    <x v="608"/>
    <x v="0"/>
    <x v="546"/>
    <x v="1"/>
    <m/>
    <s v="2B26-431-00+DR-TW-2B26-431-00-00"/>
  </r>
  <r>
    <n v="699"/>
    <x v="230"/>
    <x v="586"/>
    <x v="609"/>
    <x v="0"/>
    <x v="547"/>
    <x v="1"/>
    <m/>
    <s v="2B26-490-00+DR-TW-2B26-490-00-00"/>
  </r>
  <r>
    <n v="700"/>
    <x v="230"/>
    <x v="587"/>
    <x v="610"/>
    <x v="0"/>
    <x v="548"/>
    <x v="1"/>
    <m/>
    <s v="2B26-491-00+DR-TW-2B26-491-00-00"/>
  </r>
  <r>
    <n v="701"/>
    <x v="231"/>
    <x v="588"/>
    <x v="611"/>
    <x v="0"/>
    <x v="549"/>
    <x v="0"/>
    <d v="2023-02-25T00:00:00"/>
    <s v="2B25-019-06+DR-TW-2B25-019-06-00"/>
  </r>
  <r>
    <n v="702"/>
    <x v="232"/>
    <x v="589"/>
    <x v="612"/>
    <x v="0"/>
    <x v="550"/>
    <x v="3"/>
    <m/>
    <s v="2B91-301-00-R+DR-TW-2B91-301-00-R-00"/>
  </r>
  <r>
    <n v="703"/>
    <x v="233"/>
    <x v="590"/>
    <x v="613"/>
    <x v="0"/>
    <x v="551"/>
    <x v="4"/>
    <m/>
    <s v="2B69M365-00+DR-TW-2B69M365-00-00"/>
  </r>
  <r>
    <n v="704"/>
    <x v="233"/>
    <x v="591"/>
    <x v="614"/>
    <x v="1"/>
    <x v="552"/>
    <x v="1"/>
    <m/>
    <s v="2B69M361-00+DR-TW-2B69M330-01-01"/>
  </r>
  <r>
    <n v="705"/>
    <x v="233"/>
    <x v="591"/>
    <x v="589"/>
    <x v="1"/>
    <x v="553"/>
    <x v="1"/>
    <m/>
    <s v="2B69M330-01+DR-TW-2B69M330-01-01"/>
  </r>
  <r>
    <n v="706"/>
    <x v="233"/>
    <x v="591"/>
    <x v="615"/>
    <x v="1"/>
    <x v="554"/>
    <x v="1"/>
    <m/>
    <s v="2B69M362-00+DR-TW-2B69M330-01-01"/>
  </r>
  <r>
    <n v="707"/>
    <x v="233"/>
    <x v="592"/>
    <x v="585"/>
    <x v="1"/>
    <x v="528"/>
    <x v="1"/>
    <m/>
    <s v="2B69M328-00+DR-TW-2B69M328-00-01"/>
  </r>
  <r>
    <n v="708"/>
    <x v="233"/>
    <x v="592"/>
    <x v="616"/>
    <x v="1"/>
    <x v="555"/>
    <x v="1"/>
    <m/>
    <s v="2B69M359-00+DR-TW-2B69M328-00-01"/>
  </r>
  <r>
    <n v="709"/>
    <x v="233"/>
    <x v="592"/>
    <x v="617"/>
    <x v="1"/>
    <x v="556"/>
    <x v="1"/>
    <m/>
    <s v="2B69M360-00+DR-TW-2B69M328-00-01"/>
  </r>
  <r>
    <n v="710"/>
    <x v="233"/>
    <x v="593"/>
    <x v="618"/>
    <x v="0"/>
    <x v="557"/>
    <x v="0"/>
    <d v="2023-03-10T00:00:00"/>
    <s v="2B26-150-09+DR-TW-2B26-150-09-00"/>
  </r>
  <r>
    <n v="711"/>
    <x v="233"/>
    <x v="594"/>
    <x v="619"/>
    <x v="1"/>
    <x v="558"/>
    <x v="3"/>
    <m/>
    <s v="2B22-090-00+DR-TW-2B22-090-00-01"/>
  </r>
  <r>
    <n v="712"/>
    <x v="233"/>
    <x v="594"/>
    <x v="620"/>
    <x v="1"/>
    <x v="559"/>
    <x v="3"/>
    <m/>
    <s v="2B22-095-00+DR-TW-2B22-090-00-01"/>
  </r>
  <r>
    <n v="713"/>
    <x v="233"/>
    <x v="594"/>
    <x v="621"/>
    <x v="1"/>
    <x v="560"/>
    <x v="3"/>
    <m/>
    <s v="2B22-100-00+DR-TW-2B22-090-00-01"/>
  </r>
  <r>
    <n v="714"/>
    <x v="233"/>
    <x v="594"/>
    <x v="622"/>
    <x v="1"/>
    <x v="561"/>
    <x v="3"/>
    <m/>
    <s v="2B22-105-00+DR-TW-2B22-090-00-01"/>
  </r>
  <r>
    <n v="715"/>
    <x v="233"/>
    <x v="594"/>
    <x v="623"/>
    <x v="1"/>
    <x v="560"/>
    <x v="3"/>
    <m/>
    <s v="2B22-110-00+DR-TW-2B22-090-00-01"/>
  </r>
  <r>
    <n v="716"/>
    <x v="233"/>
    <x v="594"/>
    <x v="624"/>
    <x v="1"/>
    <x v="562"/>
    <x v="3"/>
    <m/>
    <s v="2B22-115-00+DR-TW-2B22-090-00-01"/>
  </r>
  <r>
    <n v="717"/>
    <x v="233"/>
    <x v="594"/>
    <x v="625"/>
    <x v="1"/>
    <x v="563"/>
    <x v="3"/>
    <m/>
    <s v="2B22-120-00+DR-TW-2B22-090-00-01"/>
  </r>
  <r>
    <n v="718"/>
    <x v="233"/>
    <x v="594"/>
    <x v="626"/>
    <x v="1"/>
    <x v="564"/>
    <x v="3"/>
    <m/>
    <s v="2B22-125-00+DR-TW-2B22-090-00-01"/>
  </r>
  <r>
    <n v="719"/>
    <x v="233"/>
    <x v="594"/>
    <x v="627"/>
    <x v="1"/>
    <x v="565"/>
    <x v="3"/>
    <m/>
    <s v="2B22-130-00+DR-TW-2B22-090-00-01"/>
  </r>
  <r>
    <n v="720"/>
    <x v="233"/>
    <x v="594"/>
    <x v="628"/>
    <x v="1"/>
    <x v="566"/>
    <x v="3"/>
    <m/>
    <s v="2B22-135-00+DR-TW-2B22-090-00-01"/>
  </r>
  <r>
    <n v="721"/>
    <x v="233"/>
    <x v="594"/>
    <x v="629"/>
    <x v="1"/>
    <x v="474"/>
    <x v="3"/>
    <m/>
    <s v="2B22-140-00+DR-TW-2B22-090-00-01"/>
  </r>
  <r>
    <n v="722"/>
    <x v="233"/>
    <x v="594"/>
    <x v="630"/>
    <x v="1"/>
    <x v="567"/>
    <x v="3"/>
    <m/>
    <s v="2B22-145-00+DR-TW-2B22-090-00-01"/>
  </r>
  <r>
    <n v="723"/>
    <x v="233"/>
    <x v="594"/>
    <x v="631"/>
    <x v="1"/>
    <x v="568"/>
    <x v="0"/>
    <d v="2023-03-28T00:00:00"/>
    <s v="2B22-150-00+DR-TW-2B22-090-00-01"/>
  </r>
  <r>
    <n v="724"/>
    <x v="233"/>
    <x v="594"/>
    <x v="632"/>
    <x v="1"/>
    <x v="569"/>
    <x v="3"/>
    <m/>
    <s v="2B22-155-00+DR-TW-2B22-090-00-01"/>
  </r>
  <r>
    <n v="725"/>
    <x v="233"/>
    <x v="594"/>
    <x v="633"/>
    <x v="1"/>
    <x v="570"/>
    <x v="3"/>
    <m/>
    <s v="2B22-160-00+DR-TW-2B22-090-00-01"/>
  </r>
  <r>
    <n v="726"/>
    <x v="233"/>
    <x v="594"/>
    <x v="634"/>
    <x v="1"/>
    <x v="571"/>
    <x v="3"/>
    <m/>
    <s v="2B22-165-00+DR-TW-2B22-090-00-01"/>
  </r>
  <r>
    <n v="727"/>
    <x v="233"/>
    <x v="594"/>
    <x v="635"/>
    <x v="1"/>
    <x v="572"/>
    <x v="3"/>
    <m/>
    <s v="2B22-170-00+DR-TW-2B22-090-00-01"/>
  </r>
  <r>
    <n v="728"/>
    <x v="233"/>
    <x v="594"/>
    <x v="636"/>
    <x v="1"/>
    <x v="573"/>
    <x v="3"/>
    <m/>
    <s v="2B22-175-00+DR-TW-2B22-090-00-01"/>
  </r>
  <r>
    <n v="729"/>
    <x v="233"/>
    <x v="594"/>
    <x v="637"/>
    <x v="1"/>
    <x v="574"/>
    <x v="3"/>
    <m/>
    <s v="2B22-180-00+DR-TW-2B22-090-00-01"/>
  </r>
  <r>
    <n v="730"/>
    <x v="233"/>
    <x v="594"/>
    <x v="638"/>
    <x v="1"/>
    <x v="575"/>
    <x v="3"/>
    <m/>
    <s v="2B22-185-00+DR-TW-2B22-090-00-01"/>
  </r>
  <r>
    <n v="731"/>
    <x v="233"/>
    <x v="594"/>
    <x v="639"/>
    <x v="1"/>
    <x v="576"/>
    <x v="3"/>
    <m/>
    <s v="2B22-190-00+DR-TW-2B22-090-00-01"/>
  </r>
  <r>
    <n v="732"/>
    <x v="233"/>
    <x v="594"/>
    <x v="640"/>
    <x v="1"/>
    <x v="577"/>
    <x v="3"/>
    <m/>
    <s v="2B22-195-00+DR-TW-2B22-090-00-01"/>
  </r>
  <r>
    <n v="733"/>
    <x v="233"/>
    <x v="594"/>
    <x v="641"/>
    <x v="1"/>
    <x v="578"/>
    <x v="3"/>
    <m/>
    <s v="2B22-200-00+DR-TW-2B22-090-00-01"/>
  </r>
  <r>
    <n v="734"/>
    <x v="233"/>
    <x v="594"/>
    <x v="642"/>
    <x v="1"/>
    <x v="579"/>
    <x v="3"/>
    <m/>
    <s v="2B22-205-00+DR-TW-2B22-090-00-01"/>
  </r>
  <r>
    <n v="735"/>
    <x v="233"/>
    <x v="594"/>
    <x v="643"/>
    <x v="1"/>
    <x v="580"/>
    <x v="3"/>
    <m/>
    <s v="2B22-210-00+DR-TW-2B22-090-00-01"/>
  </r>
  <r>
    <n v="736"/>
    <x v="233"/>
    <x v="594"/>
    <x v="644"/>
    <x v="1"/>
    <x v="581"/>
    <x v="3"/>
    <m/>
    <s v="2B22-215-00+DR-TW-2B22-090-00-01"/>
  </r>
  <r>
    <n v="737"/>
    <x v="233"/>
    <x v="594"/>
    <x v="645"/>
    <x v="1"/>
    <x v="582"/>
    <x v="3"/>
    <m/>
    <s v="2B22-220-00+DR-TW-2B22-090-00-01"/>
  </r>
  <r>
    <n v="738"/>
    <x v="233"/>
    <x v="594"/>
    <x v="646"/>
    <x v="1"/>
    <x v="583"/>
    <x v="3"/>
    <m/>
    <s v="2B22-225-00+DR-TW-2B22-090-00-01"/>
  </r>
  <r>
    <n v="739"/>
    <x v="233"/>
    <x v="594"/>
    <x v="647"/>
    <x v="1"/>
    <x v="584"/>
    <x v="3"/>
    <m/>
    <s v="2B22-230-00+DR-TW-2B22-090-00-01"/>
  </r>
  <r>
    <n v="740"/>
    <x v="233"/>
    <x v="594"/>
    <x v="648"/>
    <x v="1"/>
    <x v="585"/>
    <x v="3"/>
    <m/>
    <s v="2B22-235-00+DR-TW-2B22-090-00-01"/>
  </r>
  <r>
    <n v="741"/>
    <x v="233"/>
    <x v="594"/>
    <x v="649"/>
    <x v="1"/>
    <x v="586"/>
    <x v="3"/>
    <m/>
    <s v="2B22-240-00+DR-TW-2B22-090-00-01"/>
  </r>
  <r>
    <n v="742"/>
    <x v="233"/>
    <x v="594"/>
    <x v="650"/>
    <x v="1"/>
    <x v="587"/>
    <x v="3"/>
    <m/>
    <s v="2B22-245-00+DR-TW-2B22-090-00-01"/>
  </r>
  <r>
    <n v="743"/>
    <x v="233"/>
    <x v="594"/>
    <x v="651"/>
    <x v="1"/>
    <x v="588"/>
    <x v="3"/>
    <m/>
    <s v="2B22-250-00+DR-TW-2B22-090-00-01"/>
  </r>
  <r>
    <n v="744"/>
    <x v="233"/>
    <x v="594"/>
    <x v="652"/>
    <x v="1"/>
    <x v="589"/>
    <x v="3"/>
    <m/>
    <s v="2B22-255-00+DR-TW-2B22-090-00-01"/>
  </r>
  <r>
    <n v="745"/>
    <x v="233"/>
    <x v="594"/>
    <x v="653"/>
    <x v="1"/>
    <x v="568"/>
    <x v="3"/>
    <m/>
    <s v="2B22-260-00+DR-TW-2B22-090-00-01"/>
  </r>
  <r>
    <n v="746"/>
    <x v="233"/>
    <x v="594"/>
    <x v="654"/>
    <x v="1"/>
    <x v="590"/>
    <x v="3"/>
    <m/>
    <s v="2B22-270-00+DR-TW-2B22-090-00-01"/>
  </r>
  <r>
    <n v="747"/>
    <x v="233"/>
    <x v="594"/>
    <x v="655"/>
    <x v="1"/>
    <x v="591"/>
    <x v="3"/>
    <m/>
    <s v="2B22-275-00+DR-TW-2B22-090-00-01"/>
  </r>
  <r>
    <n v="748"/>
    <x v="233"/>
    <x v="594"/>
    <x v="656"/>
    <x v="1"/>
    <x v="592"/>
    <x v="3"/>
    <m/>
    <s v="2B22-280-00+DR-TW-2B22-090-00-01"/>
  </r>
  <r>
    <n v="749"/>
    <x v="233"/>
    <x v="594"/>
    <x v="657"/>
    <x v="1"/>
    <x v="593"/>
    <x v="3"/>
    <m/>
    <s v="2B22-290-00+DR-TW-2B22-090-00-01"/>
  </r>
  <r>
    <n v="750"/>
    <x v="233"/>
    <x v="594"/>
    <x v="658"/>
    <x v="1"/>
    <x v="594"/>
    <x v="3"/>
    <m/>
    <s v="2B22-300-00+DR-TW-2B22-090-00-01"/>
  </r>
  <r>
    <n v="751"/>
    <x v="233"/>
    <x v="594"/>
    <x v="659"/>
    <x v="1"/>
    <x v="595"/>
    <x v="3"/>
    <m/>
    <s v="2B22-310-00+DR-TW-2B22-090-00-01"/>
  </r>
  <r>
    <n v="752"/>
    <x v="233"/>
    <x v="594"/>
    <x v="660"/>
    <x v="1"/>
    <x v="596"/>
    <x v="3"/>
    <m/>
    <s v="2B22-320-00+DR-TW-2B22-090-00-01"/>
  </r>
  <r>
    <n v="753"/>
    <x v="233"/>
    <x v="594"/>
    <x v="661"/>
    <x v="1"/>
    <x v="597"/>
    <x v="3"/>
    <m/>
    <s v="2B22-330-00+DR-TW-2B22-090-00-01"/>
  </r>
  <r>
    <n v="754"/>
    <x v="233"/>
    <x v="594"/>
    <x v="662"/>
    <x v="1"/>
    <x v="598"/>
    <x v="3"/>
    <m/>
    <s v="2B22-340-00+DR-TW-2B22-090-00-01"/>
  </r>
  <r>
    <n v="755"/>
    <x v="233"/>
    <x v="594"/>
    <x v="663"/>
    <x v="1"/>
    <x v="599"/>
    <x v="3"/>
    <m/>
    <s v="2B22-350-00+DR-TW-2B22-090-00-01"/>
  </r>
  <r>
    <n v="756"/>
    <x v="234"/>
    <x v="595"/>
    <x v="664"/>
    <x v="0"/>
    <x v="600"/>
    <x v="1"/>
    <m/>
    <s v="2B19F090-00+DR-TW-2B19F090-00-00"/>
  </r>
  <r>
    <n v="757"/>
    <x v="234"/>
    <x v="595"/>
    <x v="665"/>
    <x v="0"/>
    <x v="601"/>
    <x v="1"/>
    <m/>
    <s v="2B19F095-00+DR-TW-2B19F090-00-00"/>
  </r>
  <r>
    <n v="758"/>
    <x v="234"/>
    <x v="595"/>
    <x v="666"/>
    <x v="0"/>
    <x v="602"/>
    <x v="1"/>
    <m/>
    <s v="2B19F100-00+DR-TW-2B19F090-00-00"/>
  </r>
  <r>
    <n v="759"/>
    <x v="234"/>
    <x v="595"/>
    <x v="667"/>
    <x v="0"/>
    <x v="603"/>
    <x v="1"/>
    <m/>
    <s v="2B19F105-00+DR-TW-2B19F090-00-00"/>
  </r>
  <r>
    <n v="760"/>
    <x v="234"/>
    <x v="595"/>
    <x v="668"/>
    <x v="0"/>
    <x v="604"/>
    <x v="1"/>
    <m/>
    <s v="2B19F110-00+DR-TW-2B19F090-00-00"/>
  </r>
  <r>
    <n v="761"/>
    <x v="234"/>
    <x v="595"/>
    <x v="669"/>
    <x v="0"/>
    <x v="605"/>
    <x v="1"/>
    <m/>
    <s v="2B19F115-00+DR-TW-2B19F090-00-00"/>
  </r>
  <r>
    <n v="762"/>
    <x v="234"/>
    <x v="595"/>
    <x v="670"/>
    <x v="0"/>
    <x v="606"/>
    <x v="1"/>
    <m/>
    <s v="2B19F120-00+DR-TW-2B19F090-00-00"/>
  </r>
  <r>
    <n v="763"/>
    <x v="234"/>
    <x v="595"/>
    <x v="671"/>
    <x v="0"/>
    <x v="607"/>
    <x v="1"/>
    <m/>
    <s v="2B19F125-00+DR-TW-2B19F090-00-00"/>
  </r>
  <r>
    <n v="764"/>
    <x v="234"/>
    <x v="595"/>
    <x v="672"/>
    <x v="0"/>
    <x v="608"/>
    <x v="1"/>
    <m/>
    <s v="2B19F130-00+DR-TW-2B19F090-00-00"/>
  </r>
  <r>
    <n v="765"/>
    <x v="234"/>
    <x v="595"/>
    <x v="673"/>
    <x v="0"/>
    <x v="609"/>
    <x v="1"/>
    <m/>
    <s v="2B19F135-00+DR-TW-2B19F090-00-00"/>
  </r>
  <r>
    <n v="766"/>
    <x v="234"/>
    <x v="595"/>
    <x v="674"/>
    <x v="0"/>
    <x v="610"/>
    <x v="1"/>
    <m/>
    <s v="2B19F140-00+DR-TW-2B19F090-00-00"/>
  </r>
  <r>
    <n v="767"/>
    <x v="234"/>
    <x v="595"/>
    <x v="675"/>
    <x v="0"/>
    <x v="607"/>
    <x v="1"/>
    <m/>
    <s v="2B19F145-00+DR-TW-2B19F090-00-00"/>
  </r>
  <r>
    <n v="768"/>
    <x v="234"/>
    <x v="595"/>
    <x v="676"/>
    <x v="0"/>
    <x v="611"/>
    <x v="1"/>
    <m/>
    <s v="2B19F150-00+DR-TW-2B19F090-00-00"/>
  </r>
  <r>
    <n v="769"/>
    <x v="234"/>
    <x v="595"/>
    <x v="677"/>
    <x v="0"/>
    <x v="612"/>
    <x v="1"/>
    <m/>
    <s v="2B19F155-00+DR-TW-2B19F090-00-00"/>
  </r>
  <r>
    <n v="770"/>
    <x v="234"/>
    <x v="595"/>
    <x v="678"/>
    <x v="0"/>
    <x v="613"/>
    <x v="1"/>
    <m/>
    <s v="2B19F160-00+DR-TW-2B19F090-00-00"/>
  </r>
  <r>
    <n v="771"/>
    <x v="234"/>
    <x v="595"/>
    <x v="679"/>
    <x v="0"/>
    <x v="614"/>
    <x v="1"/>
    <m/>
    <s v="2B19F165-00+DR-TW-2B19F090-00-00"/>
  </r>
  <r>
    <n v="772"/>
    <x v="234"/>
    <x v="595"/>
    <x v="680"/>
    <x v="0"/>
    <x v="615"/>
    <x v="1"/>
    <m/>
    <s v="2B19F170-00+DR-TW-2B19F090-00-00"/>
  </r>
  <r>
    <n v="773"/>
    <x v="234"/>
    <x v="595"/>
    <x v="681"/>
    <x v="0"/>
    <x v="616"/>
    <x v="1"/>
    <m/>
    <s v="2B19F175-00+DR-TW-2B19F090-00-00"/>
  </r>
  <r>
    <n v="774"/>
    <x v="234"/>
    <x v="595"/>
    <x v="682"/>
    <x v="0"/>
    <x v="617"/>
    <x v="1"/>
    <m/>
    <s v="2B19F180-00+DR-TW-2B19F090-00-00"/>
  </r>
  <r>
    <n v="775"/>
    <x v="234"/>
    <x v="595"/>
    <x v="683"/>
    <x v="0"/>
    <x v="618"/>
    <x v="1"/>
    <m/>
    <s v="2B19F185-00+DR-TW-2B19F090-00-00"/>
  </r>
  <r>
    <n v="776"/>
    <x v="234"/>
    <x v="595"/>
    <x v="684"/>
    <x v="0"/>
    <x v="619"/>
    <x v="1"/>
    <m/>
    <s v="2B19F190-00+DR-TW-2B19F090-00-00"/>
  </r>
  <r>
    <n v="777"/>
    <x v="234"/>
    <x v="595"/>
    <x v="685"/>
    <x v="0"/>
    <x v="620"/>
    <x v="1"/>
    <m/>
    <s v="2B19F195-00+DR-TW-2B19F090-00-00"/>
  </r>
  <r>
    <n v="778"/>
    <x v="234"/>
    <x v="595"/>
    <x v="686"/>
    <x v="0"/>
    <x v="539"/>
    <x v="1"/>
    <m/>
    <s v="2B19F200-00+DR-TW-2B19F090-00-00"/>
  </r>
  <r>
    <n v="779"/>
    <x v="234"/>
    <x v="595"/>
    <x v="687"/>
    <x v="0"/>
    <x v="621"/>
    <x v="1"/>
    <m/>
    <s v="2B19F205-00+DR-TW-2B19F090-00-00"/>
  </r>
  <r>
    <n v="780"/>
    <x v="234"/>
    <x v="595"/>
    <x v="688"/>
    <x v="0"/>
    <x v="622"/>
    <x v="1"/>
    <m/>
    <s v="2B19F210-00+DR-TW-2B19F090-00-00"/>
  </r>
  <r>
    <n v="781"/>
    <x v="234"/>
    <x v="595"/>
    <x v="689"/>
    <x v="0"/>
    <x v="622"/>
    <x v="1"/>
    <m/>
    <s v="2B19F215-00+DR-TW-2B19F090-00-00"/>
  </r>
  <r>
    <n v="782"/>
    <x v="234"/>
    <x v="595"/>
    <x v="690"/>
    <x v="0"/>
    <x v="623"/>
    <x v="1"/>
    <m/>
    <s v="2B19F220-00+DR-TW-2B19F090-00-00"/>
  </r>
  <r>
    <n v="783"/>
    <x v="234"/>
    <x v="595"/>
    <x v="691"/>
    <x v="0"/>
    <x v="624"/>
    <x v="1"/>
    <m/>
    <s v="2B19F225-00+DR-TW-2B19F090-00-00"/>
  </r>
  <r>
    <n v="784"/>
    <x v="234"/>
    <x v="595"/>
    <x v="692"/>
    <x v="0"/>
    <x v="625"/>
    <x v="1"/>
    <m/>
    <s v="2B19F240-00+DR-TW-2B19F090-00-00"/>
  </r>
  <r>
    <n v="785"/>
    <x v="234"/>
    <x v="595"/>
    <x v="693"/>
    <x v="0"/>
    <x v="626"/>
    <x v="1"/>
    <m/>
    <s v="2B19F300-00+DR-TW-2B19F090-00-00"/>
  </r>
  <r>
    <n v="786"/>
    <x v="234"/>
    <x v="596"/>
    <x v="694"/>
    <x v="0"/>
    <x v="627"/>
    <x v="1"/>
    <d v="2023-05-04T00:00:00"/>
    <s v="2B26-085-00+DR-TW-2B26-085-00-00"/>
  </r>
  <r>
    <n v="787"/>
    <x v="234"/>
    <x v="597"/>
    <x v="695"/>
    <x v="0"/>
    <x v="628"/>
    <x v="0"/>
    <d v="2023-05-04T00:00:00"/>
    <s v="2B27-157-00+DR-TW-2B27-157-00-00"/>
  </r>
  <r>
    <n v="788"/>
    <x v="234"/>
    <x v="598"/>
    <x v="696"/>
    <x v="0"/>
    <x v="629"/>
    <x v="0"/>
    <d v="2023-05-04T00:00:00"/>
    <s v="2B94-054-00+DR-TW-2B94-054-00-00"/>
  </r>
  <r>
    <n v="789"/>
    <x v="234"/>
    <x v="599"/>
    <x v="697"/>
    <x v="0"/>
    <x v="630"/>
    <x v="3"/>
    <m/>
    <s v="2B27-085-00+DR-TW-2B27-085-00-00"/>
  </r>
  <r>
    <n v="790"/>
    <x v="234"/>
    <x v="600"/>
    <x v="698"/>
    <x v="0"/>
    <x v="631"/>
    <x v="3"/>
    <m/>
    <s v="2B27-086-00+DR-TW-2B27-086-00-00"/>
  </r>
  <r>
    <n v="791"/>
    <x v="235"/>
    <x v="601"/>
    <x v="699"/>
    <x v="0"/>
    <x v="504"/>
    <x v="0"/>
    <d v="2023-03-28T00:00:00"/>
    <s v="2B29-232-00+DR-TW-2B29-232-00-00"/>
  </r>
  <r>
    <n v="792"/>
    <x v="235"/>
    <x v="602"/>
    <x v="700"/>
    <x v="0"/>
    <x v="528"/>
    <x v="1"/>
    <m/>
    <s v="2B69M328-01+DR-TW-2B69M328-01-00"/>
  </r>
  <r>
    <n v="793"/>
    <x v="235"/>
    <x v="602"/>
    <x v="701"/>
    <x v="0"/>
    <x v="555"/>
    <x v="1"/>
    <m/>
    <s v="2b69M359-01+DR-TW-2B69M328-01-00"/>
  </r>
  <r>
    <n v="794"/>
    <x v="235"/>
    <x v="602"/>
    <x v="702"/>
    <x v="0"/>
    <x v="556"/>
    <x v="1"/>
    <m/>
    <s v="2B69M360-01+DR-TW-2B69M328-01-00"/>
  </r>
  <r>
    <n v="795"/>
    <x v="236"/>
    <x v="603"/>
    <x v="703"/>
    <x v="0"/>
    <x v="632"/>
    <x v="0"/>
    <d v="2023-04-24T00:00:00"/>
    <s v="2B26-162-02+DR-TW-2B26-162-02-00"/>
  </r>
  <r>
    <n v="796"/>
    <x v="236"/>
    <x v="604"/>
    <x v="704"/>
    <x v="0"/>
    <x v="633"/>
    <x v="0"/>
    <d v="2023-05-04T00:00:00"/>
    <s v="2B27-084-00+DR-TW-2B27-084-00-00"/>
  </r>
  <r>
    <n v="797"/>
    <x v="237"/>
    <x v="605"/>
    <x v="705"/>
    <x v="0"/>
    <x v="545"/>
    <x v="1"/>
    <m/>
    <s v="2B26-430-01+DR-TW-2B26-430-01-00"/>
  </r>
  <r>
    <n v="798"/>
    <x v="237"/>
    <x v="606"/>
    <x v="706"/>
    <x v="0"/>
    <x v="546"/>
    <x v="1"/>
    <m/>
    <s v="2B26-431-01+DR-TW-2B26-431-01-00"/>
  </r>
  <r>
    <n v="799"/>
    <x v="237"/>
    <x v="607"/>
    <x v="707"/>
    <x v="0"/>
    <x v="547"/>
    <x v="1"/>
    <m/>
    <s v="2B26-490-01+DR-TW-2B26-490-01-00"/>
  </r>
  <r>
    <n v="800"/>
    <x v="237"/>
    <x v="608"/>
    <x v="708"/>
    <x v="0"/>
    <x v="548"/>
    <x v="1"/>
    <m/>
    <s v="2B26-491-01+DR-TW-2B26-491-01-00"/>
  </r>
  <r>
    <n v="801"/>
    <x v="238"/>
    <x v="609"/>
    <x v="709"/>
    <x v="0"/>
    <x v="634"/>
    <x v="0"/>
    <d v="2023-03-27T00:00:00"/>
    <s v="2B25-133-00+DR-TW-2B25-133-00-00"/>
  </r>
  <r>
    <n v="802"/>
    <x v="239"/>
    <x v="610"/>
    <x v="710"/>
    <x v="0"/>
    <x v="635"/>
    <x v="1"/>
    <d v="2023-05-04T00:00:00"/>
    <s v="2B26-520-00+DR-TW-2B26-520-00-00"/>
  </r>
  <r>
    <n v="803"/>
    <x v="239"/>
    <x v="611"/>
    <x v="711"/>
    <x v="0"/>
    <x v="636"/>
    <x v="1"/>
    <d v="2023-05-04T00:00:00"/>
    <s v="2B26-521-00+DR-TW-2B26-521-00-00"/>
  </r>
  <r>
    <n v="804"/>
    <x v="239"/>
    <x v="612"/>
    <x v="712"/>
    <x v="0"/>
    <x v="637"/>
    <x v="1"/>
    <d v="2023-05-04T00:00:00"/>
    <s v="2B26-522-00+DR-TW-2B26-522-00-00"/>
  </r>
  <r>
    <n v="805"/>
    <x v="239"/>
    <x v="613"/>
    <x v="713"/>
    <x v="0"/>
    <x v="638"/>
    <x v="1"/>
    <d v="2023-05-04T00:00:00"/>
    <s v="2B26-523-00+DR-TW-2B26-523-00-00"/>
  </r>
  <r>
    <n v="806"/>
    <x v="239"/>
    <x v="614"/>
    <x v="714"/>
    <x v="0"/>
    <x v="639"/>
    <x v="1"/>
    <m/>
    <s v="2B26-581-00+DR-TW-2B26-581-00-00"/>
  </r>
  <r>
    <n v="807"/>
    <x v="239"/>
    <x v="615"/>
    <x v="715"/>
    <x v="0"/>
    <x v="640"/>
    <x v="3"/>
    <m/>
    <s v="2B26-600-00+DR-TW-2B26-600-00-00"/>
  </r>
  <r>
    <n v="808"/>
    <x v="239"/>
    <x v="616"/>
    <x v="716"/>
    <x v="0"/>
    <x v="641"/>
    <x v="3"/>
    <m/>
    <s v="2B26-601-00+DR-TW-2B26-601-00-00"/>
  </r>
  <r>
    <n v="809"/>
    <x v="239"/>
    <x v="617"/>
    <x v="717"/>
    <x v="0"/>
    <x v="642"/>
    <x v="3"/>
    <m/>
    <s v="2B26-602-00+DR-TW-2B26-602-00-00"/>
  </r>
  <r>
    <n v="810"/>
    <x v="239"/>
    <x v="618"/>
    <x v="718"/>
    <x v="0"/>
    <x v="643"/>
    <x v="3"/>
    <m/>
    <s v="2B26-603-00+DR-TW-2B26-603-00-00"/>
  </r>
  <r>
    <n v="811"/>
    <x v="239"/>
    <x v="619"/>
    <x v="719"/>
    <x v="0"/>
    <x v="644"/>
    <x v="3"/>
    <m/>
    <s v="2B27-158-00+DR-TW-2B27-158-00-00"/>
  </r>
  <r>
    <n v="812"/>
    <x v="239"/>
    <x v="620"/>
    <x v="720"/>
    <x v="0"/>
    <x v="644"/>
    <x v="0"/>
    <d v="2023-05-08T00:00:00"/>
    <s v="2B27-159-00+DR-TW-2B27-159-00-00"/>
  </r>
  <r>
    <n v="813"/>
    <x v="239"/>
    <x v="621"/>
    <x v="721"/>
    <x v="0"/>
    <x v="645"/>
    <x v="0"/>
    <d v="2023-06-17T00:00:00"/>
    <s v="2B94-057-00+DR-TW-2B94-057-00-00"/>
  </r>
  <r>
    <n v="814"/>
    <x v="239"/>
    <x v="622"/>
    <x v="722"/>
    <x v="0"/>
    <x v="645"/>
    <x v="3"/>
    <m/>
    <s v="2B94-072-00+DR-TW-2B94-072-00-00"/>
  </r>
  <r>
    <n v="815"/>
    <x v="240"/>
    <x v="623"/>
    <x v="723"/>
    <x v="0"/>
    <x v="646"/>
    <x v="0"/>
    <d v="2023-11-14T00:00:00"/>
    <s v="2B26-273-01+DR-TW-2B26-273-01-00"/>
  </r>
  <r>
    <n v="816"/>
    <x v="240"/>
    <x v="624"/>
    <x v="724"/>
    <x v="0"/>
    <x v="545"/>
    <x v="1"/>
    <m/>
    <s v="2B26-430-03+DR-TW-2B26-430-03-00"/>
  </r>
  <r>
    <n v="817"/>
    <x v="240"/>
    <x v="625"/>
    <x v="725"/>
    <x v="0"/>
    <x v="546"/>
    <x v="2"/>
    <m/>
    <s v="2B26-431-03+DR-TW-2B26-431-03-00"/>
  </r>
  <r>
    <n v="818"/>
    <x v="240"/>
    <x v="626"/>
    <x v="726"/>
    <x v="0"/>
    <x v="547"/>
    <x v="1"/>
    <d v="2023-06-28T00:00:00"/>
    <s v="2B26-490-02+DR-TW-2B26-490-02-00"/>
  </r>
  <r>
    <n v="819"/>
    <x v="241"/>
    <x v="627"/>
    <x v="727"/>
    <x v="0"/>
    <x v="647"/>
    <x v="1"/>
    <d v="2023-05-08T00:00:00"/>
    <s v="2B04-540-00+DR-TW-2B04-540-00-00"/>
  </r>
  <r>
    <n v="820"/>
    <x v="241"/>
    <x v="628"/>
    <x v="728"/>
    <x v="0"/>
    <x v="548"/>
    <x v="1"/>
    <m/>
    <s v="2B26-491-02+DR-TW-2B26-491-02-00"/>
  </r>
  <r>
    <n v="821"/>
    <x v="241"/>
    <x v="629"/>
    <x v="729"/>
    <x v="0"/>
    <x v="648"/>
    <x v="1"/>
    <d v="2023-07-10T00:00:00"/>
    <s v="2B04-450-00+DR-TW-2B04-450-00-00"/>
  </r>
  <r>
    <n v="822"/>
    <x v="241"/>
    <x v="630"/>
    <x v="664"/>
    <x v="1"/>
    <x v="600"/>
    <x v="1"/>
    <m/>
    <s v="2B19F090-00+DR-TW-2B19F090-00-01"/>
  </r>
  <r>
    <n v="823"/>
    <x v="241"/>
    <x v="630"/>
    <x v="665"/>
    <x v="1"/>
    <x v="601"/>
    <x v="1"/>
    <m/>
    <s v="2B19F095-00+DR-TW-2B19F090-00-01"/>
  </r>
  <r>
    <n v="824"/>
    <x v="241"/>
    <x v="630"/>
    <x v="666"/>
    <x v="1"/>
    <x v="602"/>
    <x v="1"/>
    <m/>
    <s v="2B19F100-00+DR-TW-2B19F090-00-01"/>
  </r>
  <r>
    <n v="825"/>
    <x v="241"/>
    <x v="630"/>
    <x v="667"/>
    <x v="1"/>
    <x v="603"/>
    <x v="1"/>
    <m/>
    <s v="2B19F105-00+DR-TW-2B19F090-00-01"/>
  </r>
  <r>
    <n v="826"/>
    <x v="241"/>
    <x v="630"/>
    <x v="668"/>
    <x v="1"/>
    <x v="604"/>
    <x v="1"/>
    <m/>
    <s v="2B19F110-00+DR-TW-2B19F090-00-01"/>
  </r>
  <r>
    <n v="827"/>
    <x v="241"/>
    <x v="630"/>
    <x v="669"/>
    <x v="1"/>
    <x v="605"/>
    <x v="1"/>
    <m/>
    <s v="2B19F115-00+DR-TW-2B19F090-00-01"/>
  </r>
  <r>
    <n v="828"/>
    <x v="241"/>
    <x v="630"/>
    <x v="670"/>
    <x v="1"/>
    <x v="606"/>
    <x v="1"/>
    <m/>
    <s v="2B19F120-00+DR-TW-2B19F090-00-01"/>
  </r>
  <r>
    <n v="829"/>
    <x v="241"/>
    <x v="630"/>
    <x v="671"/>
    <x v="1"/>
    <x v="607"/>
    <x v="1"/>
    <m/>
    <s v="2B19F125-00+DR-TW-2B19F090-00-01"/>
  </r>
  <r>
    <n v="830"/>
    <x v="241"/>
    <x v="630"/>
    <x v="672"/>
    <x v="1"/>
    <x v="608"/>
    <x v="1"/>
    <m/>
    <s v="2B19F130-00+DR-TW-2B19F090-00-01"/>
  </r>
  <r>
    <n v="831"/>
    <x v="241"/>
    <x v="630"/>
    <x v="673"/>
    <x v="1"/>
    <x v="609"/>
    <x v="1"/>
    <d v="2023-05-04T00:00:00"/>
    <s v="2B19F135-00+DR-TW-2B19F090-00-01"/>
  </r>
  <r>
    <n v="832"/>
    <x v="241"/>
    <x v="630"/>
    <x v="674"/>
    <x v="1"/>
    <x v="610"/>
    <x v="1"/>
    <d v="2023-05-31T00:00:00"/>
    <s v="2B19F140-00+DR-TW-2B19F090-00-01"/>
  </r>
  <r>
    <n v="833"/>
    <x v="241"/>
    <x v="630"/>
    <x v="675"/>
    <x v="1"/>
    <x v="607"/>
    <x v="1"/>
    <m/>
    <s v="2B19F145-00+DR-TW-2B19F090-00-01"/>
  </r>
  <r>
    <n v="834"/>
    <x v="241"/>
    <x v="630"/>
    <x v="676"/>
    <x v="1"/>
    <x v="611"/>
    <x v="1"/>
    <m/>
    <s v="2B19F150-00+DR-TW-2B19F090-00-01"/>
  </r>
  <r>
    <n v="835"/>
    <x v="241"/>
    <x v="630"/>
    <x v="677"/>
    <x v="1"/>
    <x v="612"/>
    <x v="1"/>
    <m/>
    <s v="2B19F155-00+DR-TW-2B19F090-00-01"/>
  </r>
  <r>
    <n v="836"/>
    <x v="241"/>
    <x v="630"/>
    <x v="678"/>
    <x v="1"/>
    <x v="613"/>
    <x v="1"/>
    <d v="2023-08-01T00:00:00"/>
    <s v="2B19F160-00+DR-TW-2B19F090-00-01"/>
  </r>
  <r>
    <n v="837"/>
    <x v="241"/>
    <x v="630"/>
    <x v="679"/>
    <x v="1"/>
    <x v="614"/>
    <x v="1"/>
    <m/>
    <s v="2B19F165-00+DR-TW-2B19F090-00-01"/>
  </r>
  <r>
    <n v="838"/>
    <x v="241"/>
    <x v="630"/>
    <x v="680"/>
    <x v="1"/>
    <x v="615"/>
    <x v="1"/>
    <m/>
    <s v="2B19F170-00+DR-TW-2B19F090-00-01"/>
  </r>
  <r>
    <n v="839"/>
    <x v="241"/>
    <x v="630"/>
    <x v="681"/>
    <x v="1"/>
    <x v="616"/>
    <x v="1"/>
    <m/>
    <s v="2B19F175-00+DR-TW-2B19F090-00-01"/>
  </r>
  <r>
    <n v="840"/>
    <x v="241"/>
    <x v="630"/>
    <x v="682"/>
    <x v="1"/>
    <x v="617"/>
    <x v="1"/>
    <d v="2023-05-15T00:00:00"/>
    <s v="2B19F180-00+DR-TW-2B19F090-00-01"/>
  </r>
  <r>
    <n v="841"/>
    <x v="241"/>
    <x v="630"/>
    <x v="683"/>
    <x v="1"/>
    <x v="618"/>
    <x v="1"/>
    <m/>
    <s v="2B19F185-00+DR-TW-2B19F090-00-01"/>
  </r>
  <r>
    <n v="842"/>
    <x v="241"/>
    <x v="630"/>
    <x v="684"/>
    <x v="1"/>
    <x v="619"/>
    <x v="1"/>
    <m/>
    <s v="2B19F190-00+DR-TW-2B19F090-00-01"/>
  </r>
  <r>
    <n v="843"/>
    <x v="241"/>
    <x v="630"/>
    <x v="685"/>
    <x v="1"/>
    <x v="620"/>
    <x v="1"/>
    <d v="2023-05-04T00:00:00"/>
    <s v="2B19F195-00+DR-TW-2B19F090-00-01"/>
  </r>
  <r>
    <n v="844"/>
    <x v="241"/>
    <x v="630"/>
    <x v="686"/>
    <x v="1"/>
    <x v="539"/>
    <x v="1"/>
    <m/>
    <s v="2B19F200-00+DR-TW-2B19F090-00-01"/>
  </r>
  <r>
    <n v="845"/>
    <x v="241"/>
    <x v="630"/>
    <x v="687"/>
    <x v="1"/>
    <x v="621"/>
    <x v="1"/>
    <m/>
    <s v="2B19F205-00+DR-TW-2B19F090-00-01"/>
  </r>
  <r>
    <n v="846"/>
    <x v="241"/>
    <x v="630"/>
    <x v="688"/>
    <x v="1"/>
    <x v="622"/>
    <x v="1"/>
    <m/>
    <s v="2B19F210-00+DR-TW-2B19F090-00-01"/>
  </r>
  <r>
    <n v="847"/>
    <x v="241"/>
    <x v="630"/>
    <x v="689"/>
    <x v="1"/>
    <x v="622"/>
    <x v="1"/>
    <m/>
    <s v="2B19F215-00+DR-TW-2B19F090-00-01"/>
  </r>
  <r>
    <n v="848"/>
    <x v="241"/>
    <x v="630"/>
    <x v="690"/>
    <x v="1"/>
    <x v="623"/>
    <x v="1"/>
    <m/>
    <s v="2B19F220-00+DR-TW-2B19F090-00-01"/>
  </r>
  <r>
    <n v="849"/>
    <x v="241"/>
    <x v="630"/>
    <x v="691"/>
    <x v="1"/>
    <x v="624"/>
    <x v="1"/>
    <m/>
    <s v="2B19F225-00+DR-TW-2B19F090-00-01"/>
  </r>
  <r>
    <n v="850"/>
    <x v="241"/>
    <x v="630"/>
    <x v="692"/>
    <x v="1"/>
    <x v="625"/>
    <x v="1"/>
    <m/>
    <s v="2B19F240-00+DR-TW-2B19F090-00-01"/>
  </r>
  <r>
    <n v="851"/>
    <x v="241"/>
    <x v="630"/>
    <x v="693"/>
    <x v="1"/>
    <x v="626"/>
    <x v="1"/>
    <m/>
    <s v="2B19F300-00+DR-TW-2B19F090-00-01"/>
  </r>
  <r>
    <n v="852"/>
    <x v="241"/>
    <x v="631"/>
    <x v="730"/>
    <x v="0"/>
    <x v="649"/>
    <x v="0"/>
    <d v="2023-05-22T00:00:00"/>
    <s v="2B24-301-00+DR-TW-2B24-301-00-00"/>
  </r>
  <r>
    <n v="853"/>
    <x v="242"/>
    <x v="632"/>
    <x v="731"/>
    <x v="0"/>
    <x v="650"/>
    <x v="3"/>
    <m/>
    <s v="2B26-086-00+DR-TW-2B26-086-00-00"/>
  </r>
  <r>
    <n v="854"/>
    <x v="242"/>
    <x v="633"/>
    <x v="732"/>
    <x v="0"/>
    <x v="651"/>
    <x v="3"/>
    <m/>
    <s v="2B26-087-00+DR-TW-2B26-087-00-00"/>
  </r>
  <r>
    <n v="855"/>
    <x v="242"/>
    <x v="634"/>
    <x v="733"/>
    <x v="0"/>
    <x v="652"/>
    <x v="3"/>
    <m/>
    <s v="2B26-297-00+DR-TW-2B26-297-00-00"/>
  </r>
  <r>
    <n v="856"/>
    <x v="242"/>
    <x v="635"/>
    <x v="714"/>
    <x v="1"/>
    <x v="653"/>
    <x v="1"/>
    <m/>
    <s v="2B26-581-00+DR-TW-2B26-581-00-01"/>
  </r>
  <r>
    <n v="857"/>
    <x v="243"/>
    <x v="636"/>
    <x v="734"/>
    <x v="0"/>
    <x v="535"/>
    <x v="0"/>
    <d v="2023-10-10T00:00:00"/>
    <s v="2B26-041-01+DR-TW-2B26-041-01-00"/>
  </r>
  <r>
    <n v="858"/>
    <x v="243"/>
    <x v="637"/>
    <x v="735"/>
    <x v="0"/>
    <x v="534"/>
    <x v="0"/>
    <d v="2023-10-10T00:00:00"/>
    <s v="2B26-042-01+DR-TW-2B26-042-01-00"/>
  </r>
  <r>
    <n v="859"/>
    <x v="243"/>
    <x v="638"/>
    <x v="714"/>
    <x v="2"/>
    <x v="653"/>
    <x v="1"/>
    <d v="2023-08-01T00:00:00"/>
    <s v="2B26-581-00+DR-TW-2B26-581-00-02"/>
  </r>
  <r>
    <n v="860"/>
    <x v="243"/>
    <x v="639"/>
    <x v="736"/>
    <x v="0"/>
    <x v="653"/>
    <x v="3"/>
    <m/>
    <s v="2B26-582-00+DR-TW-2B26-582-00-00"/>
  </r>
  <r>
    <n v="861"/>
    <x v="243"/>
    <x v="640"/>
    <x v="737"/>
    <x v="0"/>
    <x v="338"/>
    <x v="1"/>
    <d v="2023-07-10T00:00:00"/>
    <s v="2B29-402-02+DR-TW-2B29-402-02-00"/>
  </r>
  <r>
    <n v="862"/>
    <x v="244"/>
    <x v="641"/>
    <x v="738"/>
    <x v="0"/>
    <x v="654"/>
    <x v="1"/>
    <d v="2023-05-17T00:00:00"/>
    <s v="2B26-193-00+DR-TW-2B26-193-00-00"/>
  </r>
  <r>
    <n v="863"/>
    <x v="244"/>
    <x v="642"/>
    <x v="694"/>
    <x v="1"/>
    <x v="627"/>
    <x v="1"/>
    <d v="2023-08-01T00:00:00"/>
    <s v="2B26-085-00+DR-TW-2B26-085-00-01"/>
  </r>
  <r>
    <n v="864"/>
    <x v="245"/>
    <x v="643"/>
    <x v="739"/>
    <x v="0"/>
    <x v="655"/>
    <x v="3"/>
    <m/>
    <s v="2B26-420-00+DR-TW-2B26-420-00-00"/>
  </r>
  <r>
    <n v="865"/>
    <x v="245"/>
    <x v="644"/>
    <x v="740"/>
    <x v="0"/>
    <x v="334"/>
    <x v="1"/>
    <d v="2023-07-10T00:00:00"/>
    <s v="2B29-401-02+DR-TW-2B29-401-02-00"/>
  </r>
  <r>
    <n v="866"/>
    <x v="245"/>
    <x v="645"/>
    <x v="741"/>
    <x v="0"/>
    <x v="656"/>
    <x v="1"/>
    <m/>
    <s v="2B29-417-00+DR-TW-2B29-417-00-00"/>
  </r>
  <r>
    <n v="867"/>
    <x v="246"/>
    <x v="646"/>
    <x v="742"/>
    <x v="0"/>
    <x v="657"/>
    <x v="3"/>
    <m/>
    <s v="2B26-550-00+DR-TW-2B26-550-00-00"/>
  </r>
  <r>
    <n v="868"/>
    <x v="247"/>
    <x v="647"/>
    <x v="743"/>
    <x v="0"/>
    <x v="19"/>
    <x v="2"/>
    <m/>
    <s v="2B29-424-01-R+DR-TW-2B29-424-01-R-00"/>
  </r>
  <r>
    <n v="869"/>
    <x v="248"/>
    <x v="648"/>
    <x v="744"/>
    <x v="0"/>
    <x v="658"/>
    <x v="1"/>
    <d v="2023-06-21T00:00:00"/>
    <s v="2B26-421-00+DR-TW-2B26-421-00-00"/>
  </r>
  <r>
    <n v="870"/>
    <x v="248"/>
    <x v="649"/>
    <x v="745"/>
    <x v="1"/>
    <x v="659"/>
    <x v="1"/>
    <d v="2023-06-21T00:00:00"/>
    <s v="2B27-154-00+DR-TW-2B27-154-00-01"/>
  </r>
  <r>
    <n v="871"/>
    <x v="248"/>
    <x v="650"/>
    <x v="746"/>
    <x v="0"/>
    <x v="660"/>
    <x v="1"/>
    <d v="2023-06-28T00:00:00"/>
    <s v="2B04-425-00+DR-TW-2B04-425-00-00"/>
  </r>
  <r>
    <n v="872"/>
    <x v="248"/>
    <x v="651"/>
    <x v="747"/>
    <x v="1"/>
    <x v="661"/>
    <x v="2"/>
    <m/>
    <s v="2B24-080A00+DR-TW-2B24-080A00-01"/>
  </r>
  <r>
    <n v="873"/>
    <x v="248"/>
    <x v="651"/>
    <x v="748"/>
    <x v="1"/>
    <x v="662"/>
    <x v="0"/>
    <d v="2023-06-27T00:00:00"/>
    <s v="2B24-100A00+DR-TW-2B24-080A00-01"/>
  </r>
  <r>
    <n v="874"/>
    <x v="248"/>
    <x v="652"/>
    <x v="578"/>
    <x v="1"/>
    <x v="522"/>
    <x v="2"/>
    <m/>
    <s v="2B48-430-00+DR-TW-2B48-430-00-01"/>
  </r>
  <r>
    <n v="875"/>
    <x v="248"/>
    <x v="653"/>
    <x v="579"/>
    <x v="1"/>
    <x v="523"/>
    <x v="2"/>
    <m/>
    <s v="2B48-431-00+DR-TW-2B48-431-00-01"/>
  </r>
  <r>
    <n v="876"/>
    <x v="248"/>
    <x v="654"/>
    <x v="582"/>
    <x v="1"/>
    <x v="525"/>
    <x v="2"/>
    <m/>
    <s v="2B48-432-00+DR-TW-2B48-432-00-01"/>
  </r>
  <r>
    <n v="877"/>
    <x v="248"/>
    <x v="655"/>
    <x v="583"/>
    <x v="1"/>
    <x v="526"/>
    <x v="2"/>
    <m/>
    <s v="2B48-433-00+DR-TW-2B48-433-00-01"/>
  </r>
  <r>
    <n v="878"/>
    <x v="248"/>
    <x v="656"/>
    <x v="749"/>
    <x v="0"/>
    <x v="663"/>
    <x v="3"/>
    <m/>
    <s v="2B69A023-00+DR-TW-2B69A023-00-00"/>
  </r>
  <r>
    <n v="879"/>
    <x v="249"/>
    <x v="657"/>
    <x v="750"/>
    <x v="0"/>
    <x v="664"/>
    <x v="1"/>
    <m/>
    <s v="2B26-452-00+DR-TW-2B26-452-00-00"/>
  </r>
  <r>
    <n v="880"/>
    <x v="250"/>
    <x v="658"/>
    <x v="93"/>
    <x v="4"/>
    <x v="665"/>
    <x v="2"/>
    <m/>
    <s v="2B55-170-00+DR-TW-2B55-205-00-05"/>
  </r>
  <r>
    <n v="881"/>
    <x v="250"/>
    <x v="658"/>
    <x v="97"/>
    <x v="4"/>
    <x v="666"/>
    <x v="2"/>
    <m/>
    <s v="2B55-185-00+DR-TW-2B55-205-00-05"/>
  </r>
  <r>
    <n v="882"/>
    <x v="250"/>
    <x v="658"/>
    <x v="525"/>
    <x v="4"/>
    <x v="667"/>
    <x v="2"/>
    <m/>
    <s v="2B55-195-00+DR-TW-2B55-205-00-05"/>
  </r>
  <r>
    <n v="883"/>
    <x v="250"/>
    <x v="658"/>
    <x v="524"/>
    <x v="4"/>
    <x v="668"/>
    <x v="2"/>
    <m/>
    <s v="2B55-200-00+DR-TW-2B55-205-00-05"/>
  </r>
  <r>
    <n v="884"/>
    <x v="250"/>
    <x v="658"/>
    <x v="265"/>
    <x v="4"/>
    <x v="669"/>
    <x v="2"/>
    <m/>
    <s v="2B55-205-00+DR-TW-2B55-205-00-05"/>
  </r>
  <r>
    <n v="885"/>
    <x v="251"/>
    <x v="659"/>
    <x v="751"/>
    <x v="0"/>
    <x v="660"/>
    <x v="1"/>
    <m/>
    <s v="2B04-425-01+DR-TW-2B04-425-01-00"/>
  </r>
  <r>
    <n v="886"/>
    <x v="251"/>
    <x v="660"/>
    <x v="752"/>
    <x v="0"/>
    <x v="648"/>
    <x v="1"/>
    <m/>
    <s v="2B04-450-01+DR-TW-2B04-450-01-00"/>
  </r>
  <r>
    <n v="887"/>
    <x v="252"/>
    <x v="661"/>
    <x v="753"/>
    <x v="0"/>
    <x v="670"/>
    <x v="4"/>
    <m/>
    <s v="2B69M454-00+DR-TW-2B69M454-00-00"/>
  </r>
  <r>
    <n v="888"/>
    <x v="253"/>
    <x v="662"/>
    <x v="754"/>
    <x v="0"/>
    <x v="671"/>
    <x v="4"/>
    <m/>
    <s v="2B69M434-01+DR-TW-2B69M434-01-00"/>
  </r>
  <r>
    <n v="889"/>
    <x v="253"/>
    <x v="663"/>
    <x v="755"/>
    <x v="0"/>
    <x v="672"/>
    <x v="4"/>
    <m/>
    <s v="2B69M431-01+DR-TW-2B69M431-01-00"/>
  </r>
  <r>
    <n v="890"/>
    <x v="253"/>
    <x v="664"/>
    <x v="756"/>
    <x v="0"/>
    <x v="673"/>
    <x v="4"/>
    <m/>
    <s v="2B69M446-00+DR-TW-2B69M446-00-00"/>
  </r>
  <r>
    <n v="891"/>
    <x v="254"/>
    <x v="665"/>
    <x v="757"/>
    <x v="0"/>
    <x v="674"/>
    <x v="4"/>
    <m/>
    <s v="2B69M455-00+DR-TW-2B69M455-00-00"/>
  </r>
  <r>
    <n v="892"/>
    <x v="255"/>
    <x v="666"/>
    <x v="758"/>
    <x v="0"/>
    <x v="675"/>
    <x v="1"/>
    <m/>
    <s v="2B69M456-00+DR-TW-2B69M456-00-00"/>
  </r>
  <r>
    <n v="893"/>
    <x v="255"/>
    <x v="667"/>
    <x v="759"/>
    <x v="1"/>
    <x v="676"/>
    <x v="4"/>
    <m/>
    <s v="2B69M447-00+DR-TW-2B69M447-00-01"/>
  </r>
  <r>
    <n v="894"/>
    <x v="255"/>
    <x v="667"/>
    <x v="760"/>
    <x v="1"/>
    <x v="677"/>
    <x v="4"/>
    <m/>
    <s v="2B69M448-00+DR-TW-2B69M447-00-01"/>
  </r>
  <r>
    <n v="895"/>
    <x v="255"/>
    <x v="667"/>
    <x v="761"/>
    <x v="1"/>
    <x v="678"/>
    <x v="4"/>
    <m/>
    <s v="2B69M449-00+DR-TW-2B69M447-00-01"/>
  </r>
  <r>
    <n v="896"/>
    <x v="255"/>
    <x v="668"/>
    <x v="762"/>
    <x v="0"/>
    <x v="679"/>
    <x v="4"/>
    <m/>
    <s v="2B69M451-00+DR-TW-2B69M451-00-00"/>
  </r>
  <r>
    <n v="897"/>
    <x v="255"/>
    <x v="669"/>
    <x v="763"/>
    <x v="0"/>
    <x v="680"/>
    <x v="4"/>
    <m/>
    <s v="2B69M452-00+DR-TW-2B69M452-00-00"/>
  </r>
  <r>
    <n v="898"/>
    <x v="255"/>
    <x v="670"/>
    <x v="764"/>
    <x v="0"/>
    <x v="681"/>
    <x v="4"/>
    <m/>
    <s v="2B69M450-00+DR-TW-2B69M450-00-00"/>
  </r>
  <r>
    <n v="899"/>
    <x v="256"/>
    <x v="671"/>
    <x v="765"/>
    <x v="0"/>
    <x v="529"/>
    <x v="1"/>
    <m/>
    <s v="2B69M322-01+DR-TW-2B69M322-01-00"/>
  </r>
  <r>
    <n v="900"/>
    <x v="256"/>
    <x v="672"/>
    <x v="766"/>
    <x v="0"/>
    <x v="682"/>
    <x v="4"/>
    <m/>
    <s v="2B69M363-00+DR-TW-2B69M363-00-00"/>
  </r>
  <r>
    <n v="901"/>
    <x v="256"/>
    <x v="672"/>
    <x v="767"/>
    <x v="0"/>
    <x v="683"/>
    <x v="4"/>
    <m/>
    <s v="2B69M364-00+DR-TW-2B69M363-00-00"/>
  </r>
  <r>
    <n v="902"/>
    <x v="256"/>
    <x v="673"/>
    <x v="768"/>
    <x v="0"/>
    <x v="684"/>
    <x v="4"/>
    <m/>
    <s v="2B69M463-00+DR-TW-2B69M463-00-00"/>
  </r>
  <r>
    <n v="903"/>
    <x v="257"/>
    <x v="674"/>
    <x v="589"/>
    <x v="2"/>
    <x v="553"/>
    <x v="1"/>
    <m/>
    <s v="2B69M330-01+DR-TW-2B69M330-01-02"/>
  </r>
  <r>
    <n v="904"/>
    <x v="257"/>
    <x v="674"/>
    <x v="614"/>
    <x v="2"/>
    <x v="552"/>
    <x v="1"/>
    <m/>
    <s v="2B69M361-00+DR-TW-2B69M330-01-02"/>
  </r>
  <r>
    <n v="905"/>
    <x v="257"/>
    <x v="674"/>
    <x v="615"/>
    <x v="2"/>
    <x v="554"/>
    <x v="1"/>
    <m/>
    <s v="2B69M362-00+DR-TW-2B69M330-01-02"/>
  </r>
  <r>
    <n v="906"/>
    <x v="257"/>
    <x v="674"/>
    <x v="769"/>
    <x v="2"/>
    <x v="685"/>
    <x v="1"/>
    <m/>
    <s v="2B69M458-00+DR-TW-2B69M330-01-02"/>
  </r>
  <r>
    <n v="907"/>
    <x v="257"/>
    <x v="674"/>
    <x v="770"/>
    <x v="2"/>
    <x v="686"/>
    <x v="1"/>
    <m/>
    <s v="2B69M459-00+DR-TW-2B69M330-01-02"/>
  </r>
  <r>
    <n v="908"/>
    <x v="257"/>
    <x v="675"/>
    <x v="700"/>
    <x v="1"/>
    <x v="528"/>
    <x v="1"/>
    <m/>
    <s v="2B69M328-01+DR-TW-2B69M328-01-01"/>
  </r>
  <r>
    <n v="909"/>
    <x v="257"/>
    <x v="675"/>
    <x v="701"/>
    <x v="1"/>
    <x v="687"/>
    <x v="1"/>
    <m/>
    <s v="2B69M359-01+DR-TW-2B69M328-01-01"/>
  </r>
  <r>
    <n v="910"/>
    <x v="257"/>
    <x v="675"/>
    <x v="771"/>
    <x v="1"/>
    <x v="688"/>
    <x v="1"/>
    <m/>
    <s v="2B69M457-00+DR-TW-2B69M328-01-01"/>
  </r>
  <r>
    <n v="911"/>
    <x v="257"/>
    <x v="675"/>
    <x v="702"/>
    <x v="1"/>
    <x v="556"/>
    <x v="1"/>
    <m/>
    <s v="2B69M360-01+DR-TW-2B69M328-01-01"/>
  </r>
  <r>
    <n v="912"/>
    <x v="258"/>
    <x v="64"/>
    <x v="772"/>
    <x v="0"/>
    <x v="689"/>
    <x v="1"/>
    <m/>
    <s v="2B52-293-00+DR-TW-2B52-253-04-00"/>
  </r>
  <r>
    <n v="913"/>
    <x v="259"/>
    <x v="676"/>
    <x v="773"/>
    <x v="6"/>
    <x v="690"/>
    <x v="1"/>
    <m/>
    <s v="2B69M465-00+DR-TW-2B69M330-01-03"/>
  </r>
  <r>
    <n v="914"/>
    <x v="259"/>
    <x v="676"/>
    <x v="774"/>
    <x v="6"/>
    <x v="691"/>
    <x v="1"/>
    <m/>
    <s v="2B69M466-00+DR-TW-2B69M330-01-03"/>
  </r>
  <r>
    <n v="915"/>
    <x v="259"/>
    <x v="676"/>
    <x v="589"/>
    <x v="6"/>
    <x v="527"/>
    <x v="1"/>
    <m/>
    <s v="2B69M330-01+DR-TW-2B69M330-01-03"/>
  </r>
  <r>
    <n v="916"/>
    <x v="259"/>
    <x v="676"/>
    <x v="614"/>
    <x v="6"/>
    <x v="552"/>
    <x v="1"/>
    <m/>
    <s v="2B69M361-00+DR-TW-2B69M330-01-03"/>
  </r>
  <r>
    <n v="917"/>
    <x v="259"/>
    <x v="676"/>
    <x v="615"/>
    <x v="6"/>
    <x v="554"/>
    <x v="1"/>
    <m/>
    <s v="2B69M362-00+DR-TW-2B69M330-01-03"/>
  </r>
  <r>
    <n v="918"/>
    <x v="259"/>
    <x v="676"/>
    <x v="769"/>
    <x v="6"/>
    <x v="685"/>
    <x v="1"/>
    <m/>
    <s v="2B69M458-00+DR-TW-2B69M330-01-03"/>
  </r>
  <r>
    <n v="919"/>
    <x v="259"/>
    <x v="676"/>
    <x v="770"/>
    <x v="6"/>
    <x v="686"/>
    <x v="1"/>
    <m/>
    <s v="2B69M459-00+DR-TW-2B69M330-01-03"/>
  </r>
  <r>
    <n v="920"/>
    <x v="259"/>
    <x v="677"/>
    <x v="664"/>
    <x v="2"/>
    <x v="600"/>
    <x v="2"/>
    <m/>
    <s v="2B19F090-00+DR-TW-2B19F090-00-02"/>
  </r>
  <r>
    <n v="921"/>
    <x v="259"/>
    <x v="677"/>
    <x v="665"/>
    <x v="2"/>
    <x v="601"/>
    <x v="2"/>
    <m/>
    <s v="2B19F095-00+DR-TW-2B19F090-00-02"/>
  </r>
  <r>
    <n v="922"/>
    <x v="259"/>
    <x v="677"/>
    <x v="666"/>
    <x v="2"/>
    <x v="602"/>
    <x v="2"/>
    <m/>
    <s v="2B19F100-00+DR-TW-2B19F090-00-02"/>
  </r>
  <r>
    <n v="923"/>
    <x v="259"/>
    <x v="677"/>
    <x v="667"/>
    <x v="2"/>
    <x v="603"/>
    <x v="0"/>
    <m/>
    <s v="2B19F105-00+DR-TW-2B19F090-00-02"/>
  </r>
  <r>
    <n v="924"/>
    <x v="259"/>
    <x v="677"/>
    <x v="668"/>
    <x v="2"/>
    <x v="604"/>
    <x v="1"/>
    <m/>
    <s v="2B19F110-00+DR-TW-2B19F090-00-02"/>
  </r>
  <r>
    <n v="925"/>
    <x v="259"/>
    <x v="677"/>
    <x v="669"/>
    <x v="2"/>
    <x v="605"/>
    <x v="0"/>
    <d v="2024-01-03T00:00:00"/>
    <s v="2B19F115-00+DR-TW-2B19F090-00-02"/>
  </r>
  <r>
    <n v="926"/>
    <x v="259"/>
    <x v="677"/>
    <x v="670"/>
    <x v="2"/>
    <x v="606"/>
    <x v="0"/>
    <d v="2023-09-14T00:00:00"/>
    <s v="2B19F120-00+DR-TW-2B19F090-00-02"/>
  </r>
  <r>
    <n v="927"/>
    <x v="259"/>
    <x v="677"/>
    <x v="671"/>
    <x v="2"/>
    <x v="607"/>
    <x v="0"/>
    <d v="2023-09-14T00:00:00"/>
    <s v="2B19F125-00+DR-TW-2B19F090-00-02"/>
  </r>
  <r>
    <n v="928"/>
    <x v="259"/>
    <x v="677"/>
    <x v="672"/>
    <x v="2"/>
    <x v="608"/>
    <x v="0"/>
    <d v="2023-09-14T00:00:00"/>
    <s v="2B19F130-00+DR-TW-2B19F090-00-02"/>
  </r>
  <r>
    <n v="929"/>
    <x v="259"/>
    <x v="677"/>
    <x v="673"/>
    <x v="2"/>
    <x v="609"/>
    <x v="0"/>
    <d v="2023-05-04T00:00:00"/>
    <s v="2B19F135-00+DR-TW-2B19F090-00-02"/>
  </r>
  <r>
    <n v="930"/>
    <x v="259"/>
    <x v="677"/>
    <x v="674"/>
    <x v="2"/>
    <x v="610"/>
    <x v="0"/>
    <d v="2023-05-31T00:00:00"/>
    <s v="2B19F140-00+DR-TW-2B19F090-00-02"/>
  </r>
  <r>
    <n v="931"/>
    <x v="259"/>
    <x v="677"/>
    <x v="675"/>
    <x v="2"/>
    <x v="607"/>
    <x v="0"/>
    <d v="2023-09-14T00:00:00"/>
    <s v="2B19F145-00+DR-TW-2B19F090-00-02"/>
  </r>
  <r>
    <n v="932"/>
    <x v="259"/>
    <x v="677"/>
    <x v="676"/>
    <x v="2"/>
    <x v="611"/>
    <x v="0"/>
    <d v="2023-09-14T00:00:00"/>
    <s v="2B19F150-00+DR-TW-2B19F090-00-02"/>
  </r>
  <r>
    <n v="933"/>
    <x v="259"/>
    <x v="677"/>
    <x v="677"/>
    <x v="2"/>
    <x v="612"/>
    <x v="0"/>
    <d v="2023-09-14T00:00:00"/>
    <s v="2B19F155-00+DR-TW-2B19F090-00-02"/>
  </r>
  <r>
    <n v="934"/>
    <x v="259"/>
    <x v="677"/>
    <x v="678"/>
    <x v="2"/>
    <x v="613"/>
    <x v="0"/>
    <d v="2023-08-01T00:00:00"/>
    <s v="2B19F160-00+DR-TW-2B19F090-00-02"/>
  </r>
  <r>
    <n v="935"/>
    <x v="259"/>
    <x v="677"/>
    <x v="679"/>
    <x v="2"/>
    <x v="614"/>
    <x v="0"/>
    <d v="2023-09-14T00:00:00"/>
    <s v="2B19F165-00+DR-TW-2B19F090-00-02"/>
  </r>
  <r>
    <n v="936"/>
    <x v="259"/>
    <x v="677"/>
    <x v="680"/>
    <x v="2"/>
    <x v="615"/>
    <x v="0"/>
    <d v="2023-11-14T00:00:00"/>
    <s v="2B19F170-00+DR-TW-2B19F090-00-02"/>
  </r>
  <r>
    <n v="937"/>
    <x v="259"/>
    <x v="677"/>
    <x v="681"/>
    <x v="2"/>
    <x v="616"/>
    <x v="0"/>
    <d v="2023-11-14T00:00:00"/>
    <s v="2B19F175-00+DR-TW-2B19F090-00-02"/>
  </r>
  <r>
    <n v="938"/>
    <x v="259"/>
    <x v="677"/>
    <x v="682"/>
    <x v="2"/>
    <x v="617"/>
    <x v="0"/>
    <d v="2023-05-15T00:00:00"/>
    <s v="2B19F180-00+DR-TW-2B19F090-00-02"/>
  </r>
  <r>
    <n v="939"/>
    <x v="259"/>
    <x v="677"/>
    <x v="683"/>
    <x v="2"/>
    <x v="618"/>
    <x v="0"/>
    <d v="2023-09-14T00:00:00"/>
    <s v="2B19F185-00+DR-TW-2B19F090-00-02"/>
  </r>
  <r>
    <n v="940"/>
    <x v="259"/>
    <x v="677"/>
    <x v="684"/>
    <x v="2"/>
    <x v="619"/>
    <x v="0"/>
    <d v="2023-09-14T00:00:00"/>
    <s v="2B19F190-00+DR-TW-2B19F090-00-02"/>
  </r>
  <r>
    <n v="941"/>
    <x v="259"/>
    <x v="677"/>
    <x v="685"/>
    <x v="2"/>
    <x v="620"/>
    <x v="0"/>
    <d v="2023-05-04T00:00:00"/>
    <s v="2B19F195-00+DR-TW-2B19F090-00-02"/>
  </r>
  <r>
    <n v="942"/>
    <x v="259"/>
    <x v="677"/>
    <x v="686"/>
    <x v="2"/>
    <x v="539"/>
    <x v="0"/>
    <m/>
    <s v="2B19F200-00+DR-TW-2B19F090-00-02"/>
  </r>
  <r>
    <n v="943"/>
    <x v="259"/>
    <x v="677"/>
    <x v="687"/>
    <x v="2"/>
    <x v="621"/>
    <x v="0"/>
    <d v="2023-11-14T00:00:00"/>
    <s v="2B19F205-00+DR-TW-2B19F090-00-02"/>
  </r>
  <r>
    <n v="944"/>
    <x v="259"/>
    <x v="677"/>
    <x v="688"/>
    <x v="2"/>
    <x v="622"/>
    <x v="0"/>
    <d v="2023-11-14T00:00:00"/>
    <s v="2B19F210-00+DR-TW-2B19F090-00-02"/>
  </r>
  <r>
    <n v="945"/>
    <x v="259"/>
    <x v="677"/>
    <x v="689"/>
    <x v="2"/>
    <x v="622"/>
    <x v="2"/>
    <m/>
    <s v="2B19F215-00+DR-TW-2B19F090-00-02"/>
  </r>
  <r>
    <n v="946"/>
    <x v="259"/>
    <x v="677"/>
    <x v="690"/>
    <x v="2"/>
    <x v="623"/>
    <x v="2"/>
    <m/>
    <s v="2B19F220-00+DR-TW-2B19F090-00-02"/>
  </r>
  <r>
    <n v="947"/>
    <x v="259"/>
    <x v="677"/>
    <x v="691"/>
    <x v="2"/>
    <x v="624"/>
    <x v="2"/>
    <m/>
    <s v="2B19F225-00+DR-TW-2B19F090-00-02"/>
  </r>
  <r>
    <n v="948"/>
    <x v="259"/>
    <x v="677"/>
    <x v="775"/>
    <x v="2"/>
    <x v="692"/>
    <x v="2"/>
    <m/>
    <s v="2B19F230-00+DR-TW-2B19F090-00-02"/>
  </r>
  <r>
    <n v="949"/>
    <x v="259"/>
    <x v="677"/>
    <x v="692"/>
    <x v="2"/>
    <x v="625"/>
    <x v="2"/>
    <m/>
    <s v="2B19F240-00+DR-TW-2B19F090-00-02"/>
  </r>
  <r>
    <n v="950"/>
    <x v="259"/>
    <x v="677"/>
    <x v="693"/>
    <x v="2"/>
    <x v="626"/>
    <x v="2"/>
    <m/>
    <s v="2B19F300-00+DR-TW-2B19F090-00-02"/>
  </r>
  <r>
    <n v="951"/>
    <x v="259"/>
    <x v="678"/>
    <x v="257"/>
    <x v="1"/>
    <x v="693"/>
    <x v="0"/>
    <d v="2024-01-29T00:00:00"/>
    <s v="2B24E100-00+DR-TW-2B24E100-00-01"/>
  </r>
  <r>
    <n v="952"/>
    <x v="259"/>
    <x v="678"/>
    <x v="776"/>
    <x v="1"/>
    <x v="694"/>
    <x v="3"/>
    <m/>
    <s v="2B24E075-00+DR-TW-2B24E100-00-01"/>
  </r>
  <r>
    <m/>
    <x v="260"/>
    <x v="679"/>
    <x v="84"/>
    <x v="1"/>
    <x v="695"/>
    <x v="2"/>
    <m/>
    <s v="2B52-253-04+DR-TW-2B52-253-04-01"/>
  </r>
  <r>
    <m/>
    <x v="260"/>
    <x v="679"/>
    <x v="86"/>
    <x v="1"/>
    <x v="696"/>
    <x v="0"/>
    <d v="2024-10-15T00:00:00"/>
    <s v="2B52-283-01+DR-TW-2B52-253-04-01"/>
  </r>
  <r>
    <m/>
    <x v="260"/>
    <x v="679"/>
    <x v="772"/>
    <x v="1"/>
    <x v="697"/>
    <x v="0"/>
    <d v="2023-11-14T00:00:00"/>
    <s v="2B52-293-00+DR-TW-2B52-253-04-01"/>
  </r>
  <r>
    <m/>
    <x v="261"/>
    <x v="680"/>
    <x v="777"/>
    <x v="0"/>
    <x v="698"/>
    <x v="4"/>
    <m/>
    <s v="2B69M471-00+DR-TW-2B69M471-00-00"/>
  </r>
  <r>
    <m/>
    <x v="262"/>
    <x v="681"/>
    <x v="778"/>
    <x v="0"/>
    <x v="699"/>
    <x v="4"/>
    <m/>
    <s v="2B69M468-00+DR-TW-2B69N468-00-00"/>
  </r>
  <r>
    <m/>
    <x v="263"/>
    <x v="682"/>
    <x v="779"/>
    <x v="0"/>
    <x v="530"/>
    <x v="4"/>
    <m/>
    <s v="2B69M321-02+DR-TW-2B69M321-02-00"/>
  </r>
  <r>
    <m/>
    <x v="263"/>
    <x v="682"/>
    <x v="780"/>
    <x v="0"/>
    <x v="531"/>
    <x v="4"/>
    <m/>
    <s v="2B69M332-02+DR-TW-2B69M321-02-00"/>
  </r>
  <r>
    <m/>
    <x v="263"/>
    <x v="683"/>
    <x v="781"/>
    <x v="0"/>
    <x v="700"/>
    <x v="4"/>
    <m/>
    <s v="2B69M322-02+DR-TW-2B69M322-02-00"/>
  </r>
  <r>
    <m/>
    <x v="264"/>
    <x v="684"/>
    <x v="782"/>
    <x v="0"/>
    <x v="701"/>
    <x v="1"/>
    <m/>
    <s v="2B69M328-03+DR-TW-2B69M328-03-00"/>
  </r>
  <r>
    <m/>
    <x v="264"/>
    <x v="684"/>
    <x v="783"/>
    <x v="0"/>
    <x v="702"/>
    <x v="1"/>
    <m/>
    <s v="2B69M359-03+DR-TW-2B69M328-03-00"/>
  </r>
  <r>
    <m/>
    <x v="264"/>
    <x v="684"/>
    <x v="784"/>
    <x v="0"/>
    <x v="703"/>
    <x v="1"/>
    <m/>
    <s v="2B69M360-03+DR-TW-2B69M328-03-00"/>
  </r>
  <r>
    <m/>
    <x v="264"/>
    <x v="684"/>
    <x v="785"/>
    <x v="0"/>
    <x v="704"/>
    <x v="1"/>
    <m/>
    <s v="2B69M422-00+DR-TW-2B69M328-03-00"/>
  </r>
  <r>
    <m/>
    <x v="264"/>
    <x v="684"/>
    <x v="786"/>
    <x v="0"/>
    <x v="705"/>
    <x v="1"/>
    <m/>
    <s v="2B69M457-02+DR-TW-2B69M328-03-00"/>
  </r>
  <r>
    <m/>
    <x v="264"/>
    <x v="685"/>
    <x v="787"/>
    <x v="0"/>
    <x v="706"/>
    <x v="4"/>
    <m/>
    <s v="2B69M481-01+DR-TW-2B69M481-01-00"/>
  </r>
  <r>
    <m/>
    <x v="264"/>
    <x v="685"/>
    <x v="788"/>
    <x v="0"/>
    <x v="707"/>
    <x v="4"/>
    <m/>
    <s v="2B69M482-01+DR-TW-2B69M481-01-00"/>
  </r>
  <r>
    <m/>
    <x v="265"/>
    <x v="686"/>
    <x v="789"/>
    <x v="0"/>
    <x v="708"/>
    <x v="4"/>
    <m/>
    <s v="2B69M330-02+DR-TW-2B69M330-02-00"/>
  </r>
  <r>
    <m/>
    <x v="265"/>
    <x v="686"/>
    <x v="790"/>
    <x v="0"/>
    <x v="709"/>
    <x v="4"/>
    <m/>
    <s v="2B69M361-01+DR-TW-2B69M330-02-00"/>
  </r>
  <r>
    <m/>
    <x v="265"/>
    <x v="686"/>
    <x v="791"/>
    <x v="0"/>
    <x v="710"/>
    <x v="4"/>
    <m/>
    <s v="2B69M362-01+DR-TW-2B69M330-02-00"/>
  </r>
  <r>
    <m/>
    <x v="265"/>
    <x v="686"/>
    <x v="792"/>
    <x v="0"/>
    <x v="711"/>
    <x v="4"/>
    <m/>
    <s v="2B69M458-01+DR-TW-2B69M330-02-00"/>
  </r>
  <r>
    <m/>
    <x v="265"/>
    <x v="686"/>
    <x v="793"/>
    <x v="0"/>
    <x v="712"/>
    <x v="4"/>
    <m/>
    <s v="2B69M459-01+DR-TW-2B69M330-02-00"/>
  </r>
  <r>
    <m/>
    <x v="265"/>
    <x v="686"/>
    <x v="794"/>
    <x v="0"/>
    <x v="713"/>
    <x v="4"/>
    <m/>
    <s v="2B69M466-01+DR-TW-2B69M330-02-00"/>
  </r>
  <r>
    <m/>
    <x v="265"/>
    <x v="686"/>
    <x v="795"/>
    <x v="0"/>
    <x v="713"/>
    <x v="4"/>
    <m/>
    <s v="2B69M467-01+DR-TW-2B69M330-02-00"/>
  </r>
  <r>
    <m/>
    <x v="266"/>
    <x v="687"/>
    <x v="796"/>
    <x v="0"/>
    <x v="714"/>
    <x v="4"/>
    <m/>
    <s v="2B69M365-01+DR-TW-2B69M365-01-00"/>
  </r>
  <r>
    <m/>
    <x v="263"/>
    <x v="688"/>
    <x v="797"/>
    <x v="0"/>
    <x v="715"/>
    <x v="4"/>
    <m/>
    <s v="2B69M456-01+DR-TW-2B69M456-01-00"/>
  </r>
  <r>
    <m/>
    <x v="264"/>
    <x v="689"/>
    <x v="782"/>
    <x v="1"/>
    <x v="701"/>
    <x v="4"/>
    <m/>
    <s v="2B69M328-03+DR-TW-2B69M328-03-01"/>
  </r>
  <r>
    <m/>
    <x v="264"/>
    <x v="689"/>
    <x v="783"/>
    <x v="1"/>
    <x v="702"/>
    <x v="4"/>
    <m/>
    <s v="2B69M359-03+DR-TW-2B69M328-03-01"/>
  </r>
  <r>
    <m/>
    <x v="264"/>
    <x v="689"/>
    <x v="784"/>
    <x v="1"/>
    <x v="703"/>
    <x v="4"/>
    <m/>
    <s v="2B69M360-03+DR-TW-2B69M328-03-01"/>
  </r>
  <r>
    <m/>
    <x v="264"/>
    <x v="689"/>
    <x v="785"/>
    <x v="1"/>
    <x v="704"/>
    <x v="4"/>
    <m/>
    <s v="2B69M422-00+DR-TW-2B69M328-03-01"/>
  </r>
  <r>
    <m/>
    <x v="264"/>
    <x v="689"/>
    <x v="786"/>
    <x v="1"/>
    <x v="705"/>
    <x v="4"/>
    <m/>
    <s v="2B69M457-02+DR-TW-2B69M328-03-01"/>
  </r>
  <r>
    <m/>
    <x v="267"/>
    <x v="690"/>
    <x v="798"/>
    <x v="1"/>
    <x v="716"/>
    <x v="4"/>
    <m/>
    <s v="2B69M384-00+DR-TW-2B69M384-00-01"/>
  </r>
  <r>
    <m/>
    <x v="267"/>
    <x v="691"/>
    <x v="799"/>
    <x v="0"/>
    <x v="717"/>
    <x v="3"/>
    <m/>
    <s v="2B91-300-00-00+DR-TW-2B91-300-00-00"/>
  </r>
  <r>
    <m/>
    <x v="268"/>
    <x v="692"/>
    <x v="800"/>
    <x v="0"/>
    <x v="255"/>
    <x v="1"/>
    <m/>
    <s v="2B51-215-02+DR-TW-2B51-215-02-00"/>
  </r>
  <r>
    <m/>
    <x v="268"/>
    <x v="692"/>
    <x v="801"/>
    <x v="0"/>
    <x v="514"/>
    <x v="1"/>
    <m/>
    <s v="2B51-260-02+DR-TW-2B51-215-02-00"/>
  </r>
  <r>
    <m/>
    <x v="268"/>
    <x v="692"/>
    <x v="802"/>
    <x v="0"/>
    <x v="516"/>
    <x v="1"/>
    <m/>
    <s v="2B51-300-01+DR-TW-2B51-215-02-00"/>
  </r>
  <r>
    <m/>
    <x v="268"/>
    <x v="692"/>
    <x v="803"/>
    <x v="0"/>
    <x v="154"/>
    <x v="1"/>
    <m/>
    <s v="2B51-350-01+DR-TW-2B51-215-02-00"/>
  </r>
  <r>
    <m/>
    <x v="269"/>
    <x v="693"/>
    <x v="804"/>
    <x v="0"/>
    <x v="718"/>
    <x v="0"/>
    <d v="2024-01-18T00:00:00"/>
    <s v="2B19G135-00+DR-TW-2B19G135-00-00"/>
  </r>
  <r>
    <m/>
    <x v="269"/>
    <x v="693"/>
    <x v="805"/>
    <x v="0"/>
    <x v="719"/>
    <x v="0"/>
    <d v="2024-01-03T00:00:00"/>
    <s v="2B19G150-00+DR-TW-2B19G135-00-00"/>
  </r>
  <r>
    <m/>
    <x v="269"/>
    <x v="693"/>
    <x v="806"/>
    <x v="0"/>
    <x v="720"/>
    <x v="0"/>
    <d v="2024-01-03T00:00:00"/>
    <s v="2B19G155-00+DR-TW-2B19G135-00-00"/>
  </r>
  <r>
    <m/>
    <x v="269"/>
    <x v="693"/>
    <x v="807"/>
    <x v="0"/>
    <x v="721"/>
    <x v="0"/>
    <d v="2024-01-18T00:00:00"/>
    <s v="2B19G160-00+DR-TW-2B19G135-00-00"/>
  </r>
  <r>
    <m/>
    <x v="269"/>
    <x v="693"/>
    <x v="808"/>
    <x v="0"/>
    <x v="722"/>
    <x v="0"/>
    <d v="2024-01-03T00:00:00"/>
    <s v="2B19G165-00+DR-TW-2B19G135-00-00"/>
  </r>
  <r>
    <m/>
    <x v="269"/>
    <x v="693"/>
    <x v="809"/>
    <x v="0"/>
    <x v="723"/>
    <x v="0"/>
    <d v="2024-01-03T00:00:00"/>
    <s v="2B19G170-00+DR-TW-2B19G135-00-00"/>
  </r>
  <r>
    <m/>
    <x v="269"/>
    <x v="693"/>
    <x v="810"/>
    <x v="0"/>
    <x v="724"/>
    <x v="0"/>
    <d v="2024-01-03T00:00:00"/>
    <s v="2B19G175-00+DR-TW-2B19G135-00-00"/>
  </r>
  <r>
    <m/>
    <x v="269"/>
    <x v="693"/>
    <x v="811"/>
    <x v="0"/>
    <x v="725"/>
    <x v="0"/>
    <d v="2024-01-03T00:00:00"/>
    <s v="2B19G185-00+DR-TW-2B19G135-00-00"/>
  </r>
  <r>
    <m/>
    <x v="269"/>
    <x v="693"/>
    <x v="812"/>
    <x v="0"/>
    <x v="726"/>
    <x v="0"/>
    <d v="2024-01-03T00:00:00"/>
    <s v="2B19G205-00+DR-TW-2B19G135-00-00"/>
  </r>
  <r>
    <m/>
    <x v="269"/>
    <x v="693"/>
    <x v="813"/>
    <x v="0"/>
    <x v="727"/>
    <x v="0"/>
    <d v="2024-01-03T00:00:00"/>
    <s v="2B19G240-00+DR-TW-2B19G135-00-00"/>
  </r>
  <r>
    <m/>
    <x v="269"/>
    <x v="694"/>
    <x v="814"/>
    <x v="0"/>
    <x v="728"/>
    <x v="0"/>
    <d v="2023-12-06T00:00:00"/>
    <s v="2B26-145-00+DR-TW-2B26-145-00-00"/>
  </r>
  <r>
    <m/>
    <x v="269"/>
    <x v="695"/>
    <x v="815"/>
    <x v="0"/>
    <x v="729"/>
    <x v="0"/>
    <d v="2024-01-03T00:00:00"/>
    <s v="2B25-331-00+DR-TW-2B25-331-00-00"/>
  </r>
  <r>
    <m/>
    <x v="269"/>
    <x v="696"/>
    <x v="816"/>
    <x v="0"/>
    <x v="730"/>
    <x v="1"/>
    <m/>
    <s v="2B40-035-00+DR-TW-2B40-030-00-00"/>
  </r>
  <r>
    <m/>
    <x v="269"/>
    <x v="696"/>
    <x v="817"/>
    <x v="0"/>
    <x v="731"/>
    <x v="1"/>
    <m/>
    <s v="2B40-037-00+DR-TW-2B40-030-00-00"/>
  </r>
  <r>
    <m/>
    <x v="269"/>
    <x v="696"/>
    <x v="818"/>
    <x v="0"/>
    <x v="732"/>
    <x v="1"/>
    <d v="2024-01-03T00:00:00"/>
    <s v="2B40-036-00+DR-TW-2B40-030-00-00"/>
  </r>
  <r>
    <m/>
    <x v="269"/>
    <x v="696"/>
    <x v="819"/>
    <x v="0"/>
    <x v="733"/>
    <x v="1"/>
    <d v="2024-01-03T00:00:00"/>
    <s v="2B40-030-00+DR-TW-2B40-030-00-00"/>
  </r>
  <r>
    <m/>
    <x v="269"/>
    <x v="696"/>
    <x v="820"/>
    <x v="0"/>
    <x v="734"/>
    <x v="1"/>
    <d v="2024-01-03T00:00:00"/>
    <s v="2B40-031-00+DR-TW-2B40-030-00-00"/>
  </r>
  <r>
    <m/>
    <x v="269"/>
    <x v="696"/>
    <x v="821"/>
    <x v="0"/>
    <x v="735"/>
    <x v="1"/>
    <d v="2024-01-03T00:00:00"/>
    <s v="2B40-032-00+DR-TW-2B40-030-00-00"/>
  </r>
  <r>
    <m/>
    <x v="269"/>
    <x v="696"/>
    <x v="822"/>
    <x v="0"/>
    <x v="736"/>
    <x v="1"/>
    <d v="2024-01-03T00:00:00"/>
    <s v="2B40-033-00+DR-TW-2B40-030-00-00"/>
  </r>
  <r>
    <m/>
    <x v="269"/>
    <x v="696"/>
    <x v="823"/>
    <x v="0"/>
    <x v="737"/>
    <x v="1"/>
    <d v="2024-01-03T00:00:00"/>
    <s v="2B40-034-00+DR-TW-2B40-030-00-00"/>
  </r>
  <r>
    <m/>
    <x v="269"/>
    <x v="697"/>
    <x v="824"/>
    <x v="0"/>
    <x v="738"/>
    <x v="1"/>
    <d v="2024-01-03T00:00:00"/>
    <s v="2B25-332-00+DR-TW-2B25-332-00-00"/>
  </r>
  <r>
    <m/>
    <x v="269"/>
    <x v="697"/>
    <x v="825"/>
    <x v="0"/>
    <x v="739"/>
    <x v="1"/>
    <d v="2024-01-03T00:00:00"/>
    <s v="2B25-333-00+DR-TW-2B25-332-00-00"/>
  </r>
  <r>
    <m/>
    <x v="270"/>
    <x v="698"/>
    <x v="826"/>
    <x v="0"/>
    <x v="740"/>
    <x v="1"/>
    <m/>
    <s v="2B26-144-00+DR-TW-2B26-144-00-00"/>
  </r>
  <r>
    <m/>
    <x v="269"/>
    <x v="695"/>
    <x v="827"/>
    <x v="0"/>
    <x v="741"/>
    <x v="0"/>
    <d v="2023-12-06T00:00:00"/>
    <s v="2B25-330-00+DR-TW-2B25-331-00-00"/>
  </r>
  <r>
    <m/>
    <x v="271"/>
    <x v="699"/>
    <x v="828"/>
    <x v="0"/>
    <x v="742"/>
    <x v="4"/>
    <m/>
    <s v="2B69A032-00+DR-TW-2B69A032-00-00"/>
  </r>
  <r>
    <m/>
    <x v="271"/>
    <x v="700"/>
    <x v="829"/>
    <x v="0"/>
    <x v="742"/>
    <x v="4"/>
    <m/>
    <s v="2B69A030-00+DR-TW-2B69A030-00-00"/>
  </r>
  <r>
    <m/>
    <x v="272"/>
    <x v="701"/>
    <x v="830"/>
    <x v="0"/>
    <x v="743"/>
    <x v="4"/>
    <m/>
    <s v="2B69M512-00+DR-TW-2B69M512-00-00"/>
  </r>
  <r>
    <m/>
    <x v="272"/>
    <x v="702"/>
    <x v="831"/>
    <x v="0"/>
    <x v="744"/>
    <x v="4"/>
    <m/>
    <s v="2B69M513-00+DR-TW-2B69M513-00-00"/>
  </r>
  <r>
    <m/>
    <x v="273"/>
    <x v="703"/>
    <x v="832"/>
    <x v="0"/>
    <x v="740"/>
    <x v="1"/>
    <m/>
    <s v="2B26-143-00+DR-TW-2B26-143-00-00"/>
  </r>
  <r>
    <m/>
    <x v="272"/>
    <x v="704"/>
    <x v="832"/>
    <x v="1"/>
    <x v="740"/>
    <x v="0"/>
    <d v="2024-01-03T00:00:00"/>
    <s v="2B26-143-00+DR-TW-2B26-143-00-01"/>
  </r>
  <r>
    <m/>
    <x v="272"/>
    <x v="705"/>
    <x v="826"/>
    <x v="1"/>
    <x v="740"/>
    <x v="0"/>
    <d v="2024-01-03T00:00:00"/>
    <s v="2B26-144-00+DR-TW-2B26-144-00-01"/>
  </r>
  <r>
    <m/>
    <x v="274"/>
    <x v="706"/>
    <x v="833"/>
    <x v="0"/>
    <x v="745"/>
    <x v="4"/>
    <m/>
    <s v="2B69M514-00+DR-TW-2B69M514-00-00"/>
  </r>
  <r>
    <m/>
    <x v="275"/>
    <x v="707"/>
    <x v="834"/>
    <x v="0"/>
    <x v="635"/>
    <x v="0"/>
    <m/>
    <s v="2B26-520-01+DR-TW-2B26-520-01-00"/>
  </r>
  <r>
    <m/>
    <x v="276"/>
    <x v="708"/>
    <x v="800"/>
    <x v="1"/>
    <x v="255"/>
    <x v="0"/>
    <d v="2024-02-15T00:00:00"/>
    <s v="2B51-215-02+DR-TW-2B51-215-02-01"/>
  </r>
  <r>
    <m/>
    <x v="276"/>
    <x v="708"/>
    <x v="801"/>
    <x v="1"/>
    <x v="514"/>
    <x v="0"/>
    <d v="2024-02-15T00:00:00"/>
    <s v="2B51-260-02+DR-TW-2B51-215-02-01"/>
  </r>
  <r>
    <m/>
    <x v="276"/>
    <x v="708"/>
    <x v="835"/>
    <x v="1"/>
    <x v="746"/>
    <x v="0"/>
    <d v="2024-01-18T00:00:00"/>
    <s v="2B51-240-00+DR-TW-2B51-215-02-01"/>
  </r>
  <r>
    <m/>
    <x v="276"/>
    <x v="708"/>
    <x v="802"/>
    <x v="1"/>
    <x v="516"/>
    <x v="0"/>
    <d v="2024-11-11T00:00:00"/>
    <s v="2B51-300-01+DR-TW-2B51-215-02-01"/>
  </r>
  <r>
    <m/>
    <x v="276"/>
    <x v="708"/>
    <x v="803"/>
    <x v="1"/>
    <x v="516"/>
    <x v="0"/>
    <d v="2024-01-18T00:00:00"/>
    <s v="2B51-350-01+DR-TW-2B51-215-02-01"/>
  </r>
  <r>
    <m/>
    <x v="276"/>
    <x v="709"/>
    <x v="836"/>
    <x v="0"/>
    <x v="747"/>
    <x v="0"/>
    <d v="2024-01-22T00:00:00"/>
    <s v="2B94-091-00+DR-TW-2B94-091-00-00"/>
  </r>
  <r>
    <m/>
    <x v="277"/>
    <x v="710"/>
    <x v="824"/>
    <x v="1"/>
    <x v="738"/>
    <x v="2"/>
    <m/>
    <s v="2B25-332-00+DR-TW-2B25-332-00-01"/>
  </r>
  <r>
    <m/>
    <x v="269"/>
    <x v="710"/>
    <x v="825"/>
    <x v="1"/>
    <x v="739"/>
    <x v="2"/>
    <m/>
    <s v="2B25-333-00+DR-TW-2B25-332-00-01"/>
  </r>
  <r>
    <m/>
    <x v="278"/>
    <x v="711"/>
    <x v="837"/>
    <x v="0"/>
    <x v="196"/>
    <x v="2"/>
    <m/>
    <s v="2B29-421-02+DR-TW-2B29-421-02-00"/>
  </r>
  <r>
    <m/>
    <x v="279"/>
    <x v="712"/>
    <x v="664"/>
    <x v="6"/>
    <x v="600"/>
    <x v="2"/>
    <m/>
    <s v="2B19F090-00+DR-TW-2B19F090-00-03"/>
  </r>
  <r>
    <m/>
    <x v="279"/>
    <x v="712"/>
    <x v="665"/>
    <x v="6"/>
    <x v="601"/>
    <x v="2"/>
    <m/>
    <s v="2B19F095-00+DR-TW-2B19F090-00-03"/>
  </r>
  <r>
    <m/>
    <x v="279"/>
    <x v="712"/>
    <x v="666"/>
    <x v="6"/>
    <x v="602"/>
    <x v="2"/>
    <m/>
    <s v="2B19F100-00+DR-TW-2B19F090-00-03"/>
  </r>
  <r>
    <m/>
    <x v="279"/>
    <x v="712"/>
    <x v="667"/>
    <x v="6"/>
    <x v="603"/>
    <x v="2"/>
    <m/>
    <s v="2B19F105-00+DR-TW-2B19F090-00-03"/>
  </r>
  <r>
    <m/>
    <x v="279"/>
    <x v="712"/>
    <x v="668"/>
    <x v="6"/>
    <x v="604"/>
    <x v="0"/>
    <d v="2024-01-18T00:00:00"/>
    <s v="2B19F110-00+DR-TW-2B19F090-00-03"/>
  </r>
  <r>
    <m/>
    <x v="279"/>
    <x v="712"/>
    <x v="669"/>
    <x v="6"/>
    <x v="605"/>
    <x v="0"/>
    <d v="2024-01-03T00:00:00"/>
    <s v="2B19F115-00+DR-TW-2B19F090-00-03"/>
  </r>
  <r>
    <m/>
    <x v="279"/>
    <x v="712"/>
    <x v="670"/>
    <x v="6"/>
    <x v="606"/>
    <x v="0"/>
    <d v="2023-09-14T00:00:00"/>
    <s v="2B19F120-00+DR-TW-2B19F090-00-03"/>
  </r>
  <r>
    <m/>
    <x v="279"/>
    <x v="712"/>
    <x v="671"/>
    <x v="6"/>
    <x v="607"/>
    <x v="0"/>
    <d v="2023-09-14T00:00:00"/>
    <s v="2B19F125-00+DR-TW-2B19F090-00-03"/>
  </r>
  <r>
    <m/>
    <x v="279"/>
    <x v="712"/>
    <x v="672"/>
    <x v="6"/>
    <x v="608"/>
    <x v="0"/>
    <d v="2023-09-14T00:00:00"/>
    <s v="2B19F130-00+DR-TW-2B19F090-00-03"/>
  </r>
  <r>
    <m/>
    <x v="279"/>
    <x v="712"/>
    <x v="673"/>
    <x v="6"/>
    <x v="609"/>
    <x v="0"/>
    <d v="2023-05-04T00:00:00"/>
    <s v="2B19F135-00+DR-TW-2B19F090-00-03"/>
  </r>
  <r>
    <m/>
    <x v="279"/>
    <x v="712"/>
    <x v="674"/>
    <x v="6"/>
    <x v="610"/>
    <x v="0"/>
    <d v="2023-05-31T00:00:00"/>
    <s v="2B19F140-00+DR-TW-2B19F090-00-03"/>
  </r>
  <r>
    <m/>
    <x v="279"/>
    <x v="712"/>
    <x v="675"/>
    <x v="6"/>
    <x v="607"/>
    <x v="0"/>
    <d v="2023-09-14T00:00:00"/>
    <s v="2B19F145-00+DR-TW-2B19F090-00-03"/>
  </r>
  <r>
    <m/>
    <x v="279"/>
    <x v="712"/>
    <x v="676"/>
    <x v="6"/>
    <x v="611"/>
    <x v="0"/>
    <d v="2023-09-14T00:00:00"/>
    <s v="2B19F150-00+DR-TW-2B19F090-00-03"/>
  </r>
  <r>
    <m/>
    <x v="279"/>
    <x v="712"/>
    <x v="677"/>
    <x v="6"/>
    <x v="612"/>
    <x v="0"/>
    <d v="2023-09-14T00:00:00"/>
    <s v="2B19F155-00+DR-TW-2B19F090-00-03"/>
  </r>
  <r>
    <m/>
    <x v="279"/>
    <x v="712"/>
    <x v="678"/>
    <x v="6"/>
    <x v="613"/>
    <x v="0"/>
    <d v="2023-08-01T00:00:00"/>
    <s v="2B19F160-00+DR-TW-2B19F090-00-03"/>
  </r>
  <r>
    <m/>
    <x v="279"/>
    <x v="712"/>
    <x v="679"/>
    <x v="6"/>
    <x v="614"/>
    <x v="0"/>
    <d v="2023-09-14T00:00:00"/>
    <s v="2B19F165-00+DR-TW-2B19F090-00-03"/>
  </r>
  <r>
    <m/>
    <x v="279"/>
    <x v="712"/>
    <x v="680"/>
    <x v="6"/>
    <x v="615"/>
    <x v="0"/>
    <d v="2023-11-14T00:00:00"/>
    <s v="2B19F170-00+DR-TW-2B19F090-00-03"/>
  </r>
  <r>
    <m/>
    <x v="279"/>
    <x v="712"/>
    <x v="681"/>
    <x v="6"/>
    <x v="616"/>
    <x v="0"/>
    <d v="2023-11-14T00:00:00"/>
    <s v="2B19F175-00+DR-TW-2B19F090-00-03"/>
  </r>
  <r>
    <m/>
    <x v="279"/>
    <x v="712"/>
    <x v="682"/>
    <x v="6"/>
    <x v="617"/>
    <x v="0"/>
    <d v="2023-05-15T00:00:00"/>
    <s v="2B19F180-00+DR-TW-2B19F090-00-03"/>
  </r>
  <r>
    <m/>
    <x v="279"/>
    <x v="712"/>
    <x v="683"/>
    <x v="6"/>
    <x v="618"/>
    <x v="0"/>
    <d v="2023-09-14T00:00:00"/>
    <s v="2B19F185-00+DR-TW-2B19F090-00-03"/>
  </r>
  <r>
    <m/>
    <x v="279"/>
    <x v="712"/>
    <x v="684"/>
    <x v="6"/>
    <x v="619"/>
    <x v="0"/>
    <d v="2023-09-14T00:00:00"/>
    <s v="2B19F190-00+DR-TW-2B19F090-00-03"/>
  </r>
  <r>
    <m/>
    <x v="279"/>
    <x v="712"/>
    <x v="685"/>
    <x v="6"/>
    <x v="620"/>
    <x v="0"/>
    <d v="2023-05-04T00:00:00"/>
    <s v="2B19F195-00+DR-TW-2B19F090-00-03"/>
  </r>
  <r>
    <m/>
    <x v="279"/>
    <x v="712"/>
    <x v="686"/>
    <x v="6"/>
    <x v="539"/>
    <x v="0"/>
    <d v="2024-03-04T00:00:00"/>
    <s v="2B19F200-00+DR-TW-2B19F090-00-03"/>
  </r>
  <r>
    <m/>
    <x v="279"/>
    <x v="712"/>
    <x v="687"/>
    <x v="6"/>
    <x v="621"/>
    <x v="0"/>
    <d v="2023-11-14T00:00:00"/>
    <s v="2B19F205-00+DR-TW-2B19F090-00-03"/>
  </r>
  <r>
    <m/>
    <x v="279"/>
    <x v="712"/>
    <x v="688"/>
    <x v="6"/>
    <x v="622"/>
    <x v="0"/>
    <d v="2023-11-14T00:00:00"/>
    <s v="2B19F210-00+DR-TW-2B19F090-00-03"/>
  </r>
  <r>
    <m/>
    <x v="279"/>
    <x v="712"/>
    <x v="689"/>
    <x v="6"/>
    <x v="622"/>
    <x v="2"/>
    <m/>
    <s v="2B19F215-00+DR-TW-2B19F090-00-03"/>
  </r>
  <r>
    <m/>
    <x v="279"/>
    <x v="712"/>
    <x v="690"/>
    <x v="6"/>
    <x v="623"/>
    <x v="2"/>
    <m/>
    <s v="2B19F220-00+DR-TW-2B19F090-00-03"/>
  </r>
  <r>
    <m/>
    <x v="279"/>
    <x v="712"/>
    <x v="691"/>
    <x v="6"/>
    <x v="624"/>
    <x v="2"/>
    <m/>
    <s v="2B19F225-00+DR-TW-2B19F090-00-03"/>
  </r>
  <r>
    <m/>
    <x v="279"/>
    <x v="712"/>
    <x v="775"/>
    <x v="6"/>
    <x v="692"/>
    <x v="2"/>
    <m/>
    <s v="2B19F230-00+DR-TW-2B19F090-00-03"/>
  </r>
  <r>
    <m/>
    <x v="279"/>
    <x v="712"/>
    <x v="838"/>
    <x v="6"/>
    <x v="748"/>
    <x v="0"/>
    <d v="2024-01-18T00:00:00"/>
    <s v="2B19F235-00+DR-TW-2B19F090-00-03"/>
  </r>
  <r>
    <m/>
    <x v="279"/>
    <x v="712"/>
    <x v="692"/>
    <x v="6"/>
    <x v="625"/>
    <x v="2"/>
    <m/>
    <s v="2B19F240-00+DR-TW-2B19F090-00-03"/>
  </r>
  <r>
    <m/>
    <x v="279"/>
    <x v="712"/>
    <x v="693"/>
    <x v="6"/>
    <x v="626"/>
    <x v="2"/>
    <m/>
    <s v="2B19F300-00+DR-TW-2B19F090-00-03"/>
  </r>
  <r>
    <m/>
    <x v="274"/>
    <x v="713"/>
    <x v="839"/>
    <x v="0"/>
    <x v="648"/>
    <x v="1"/>
    <m/>
    <s v="2B04-450-02+DR-TW-2B04-450-02-00"/>
  </r>
  <r>
    <m/>
    <x v="274"/>
    <x v="714"/>
    <x v="840"/>
    <x v="0"/>
    <x v="28"/>
    <x v="0"/>
    <d v="2024-01-29T00:00:00"/>
    <s v="2B24-230-02+DR-TW-2B24-230-02-00"/>
  </r>
  <r>
    <m/>
    <x v="274"/>
    <x v="715"/>
    <x v="841"/>
    <x v="0"/>
    <x v="160"/>
    <x v="0"/>
    <d v="2024-02-16T00:00:00"/>
    <s v="2B26-272-07+DR-TW-2B26-272-07-00"/>
  </r>
  <r>
    <m/>
    <x v="280"/>
    <x v="716"/>
    <x v="842"/>
    <x v="0"/>
    <x v="180"/>
    <x v="1"/>
    <m/>
    <s v="2B30-021-05+DR-TW-2B30-021-05-00"/>
  </r>
  <r>
    <m/>
    <x v="281"/>
    <x v="717"/>
    <x v="843"/>
    <x v="0"/>
    <x v="749"/>
    <x v="0"/>
    <d v="2024-04-18T00:00:00"/>
    <s v="2B29-433-02+DR-TW-2B29-433-02-00"/>
  </r>
  <r>
    <m/>
    <x v="281"/>
    <x v="718"/>
    <x v="844"/>
    <x v="0"/>
    <x v="744"/>
    <x v="0"/>
    <d v="2024-04-09T00:00:00"/>
    <s v="2B26-146-00+DR-TW-2B26-146-00-00"/>
  </r>
  <r>
    <m/>
    <x v="282"/>
    <x v="719"/>
    <x v="845"/>
    <x v="2"/>
    <x v="750"/>
    <x v="0"/>
    <d v="2024-01-29T00:00:00"/>
    <s v="2B27-301-00+DR-TW-2B27-301-00-02"/>
  </r>
  <r>
    <m/>
    <x v="282"/>
    <x v="719"/>
    <x v="846"/>
    <x v="2"/>
    <x v="751"/>
    <x v="0"/>
    <d v="2024-01-29T00:00:00"/>
    <s v="2B27-302-00+DR-TW-2B27-301-00-02"/>
  </r>
  <r>
    <m/>
    <x v="152"/>
    <x v="720"/>
    <x v="847"/>
    <x v="0"/>
    <x v="72"/>
    <x v="0"/>
    <d v="2024-03-09T00:00:00"/>
    <s v="2B26-218-05+DR-TW-2B26-218-05-00"/>
  </r>
  <r>
    <m/>
    <x v="152"/>
    <x v="721"/>
    <x v="848"/>
    <x v="0"/>
    <x v="752"/>
    <x v="0"/>
    <d v="2024-02-09T00:00:00"/>
    <s v="2B26-231-05+DR-TW-2B26-231-05-00"/>
  </r>
  <r>
    <m/>
    <x v="152"/>
    <x v="722"/>
    <x v="849"/>
    <x v="0"/>
    <x v="118"/>
    <x v="0"/>
    <d v="2024-02-09T00:00:00"/>
    <s v="2B26-244-04+DR-TW-2B26-244-04-00"/>
  </r>
  <r>
    <m/>
    <x v="32"/>
    <x v="32"/>
    <x v="850"/>
    <x v="5"/>
    <x v="753"/>
    <x v="0"/>
    <d v="2024-01-29T00:00:00"/>
    <s v="2B91-089-02+DR-TW-2B25-022-05-08"/>
  </r>
  <r>
    <m/>
    <x v="283"/>
    <x v="723"/>
    <x v="851"/>
    <x v="0"/>
    <x v="105"/>
    <x v="0"/>
    <d v="2024-02-17T00:00:00"/>
    <s v="2B26-280-05+DR-TW-2B26-280-05-00"/>
  </r>
  <r>
    <m/>
    <x v="284"/>
    <x v="724"/>
    <x v="852"/>
    <x v="0"/>
    <x v="754"/>
    <x v="4"/>
    <m/>
    <s v="2B69A037-00+DR-TW-2B69A037-00-00"/>
  </r>
  <r>
    <m/>
    <x v="284"/>
    <x v="725"/>
    <x v="853"/>
    <x v="0"/>
    <x v="755"/>
    <x v="4"/>
    <m/>
    <s v="2B69A038-00+DR-TW-2B69A038-00-00"/>
  </r>
  <r>
    <m/>
    <x v="285"/>
    <x v="726"/>
    <x v="854"/>
    <x v="0"/>
    <x v="654"/>
    <x v="2"/>
    <m/>
    <s v="2B26-193-01+DR-TW-2B26-193-01-00"/>
  </r>
  <r>
    <m/>
    <x v="284"/>
    <x v="727"/>
    <x v="855"/>
    <x v="0"/>
    <x v="756"/>
    <x v="4"/>
    <m/>
    <s v="2B69A044-00+DR-TW-2B69A044-00-00"/>
  </r>
  <r>
    <m/>
    <x v="284"/>
    <x v="728"/>
    <x v="856"/>
    <x v="0"/>
    <x v="757"/>
    <x v="4"/>
    <m/>
    <s v="2B69A045-00+DR-TW-2B69A045-00-00"/>
  </r>
  <r>
    <m/>
    <x v="284"/>
    <x v="729"/>
    <x v="857"/>
    <x v="0"/>
    <x v="758"/>
    <x v="3"/>
    <m/>
    <s v="2B69A049-00+DR-TW-2B69A049-00-00"/>
  </r>
  <r>
    <m/>
    <x v="284"/>
    <x v="729"/>
    <x v="858"/>
    <x v="0"/>
    <x v="759"/>
    <x v="4"/>
    <m/>
    <s v="2B69A046-00+DR-TW-2B69A049-00-00"/>
  </r>
  <r>
    <m/>
    <x v="284"/>
    <x v="729"/>
    <x v="859"/>
    <x v="0"/>
    <x v="760"/>
    <x v="4"/>
    <m/>
    <s v="2B69A047-00+DR-TW-2B69A049-00-00"/>
  </r>
  <r>
    <m/>
    <x v="284"/>
    <x v="729"/>
    <x v="860"/>
    <x v="0"/>
    <x v="761"/>
    <x v="4"/>
    <m/>
    <s v="2B69A048-00+DR-TW-2B69A049-00-00"/>
  </r>
  <r>
    <m/>
    <x v="284"/>
    <x v="729"/>
    <x v="861"/>
    <x v="0"/>
    <x v="762"/>
    <x v="4"/>
    <m/>
    <s v="2B69A050-00+DR-TW-2B69A049-00-00"/>
  </r>
  <r>
    <m/>
    <x v="284"/>
    <x v="729"/>
    <x v="862"/>
    <x v="0"/>
    <x v="763"/>
    <x v="4"/>
    <m/>
    <s v="2B69A051-00+DR-TW-2B69A049-00-00"/>
  </r>
  <r>
    <m/>
    <x v="284"/>
    <x v="729"/>
    <x v="863"/>
    <x v="0"/>
    <x v="764"/>
    <x v="4"/>
    <m/>
    <s v="2B69A052-00+DR-TW-2B69A049-00-00"/>
  </r>
  <r>
    <m/>
    <x v="286"/>
    <x v="730"/>
    <x v="864"/>
    <x v="0"/>
    <x v="329"/>
    <x v="1"/>
    <m/>
    <s v="2B04-462-01+DR-TW-2B04-462-01-00"/>
  </r>
  <r>
    <m/>
    <x v="286"/>
    <x v="731"/>
    <x v="865"/>
    <x v="0"/>
    <x v="136"/>
    <x v="0"/>
    <d v="2024-05-22T00:00:00"/>
    <s v="2B26-064-04+DR-TW-2B26-064-04-00"/>
  </r>
  <r>
    <m/>
    <x v="286"/>
    <x v="732"/>
    <x v="866"/>
    <x v="0"/>
    <x v="412"/>
    <x v="2"/>
    <m/>
    <s v="2B26-081-02+DR-TW-2B26-081-02-00"/>
  </r>
  <r>
    <m/>
    <x v="286"/>
    <x v="733"/>
    <x v="867"/>
    <x v="0"/>
    <x v="363"/>
    <x v="2"/>
    <m/>
    <s v="2B26-451-01+DR-TW-2B26-451-01-00"/>
  </r>
  <r>
    <m/>
    <x v="286"/>
    <x v="734"/>
    <x v="868"/>
    <x v="0"/>
    <x v="404"/>
    <x v="0"/>
    <d v="2024-02-17T00:00:00"/>
    <s v="2B26-500-01+DR-TW-2B26-500-01-00"/>
  </r>
  <r>
    <m/>
    <x v="286"/>
    <x v="735"/>
    <x v="869"/>
    <x v="0"/>
    <x v="636"/>
    <x v="0"/>
    <d v="2024-06-10T00:00:00"/>
    <s v="2B26-521-01+DR-TW-2B26-521-01-00"/>
  </r>
  <r>
    <m/>
    <x v="286"/>
    <x v="736"/>
    <x v="870"/>
    <x v="0"/>
    <x v="653"/>
    <x v="0"/>
    <d v="2024-02-17T00:00:00"/>
    <s v="2B26-581-01+DR-TW-2B26-581-01-00"/>
  </r>
  <r>
    <m/>
    <x v="287"/>
    <x v="737"/>
    <x v="871"/>
    <x v="0"/>
    <x v="765"/>
    <x v="0"/>
    <d v="2024-03-01T00:00:00"/>
    <s v="2B91-195-00+DR-TW-2B91-195-00-00"/>
  </r>
  <r>
    <m/>
    <x v="288"/>
    <x v="738"/>
    <x v="839"/>
    <x v="1"/>
    <x v="648"/>
    <x v="1"/>
    <m/>
    <s v="2B04-450-02+DR-TW-2B04-450-02-01"/>
  </r>
  <r>
    <m/>
    <x v="288"/>
    <x v="739"/>
    <x v="872"/>
    <x v="1"/>
    <x v="660"/>
    <x v="1"/>
    <m/>
    <s v="2B04-425-02+DR-TW-2B04-425-02-01"/>
  </r>
  <r>
    <m/>
    <x v="288"/>
    <x v="740"/>
    <x v="873"/>
    <x v="0"/>
    <x v="766"/>
    <x v="3"/>
    <m/>
    <s v="2B25-334-00+DR-TW-2B25-334-00-00"/>
  </r>
  <r>
    <m/>
    <x v="288"/>
    <x v="741"/>
    <x v="874"/>
    <x v="0"/>
    <x v="274"/>
    <x v="0"/>
    <d v="2024-07-06T00:00:00"/>
    <s v="2B26-043-09+DR-TW-2B26-043-09-00"/>
  </r>
  <r>
    <m/>
    <x v="288"/>
    <x v="742"/>
    <x v="875"/>
    <x v="0"/>
    <x v="627"/>
    <x v="0"/>
    <d v="2024-02-15T00:00:00"/>
    <s v="2B26-085-01+DR-TW-2B26-085-01-00"/>
  </r>
  <r>
    <m/>
    <x v="288"/>
    <x v="743"/>
    <x v="876"/>
    <x v="0"/>
    <x v="767"/>
    <x v="0"/>
    <d v="2024-04-05T00:00:00"/>
    <s v="2B26-147-00+DR-TW-2B26-147-00-00"/>
  </r>
  <r>
    <m/>
    <x v="288"/>
    <x v="744"/>
    <x v="877"/>
    <x v="0"/>
    <x v="112"/>
    <x v="0"/>
    <m/>
    <s v="2B26-215-08+DR-TW-2B26-215-08-00"/>
  </r>
  <r>
    <m/>
    <x v="288"/>
    <x v="745"/>
    <x v="878"/>
    <x v="0"/>
    <x v="170"/>
    <x v="0"/>
    <d v="2024-04-25T00:00:00"/>
    <s v="2B26-219-04+DR-TW-2B26-219-04-00"/>
  </r>
  <r>
    <m/>
    <x v="288"/>
    <x v="746"/>
    <x v="879"/>
    <x v="0"/>
    <x v="319"/>
    <x v="0"/>
    <d v="2024-02-15T00:00:00"/>
    <s v="2B26-233-01+DR-TW-2B26-233-01-00"/>
  </r>
  <r>
    <m/>
    <x v="288"/>
    <x v="747"/>
    <x v="880"/>
    <x v="0"/>
    <x v="116"/>
    <x v="0"/>
    <d v="2024-02-15T00:00:00"/>
    <s v="2B26-235-04+DR-TW-2B26-235-04-00"/>
  </r>
  <r>
    <m/>
    <x v="288"/>
    <x v="748"/>
    <x v="881"/>
    <x v="0"/>
    <x v="234"/>
    <x v="0"/>
    <d v="2024-02-19T00:00:00"/>
    <s v="2B26-282-01+DR-TW-2B26-282-01-00"/>
  </r>
  <r>
    <m/>
    <x v="288"/>
    <x v="749"/>
    <x v="882"/>
    <x v="0"/>
    <x v="230"/>
    <x v="0"/>
    <d v="2024-02-17T00:00:00"/>
    <s v="2B26-292-01+DR-TW-2B26-292-01-00"/>
  </r>
  <r>
    <m/>
    <x v="288"/>
    <x v="750"/>
    <x v="883"/>
    <x v="0"/>
    <x v="232"/>
    <x v="0"/>
    <d v="2024-02-16T00:00:00"/>
    <s v="2B26-294-01+DR-TW-2B26-294-01-00"/>
  </r>
  <r>
    <m/>
    <x v="288"/>
    <x v="751"/>
    <x v="884"/>
    <x v="0"/>
    <x v="423"/>
    <x v="0"/>
    <d v="2024-02-20T00:00:00"/>
    <s v="2B29-431-02+DR-TW-2B29-431-02-00"/>
  </r>
  <r>
    <m/>
    <x v="289"/>
    <x v="693"/>
    <x v="804"/>
    <x v="0"/>
    <x v="718"/>
    <x v="0"/>
    <d v="2024-01-18T00:00:00"/>
    <s v="2B19G135-00+DR-TW-2B19G135-00-00"/>
  </r>
  <r>
    <m/>
    <x v="289"/>
    <x v="752"/>
    <x v="805"/>
    <x v="1"/>
    <x v="719"/>
    <x v="2"/>
    <m/>
    <s v="2B19G150-00+DR-TW-2B19G135-00-01"/>
  </r>
  <r>
    <m/>
    <x v="289"/>
    <x v="752"/>
    <x v="806"/>
    <x v="1"/>
    <x v="720"/>
    <x v="2"/>
    <m/>
    <s v="2B19G155-00+DR-TW-2B19G135-00-01"/>
  </r>
  <r>
    <m/>
    <x v="289"/>
    <x v="752"/>
    <x v="807"/>
    <x v="1"/>
    <x v="721"/>
    <x v="2"/>
    <m/>
    <s v="2B19G160-00+DR-TW-2B19G135-00-01"/>
  </r>
  <r>
    <m/>
    <x v="289"/>
    <x v="752"/>
    <x v="808"/>
    <x v="1"/>
    <x v="722"/>
    <x v="2"/>
    <m/>
    <s v="2B19G165-00+DR-TW-2B19G135-00-01"/>
  </r>
  <r>
    <m/>
    <x v="289"/>
    <x v="752"/>
    <x v="809"/>
    <x v="1"/>
    <x v="723"/>
    <x v="2"/>
    <m/>
    <s v="2B19G170-00+DR-TW-2B19G135-00-01"/>
  </r>
  <r>
    <m/>
    <x v="289"/>
    <x v="752"/>
    <x v="810"/>
    <x v="1"/>
    <x v="724"/>
    <x v="2"/>
    <m/>
    <s v="2B19G175-00+DR-TW-2B19G135-00-01"/>
  </r>
  <r>
    <m/>
    <x v="289"/>
    <x v="752"/>
    <x v="811"/>
    <x v="1"/>
    <x v="725"/>
    <x v="2"/>
    <m/>
    <s v="2B19G185-00+DR-TW-2B19G135-00-01"/>
  </r>
  <r>
    <m/>
    <x v="289"/>
    <x v="752"/>
    <x v="812"/>
    <x v="1"/>
    <x v="726"/>
    <x v="2"/>
    <m/>
    <s v="2B19G205-00+DR-TW-2B19G135-00-01"/>
  </r>
  <r>
    <m/>
    <x v="289"/>
    <x v="752"/>
    <x v="813"/>
    <x v="1"/>
    <x v="727"/>
    <x v="2"/>
    <m/>
    <s v="2B19G240-00+DR-TW-2B19G135-00-01"/>
  </r>
  <r>
    <m/>
    <x v="289"/>
    <x v="752"/>
    <x v="885"/>
    <x v="1"/>
    <x v="768"/>
    <x v="3"/>
    <m/>
    <s v="2B19G145-00+DR-TW-2B19G135-00-01"/>
  </r>
  <r>
    <m/>
    <x v="289"/>
    <x v="752"/>
    <x v="886"/>
    <x v="1"/>
    <x v="769"/>
    <x v="3"/>
    <m/>
    <s v="2B19G200-00+DR-TW-2B19G135-00-01"/>
  </r>
  <r>
    <m/>
    <x v="289"/>
    <x v="753"/>
    <x v="816"/>
    <x v="1"/>
    <x v="730"/>
    <x v="1"/>
    <m/>
    <s v="2B40-035-00+DR-TW-2B40-030-00-01"/>
  </r>
  <r>
    <m/>
    <x v="289"/>
    <x v="753"/>
    <x v="817"/>
    <x v="1"/>
    <x v="731"/>
    <x v="1"/>
    <m/>
    <s v="2B40-037-00+DR-TW-2B40-030-00-01"/>
  </r>
  <r>
    <m/>
    <x v="289"/>
    <x v="753"/>
    <x v="818"/>
    <x v="1"/>
    <x v="732"/>
    <x v="1"/>
    <m/>
    <s v="2B40-036-00+DR-TW-2B40-030-00-01"/>
  </r>
  <r>
    <m/>
    <x v="289"/>
    <x v="753"/>
    <x v="819"/>
    <x v="1"/>
    <x v="733"/>
    <x v="1"/>
    <m/>
    <s v="2B40-030-00+DR-TW-2B40-030-00-01"/>
  </r>
  <r>
    <m/>
    <x v="289"/>
    <x v="753"/>
    <x v="820"/>
    <x v="1"/>
    <x v="734"/>
    <x v="1"/>
    <m/>
    <s v="2B40-031-00+DR-TW-2B40-030-00-01"/>
  </r>
  <r>
    <m/>
    <x v="289"/>
    <x v="753"/>
    <x v="821"/>
    <x v="1"/>
    <x v="735"/>
    <x v="1"/>
    <m/>
    <s v="2B40-032-00+DR-TW-2B40-030-00-01"/>
  </r>
  <r>
    <m/>
    <x v="289"/>
    <x v="753"/>
    <x v="822"/>
    <x v="1"/>
    <x v="736"/>
    <x v="1"/>
    <m/>
    <s v="2B40-033-00+DR-TW-2B40-030-00-01"/>
  </r>
  <r>
    <m/>
    <x v="289"/>
    <x v="753"/>
    <x v="823"/>
    <x v="1"/>
    <x v="737"/>
    <x v="1"/>
    <m/>
    <s v="2B40-034-00+DR-TW-2B40-030-00-01"/>
  </r>
  <r>
    <m/>
    <x v="289"/>
    <x v="753"/>
    <x v="887"/>
    <x v="1"/>
    <x v="770"/>
    <x v="1"/>
    <m/>
    <s v="2B40-039-00+DR-TW-2B40-030-00-01"/>
  </r>
  <r>
    <m/>
    <x v="289"/>
    <x v="754"/>
    <x v="888"/>
    <x v="0"/>
    <x v="465"/>
    <x v="0"/>
    <d v="2024-02-28T00:00:00"/>
    <s v="2B26-295-02+DR-TW-2B26-295-02-00"/>
  </r>
  <r>
    <m/>
    <x v="289"/>
    <x v="754"/>
    <x v="889"/>
    <x v="0"/>
    <x v="465"/>
    <x v="0"/>
    <d v="2024-02-28T00:00:00"/>
    <s v="2B26-296-02+DR-TW-2B26-295-02-00"/>
  </r>
  <r>
    <m/>
    <x v="289"/>
    <x v="755"/>
    <x v="890"/>
    <x v="0"/>
    <x v="413"/>
    <x v="0"/>
    <d v="2024-02-27T00:00:00"/>
    <s v="2B26-082-02+DR-TW-2B26-082-02-00"/>
  </r>
  <r>
    <m/>
    <x v="290"/>
    <x v="756"/>
    <x v="891"/>
    <x v="0"/>
    <x v="771"/>
    <x v="0"/>
    <d v="2024-02-23T00:00:00"/>
    <s v="2B30-029-02+DR-TW-2B30-029-02-00"/>
  </r>
  <r>
    <m/>
    <x v="291"/>
    <x v="757"/>
    <x v="892"/>
    <x v="1"/>
    <x v="772"/>
    <x v="1"/>
    <d v="2024-03-09T00:00:00"/>
    <s v="2B24F125-00+DR-TW-2B24F135-00-01"/>
  </r>
  <r>
    <m/>
    <x v="291"/>
    <x v="757"/>
    <x v="893"/>
    <x v="1"/>
    <x v="773"/>
    <x v="1"/>
    <m/>
    <s v="2B24F120-00+DR-TW-2B24F135-00-01"/>
  </r>
  <r>
    <m/>
    <x v="291"/>
    <x v="757"/>
    <x v="894"/>
    <x v="1"/>
    <x v="774"/>
    <x v="1"/>
    <m/>
    <s v="2B24F115-00+DR-TW-2B24F135-00-01"/>
  </r>
  <r>
    <m/>
    <x v="291"/>
    <x v="757"/>
    <x v="895"/>
    <x v="1"/>
    <x v="775"/>
    <x v="1"/>
    <m/>
    <s v="2B24F135-00+DR-TW-2B24F135-00-01"/>
  </r>
  <r>
    <m/>
    <x v="291"/>
    <x v="757"/>
    <x v="896"/>
    <x v="1"/>
    <x v="776"/>
    <x v="1"/>
    <m/>
    <s v="2B24F140-00+DR-TW-2B24F135-00-01"/>
  </r>
  <r>
    <m/>
    <x v="291"/>
    <x v="757"/>
    <x v="897"/>
    <x v="1"/>
    <x v="777"/>
    <x v="1"/>
    <m/>
    <s v="2B24F145-00+DR-TW-2B24F135-00-01"/>
  </r>
  <r>
    <m/>
    <x v="291"/>
    <x v="757"/>
    <x v="898"/>
    <x v="1"/>
    <x v="778"/>
    <x v="1"/>
    <m/>
    <s v="2B24F150-00+DR-TW-2B24F135-00-01"/>
  </r>
  <r>
    <m/>
    <x v="291"/>
    <x v="758"/>
    <x v="899"/>
    <x v="0"/>
    <x v="779"/>
    <x v="0"/>
    <d v="2024-03-04T00:00:00"/>
    <s v="2B27-070-00+DR-TW-2B27-070-00-00"/>
  </r>
  <r>
    <m/>
    <x v="291"/>
    <x v="759"/>
    <x v="900"/>
    <x v="0"/>
    <x v="757"/>
    <x v="1"/>
    <d v="2024-03-09T00:00:00"/>
    <s v="2B27-071-00+DR-TW-2B27-071-00-00"/>
  </r>
  <r>
    <m/>
    <x v="291"/>
    <x v="760"/>
    <x v="901"/>
    <x v="0"/>
    <x v="780"/>
    <x v="0"/>
    <d v="2024-03-12T00:00:00"/>
    <s v="2B29-461-00+DR-TW-2B29-461-00-00"/>
  </r>
  <r>
    <m/>
    <x v="291"/>
    <x v="761"/>
    <x v="902"/>
    <x v="0"/>
    <x v="781"/>
    <x v="0"/>
    <d v="2024-03-12T00:00:00"/>
    <s v="2B29-462-00+DR-TW-2B29-462-00-00"/>
  </r>
  <r>
    <m/>
    <x v="291"/>
    <x v="762"/>
    <x v="903"/>
    <x v="0"/>
    <x v="782"/>
    <x v="3"/>
    <m/>
    <s v="2B26-480-00+DR-TW-2B26-480-00-00"/>
  </r>
  <r>
    <m/>
    <x v="291"/>
    <x v="763"/>
    <x v="904"/>
    <x v="0"/>
    <x v="783"/>
    <x v="3"/>
    <m/>
    <s v="2B29-460-00+DR-TW-2B29-460-00-00"/>
  </r>
  <r>
    <m/>
    <x v="291"/>
    <x v="764"/>
    <x v="905"/>
    <x v="0"/>
    <x v="784"/>
    <x v="3"/>
    <m/>
    <s v="2B26-148-00+DR-TW-2B26-148-00-00"/>
  </r>
  <r>
    <m/>
    <x v="292"/>
    <x v="765"/>
    <x v="906"/>
    <x v="0"/>
    <x v="113"/>
    <x v="1"/>
    <d v="2024-03-19T00:00:00"/>
    <s v="2B26-228-02+DR-TW-2B26-228-02-00"/>
  </r>
  <r>
    <m/>
    <x v="264"/>
    <x v="766"/>
    <x v="907"/>
    <x v="0"/>
    <x v="114"/>
    <x v="1"/>
    <d v="2024-07-11T00:00:00"/>
    <s v="2B26-229-03+DR-TW-2B26-229-03-00"/>
  </r>
  <r>
    <m/>
    <x v="293"/>
    <x v="767"/>
    <x v="908"/>
    <x v="0"/>
    <x v="785"/>
    <x v="0"/>
    <m/>
    <s v="2B26-258-00+DR-TW-2B26-258-00-00"/>
  </r>
  <r>
    <m/>
    <x v="293"/>
    <x v="768"/>
    <x v="909"/>
    <x v="0"/>
    <x v="786"/>
    <x v="3"/>
    <m/>
    <s v="2B26-263-00+DR-TW-2B26-263-00-00"/>
  </r>
  <r>
    <m/>
    <x v="293"/>
    <x v="769"/>
    <x v="910"/>
    <x v="0"/>
    <x v="787"/>
    <x v="3"/>
    <m/>
    <s v="2B26-264-00+DR-TW-2B26-264-00-00"/>
  </r>
  <r>
    <m/>
    <x v="293"/>
    <x v="770"/>
    <x v="911"/>
    <x v="0"/>
    <x v="788"/>
    <x v="0"/>
    <d v="2024-04-05T00:00:00"/>
    <s v="2B26-351-00+DR-TW-2B26-351-00-00"/>
  </r>
  <r>
    <m/>
    <x v="293"/>
    <x v="771"/>
    <x v="912"/>
    <x v="0"/>
    <x v="545"/>
    <x v="2"/>
    <m/>
    <s v="2B26-430-04+DR-TW-2B26-430-04-00"/>
  </r>
  <r>
    <m/>
    <x v="293"/>
    <x v="772"/>
    <x v="913"/>
    <x v="0"/>
    <x v="545"/>
    <x v="2"/>
    <m/>
    <s v="2B26-431-04+DR-TW-2B26-431-04-00"/>
  </r>
  <r>
    <m/>
    <x v="294"/>
    <x v="773"/>
    <x v="914"/>
    <x v="0"/>
    <x v="547"/>
    <x v="2"/>
    <m/>
    <s v="2B26-490-03+DR-TW-2B26-490-03-00"/>
  </r>
  <r>
    <m/>
    <x v="294"/>
    <x v="774"/>
    <x v="915"/>
    <x v="0"/>
    <x v="547"/>
    <x v="2"/>
    <m/>
    <s v="2B26-491-03+DR-TW-2B26-491-03-00"/>
  </r>
  <r>
    <m/>
    <x v="293"/>
    <x v="775"/>
    <x v="916"/>
    <x v="0"/>
    <x v="789"/>
    <x v="4"/>
    <m/>
    <s v="2B69M472-00+DR-TW-2B69M472-00-00"/>
  </r>
  <r>
    <m/>
    <x v="295"/>
    <x v="776"/>
    <x v="917"/>
    <x v="2"/>
    <x v="790"/>
    <x v="0"/>
    <d v="2024-02-27T00:00:00"/>
    <s v="2B25-096-01+DR-TW-2B25-096-01-02"/>
  </r>
  <r>
    <m/>
    <x v="295"/>
    <x v="777"/>
    <x v="918"/>
    <x v="0"/>
    <x v="791"/>
    <x v="0"/>
    <d v="2024-02-27T00:00:00"/>
    <s v="2B25-150-03+DR-TW-2B25-150-03-00"/>
  </r>
  <r>
    <m/>
    <x v="295"/>
    <x v="778"/>
    <x v="919"/>
    <x v="1"/>
    <x v="792"/>
    <x v="0"/>
    <d v="2024-02-27T00:00:00"/>
    <s v="2B25-155-03+DR-TW-2B25-155-03-01"/>
  </r>
  <r>
    <m/>
    <x v="295"/>
    <x v="779"/>
    <x v="920"/>
    <x v="0"/>
    <x v="793"/>
    <x v="0"/>
    <d v="2024-02-27T00:00:00"/>
    <s v="2B25-237-00+DR-TW-2B25-237-00-00"/>
  </r>
  <r>
    <m/>
    <x v="296"/>
    <x v="780"/>
    <x v="921"/>
    <x v="9"/>
    <x v="794"/>
    <x v="0"/>
    <d v="2024-02-29T00:00:00"/>
    <s v="2B25-063-03+DR-TW-2B25-063-03-04"/>
  </r>
  <r>
    <m/>
    <x v="297"/>
    <x v="781"/>
    <x v="922"/>
    <x v="0"/>
    <x v="795"/>
    <x v="0"/>
    <d v="2024-03-01T00:00:00"/>
    <s v="2B25-227-03+DR-TW-2B25-229-04-00"/>
  </r>
  <r>
    <m/>
    <x v="297"/>
    <x v="782"/>
    <x v="923"/>
    <x v="0"/>
    <x v="796"/>
    <x v="4"/>
    <m/>
    <s v="2B69M536-00+DR-TW-2B69M536-00-00"/>
  </r>
  <r>
    <m/>
    <x v="297"/>
    <x v="783"/>
    <x v="924"/>
    <x v="0"/>
    <x v="797"/>
    <x v="0"/>
    <d v="2024-03-11T00:00:00"/>
    <s v="2B25-135-02+DR-TW-2B25-135-02-00"/>
  </r>
  <r>
    <m/>
    <x v="298"/>
    <x v="784"/>
    <x v="925"/>
    <x v="0"/>
    <x v="679"/>
    <x v="1"/>
    <d v="2024-04-18T00:00:00"/>
    <s v="2B25-010-0C+DR-TW-2B25-010-0C-00"/>
  </r>
  <r>
    <m/>
    <x v="298"/>
    <x v="784"/>
    <x v="926"/>
    <x v="0"/>
    <x v="798"/>
    <x v="1"/>
    <d v="2024-07-05T00:00:00"/>
    <s v="2B25-023-0A+DR-TW-2B25-010-0C-00"/>
  </r>
  <r>
    <m/>
    <x v="298"/>
    <x v="785"/>
    <x v="927"/>
    <x v="0"/>
    <x v="799"/>
    <x v="0"/>
    <d v="2024-04-23T00:00:00"/>
    <s v="2B91-108-02+DR-TW-2B91-108-02-00"/>
  </r>
  <r>
    <m/>
    <x v="299"/>
    <x v="786"/>
    <x v="928"/>
    <x v="0"/>
    <x v="353"/>
    <x v="0"/>
    <d v="2024-03-19T00:00:00"/>
    <s v="2B26-285-02+DR-TW-2B26-285-02-00"/>
  </r>
  <r>
    <m/>
    <x v="299"/>
    <x v="787"/>
    <x v="929"/>
    <x v="0"/>
    <x v="115"/>
    <x v="0"/>
    <d v="2024-03-19T00:00:00"/>
    <s v="2B26-234-05+DR-TW-2B26-234-05-00"/>
  </r>
  <r>
    <m/>
    <x v="299"/>
    <x v="788"/>
    <x v="930"/>
    <x v="0"/>
    <x v="71"/>
    <x v="2"/>
    <m/>
    <s v="2B26-207-04+DR-TW-2B26-207-04-00"/>
  </r>
  <r>
    <m/>
    <x v="299"/>
    <x v="789"/>
    <x v="931"/>
    <x v="0"/>
    <x v="334"/>
    <x v="2"/>
    <m/>
    <s v="2B29-401-03+DR-TW-2B29-401-03-00"/>
  </r>
  <r>
    <m/>
    <x v="299"/>
    <x v="790"/>
    <x v="932"/>
    <x v="0"/>
    <x v="10"/>
    <x v="0"/>
    <d v="2024-06-01T00:00:00"/>
    <s v="2B29-429-01+DR-TW-2B29-429-01-00"/>
  </r>
  <r>
    <m/>
    <x v="299"/>
    <x v="791"/>
    <x v="933"/>
    <x v="0"/>
    <x v="30"/>
    <x v="0"/>
    <d v="2024-07-05T00:00:00"/>
    <s v="2B29-428-04+DR-TW-2B29-428-04-00"/>
  </r>
  <r>
    <m/>
    <x v="299"/>
    <x v="792"/>
    <x v="934"/>
    <x v="0"/>
    <x v="338"/>
    <x v="0"/>
    <d v="2024-08-01T00:00:00"/>
    <s v="2B29-402-03+DR-TW-2B29-402-03-00"/>
  </r>
  <r>
    <m/>
    <x v="300"/>
    <x v="793"/>
    <x v="741"/>
    <x v="1"/>
    <x v="656"/>
    <x v="4"/>
    <m/>
    <s v="2B29-417-00+DR-TW-2B29-417-00-01"/>
  </r>
  <r>
    <m/>
    <x v="264"/>
    <x v="794"/>
    <x v="900"/>
    <x v="1"/>
    <x v="757"/>
    <x v="0"/>
    <d v="2024-04-05T00:00:00"/>
    <s v="2B27-071-00+DR-TW-2B27-071-00-01"/>
  </r>
  <r>
    <m/>
    <x v="300"/>
    <x v="795"/>
    <x v="935"/>
    <x v="0"/>
    <x v="135"/>
    <x v="0"/>
    <d v="2024-03-20T00:00:00"/>
    <s v="2B26-123-08+DR-TW-2B26-123-08-00"/>
  </r>
  <r>
    <m/>
    <x v="300"/>
    <x v="419"/>
    <x v="936"/>
    <x v="6"/>
    <x v="800"/>
    <x v="1"/>
    <m/>
    <s v="2B19E095-00+DR-TW-2B19E100-00-03"/>
  </r>
  <r>
    <m/>
    <x v="300"/>
    <x v="419"/>
    <x v="937"/>
    <x v="6"/>
    <x v="801"/>
    <x v="1"/>
    <d v="2024-03-20T00:00:00"/>
    <s v="2B19E125-00+DR-TW-2B19E100-00-03"/>
  </r>
  <r>
    <m/>
    <x v="300"/>
    <x v="419"/>
    <x v="938"/>
    <x v="6"/>
    <x v="802"/>
    <x v="1"/>
    <m/>
    <s v="2B19E130-00+DR-TW-2B19E100-00-03"/>
  </r>
  <r>
    <m/>
    <x v="301"/>
    <x v="796"/>
    <x v="892"/>
    <x v="2"/>
    <x v="772"/>
    <x v="0"/>
    <d v="2024-04-05T00:00:00"/>
    <s v="2B24F125-00+DR-TW-2B24F135-00-02"/>
  </r>
  <r>
    <m/>
    <x v="301"/>
    <x v="796"/>
    <x v="893"/>
    <x v="2"/>
    <x v="773"/>
    <x v="2"/>
    <m/>
    <s v="2B24F120-00+DR-TW-2B24F135-00-02"/>
  </r>
  <r>
    <m/>
    <x v="301"/>
    <x v="796"/>
    <x v="894"/>
    <x v="2"/>
    <x v="774"/>
    <x v="2"/>
    <m/>
    <s v="2B24F115-00+DR-TW-2B24F135-00-02"/>
  </r>
  <r>
    <m/>
    <x v="301"/>
    <x v="796"/>
    <x v="895"/>
    <x v="2"/>
    <x v="775"/>
    <x v="2"/>
    <m/>
    <s v="2B24F135-00+DR-TW-2B24F135-00-02"/>
  </r>
  <r>
    <m/>
    <x v="301"/>
    <x v="796"/>
    <x v="896"/>
    <x v="2"/>
    <x v="776"/>
    <x v="2"/>
    <m/>
    <s v="2B24F140-00+DR-TW-2B24F135-00-02"/>
  </r>
  <r>
    <m/>
    <x v="301"/>
    <x v="796"/>
    <x v="897"/>
    <x v="2"/>
    <x v="777"/>
    <x v="2"/>
    <m/>
    <s v="2B24F145-00+DR-TW-2B24F135-00-02"/>
  </r>
  <r>
    <m/>
    <x v="301"/>
    <x v="796"/>
    <x v="898"/>
    <x v="2"/>
    <x v="778"/>
    <x v="2"/>
    <m/>
    <s v="2B24F150-00+DR-TW-2B24F135-00-02"/>
  </r>
  <r>
    <m/>
    <x v="301"/>
    <x v="20"/>
    <x v="939"/>
    <x v="4"/>
    <x v="803"/>
    <x v="0"/>
    <d v="2024-04-05T00:00:00"/>
    <s v="2B25-180-03+DR-TW-2B25-034-02-05"/>
  </r>
  <r>
    <m/>
    <x v="283"/>
    <x v="797"/>
    <x v="940"/>
    <x v="1"/>
    <x v="673"/>
    <x v="1"/>
    <m/>
    <s v="2B29-435-00+DR-TW-2B29-435-00-01"/>
  </r>
  <r>
    <m/>
    <x v="302"/>
    <x v="798"/>
    <x v="941"/>
    <x v="0"/>
    <x v="804"/>
    <x v="4"/>
    <m/>
    <s v="2B69M494-00+DR-TW-2B69M494-00-00"/>
  </r>
  <r>
    <m/>
    <x v="302"/>
    <x v="799"/>
    <x v="942"/>
    <x v="0"/>
    <x v="805"/>
    <x v="4"/>
    <m/>
    <s v="2B69M493-00+DR-TW-2B69M493-00-00"/>
  </r>
  <r>
    <m/>
    <x v="303"/>
    <x v="800"/>
    <x v="943"/>
    <x v="0"/>
    <x v="276"/>
    <x v="0"/>
    <d v="2024-04-04T00:00:00"/>
    <s v="2B26-142-06+DR-TW-2B26-142-06-00"/>
  </r>
  <r>
    <m/>
    <x v="303"/>
    <x v="801"/>
    <x v="944"/>
    <x v="0"/>
    <x v="806"/>
    <x v="1"/>
    <m/>
    <s v="2B69M554-00+DR-TW-2B69M554-00-00"/>
  </r>
  <r>
    <m/>
    <x v="304"/>
    <x v="802"/>
    <x v="945"/>
    <x v="0"/>
    <x v="807"/>
    <x v="4"/>
    <m/>
    <s v="2B69M547-00+DR-TW-2B69M547-00-00"/>
  </r>
  <r>
    <m/>
    <x v="302"/>
    <x v="803"/>
    <x v="946"/>
    <x v="0"/>
    <x v="808"/>
    <x v="0"/>
    <d v="2024-04-05T00:00:00"/>
    <s v="2B91-216-01+DR-TW-2B91-216-01-00"/>
  </r>
  <r>
    <m/>
    <x v="303"/>
    <x v="804"/>
    <x v="388"/>
    <x v="0"/>
    <x v="379"/>
    <x v="2"/>
    <m/>
    <s v="2B19E085-00+DR-TW-2B19E100-00-00"/>
  </r>
  <r>
    <m/>
    <x v="303"/>
    <x v="804"/>
    <x v="389"/>
    <x v="0"/>
    <x v="380"/>
    <x v="2"/>
    <m/>
    <s v="2B19E090-00+DR-TW-2B19E100-00-00"/>
  </r>
  <r>
    <m/>
    <x v="303"/>
    <x v="804"/>
    <x v="936"/>
    <x v="0"/>
    <x v="800"/>
    <x v="0"/>
    <d v="2024-09-19T00:00:00"/>
    <s v="2B19E095-00+DR-TW-2B19E100-00-00"/>
  </r>
  <r>
    <m/>
    <x v="303"/>
    <x v="804"/>
    <x v="387"/>
    <x v="0"/>
    <x v="378"/>
    <x v="2"/>
    <m/>
    <s v="2B19E100-00+DR-TW-2B19E100-00-00"/>
  </r>
  <r>
    <m/>
    <x v="303"/>
    <x v="804"/>
    <x v="398"/>
    <x v="0"/>
    <x v="389"/>
    <x v="2"/>
    <m/>
    <s v="2B19E105-00+DR-TW-2B19E100-00-00"/>
  </r>
  <r>
    <m/>
    <x v="303"/>
    <x v="804"/>
    <x v="390"/>
    <x v="0"/>
    <x v="381"/>
    <x v="2"/>
    <m/>
    <s v="2B19E110-00+DR-TW-2B19E100-00-00"/>
  </r>
  <r>
    <m/>
    <x v="303"/>
    <x v="804"/>
    <x v="391"/>
    <x v="0"/>
    <x v="382"/>
    <x v="0"/>
    <d v="2024-05-17T00:00:00"/>
    <s v="2B19E115-00+DR-TW-2B19E100-00-00"/>
  </r>
  <r>
    <m/>
    <x v="303"/>
    <x v="804"/>
    <x v="392"/>
    <x v="0"/>
    <x v="383"/>
    <x v="2"/>
    <m/>
    <s v="2B19E120-00+DR-TW-2B19E100-00-00"/>
  </r>
  <r>
    <m/>
    <x v="303"/>
    <x v="804"/>
    <x v="937"/>
    <x v="0"/>
    <x v="801"/>
    <x v="0"/>
    <d v="2024-04-05T00:00:00"/>
    <s v="2B19E125-00+DR-TW-2B19E100-00-00"/>
  </r>
  <r>
    <m/>
    <x v="303"/>
    <x v="804"/>
    <x v="938"/>
    <x v="0"/>
    <x v="802"/>
    <x v="0"/>
    <d v="2024-05-25T00:00:00"/>
    <s v="2B19E130-00+DR-TW-2B19E100-00-00"/>
  </r>
  <r>
    <m/>
    <x v="303"/>
    <x v="805"/>
    <x v="947"/>
    <x v="0"/>
    <x v="809"/>
    <x v="2"/>
    <m/>
    <s v="2B24-060-02-R+DR-TW-2B24-060-02-R-00"/>
  </r>
  <r>
    <m/>
    <x v="303"/>
    <x v="805"/>
    <x v="948"/>
    <x v="0"/>
    <x v="810"/>
    <x v="2"/>
    <m/>
    <s v="2B24-070-02-R+DR-TW-2B24-060-02-R-00"/>
  </r>
  <r>
    <m/>
    <x v="303"/>
    <x v="805"/>
    <x v="949"/>
    <x v="0"/>
    <x v="811"/>
    <x v="0"/>
    <d v="2024-08-27T00:00:00"/>
    <s v="2B24-075B03-R+DR-TW-2B24-060-02-R-00"/>
  </r>
  <r>
    <m/>
    <x v="303"/>
    <x v="805"/>
    <x v="950"/>
    <x v="0"/>
    <x v="812"/>
    <x v="2"/>
    <m/>
    <s v="2B24-080-02-R+DR-TW-2B24-060-02-R-00"/>
  </r>
  <r>
    <m/>
    <x v="303"/>
    <x v="805"/>
    <x v="951"/>
    <x v="0"/>
    <x v="813"/>
    <x v="2"/>
    <m/>
    <s v="2B24-085B02-R+DR-TW-2B24-060-02-R-00"/>
  </r>
  <r>
    <m/>
    <x v="303"/>
    <x v="805"/>
    <x v="952"/>
    <x v="0"/>
    <x v="814"/>
    <x v="0"/>
    <d v="2024-08-22T00:00:00"/>
    <s v="2B24-090B03-R+DR-TW-2B24-060-02-R-00"/>
  </r>
  <r>
    <m/>
    <x v="303"/>
    <x v="805"/>
    <x v="953"/>
    <x v="0"/>
    <x v="815"/>
    <x v="2"/>
    <m/>
    <s v="2B24-120B03-R+DR-TW-2B24-060-02-R-00"/>
  </r>
  <r>
    <m/>
    <x v="303"/>
    <x v="805"/>
    <x v="954"/>
    <x v="0"/>
    <x v="816"/>
    <x v="2"/>
    <m/>
    <s v="2B24-140-01-R+DR-TW-2B24-060-02-R-00"/>
  </r>
  <r>
    <m/>
    <x v="303"/>
    <x v="805"/>
    <x v="955"/>
    <x v="0"/>
    <x v="817"/>
    <x v="2"/>
    <m/>
    <s v="2B24-160-01-R+DR-TW-2B24-060-02-R-00"/>
  </r>
  <r>
    <m/>
    <x v="303"/>
    <x v="805"/>
    <x v="956"/>
    <x v="0"/>
    <x v="818"/>
    <x v="2"/>
    <m/>
    <s v="2B24-065-02-R+DR-TW-2B24-060-02-R-00"/>
  </r>
  <r>
    <m/>
    <x v="303"/>
    <x v="805"/>
    <x v="957"/>
    <x v="0"/>
    <x v="819"/>
    <x v="2"/>
    <m/>
    <s v="2B24-200B01-R+DR-TW-2B24-060-02-R-00"/>
  </r>
  <r>
    <m/>
    <x v="303"/>
    <x v="805"/>
    <x v="958"/>
    <x v="0"/>
    <x v="820"/>
    <x v="2"/>
    <m/>
    <s v="2B24-220B01-R+DR-TW-2B24-060-02-R-00"/>
  </r>
  <r>
    <m/>
    <x v="303"/>
    <x v="806"/>
    <x v="959"/>
    <x v="0"/>
    <x v="33"/>
    <x v="0"/>
    <d v="2024-05-06T00:00:00"/>
    <s v="2B24-251-01+DR-TW-2B24-251-01-00"/>
  </r>
  <r>
    <m/>
    <x v="303"/>
    <x v="806"/>
    <x v="960"/>
    <x v="0"/>
    <x v="34"/>
    <x v="0"/>
    <d v="2024-05-06T00:00:00"/>
    <s v="2B24-252-01+DR-TW-2B24-251-01-00"/>
  </r>
  <r>
    <m/>
    <x v="303"/>
    <x v="807"/>
    <x v="961"/>
    <x v="0"/>
    <x v="460"/>
    <x v="0"/>
    <d v="2024-06-20T00:00:00"/>
    <s v="2B24B065-01+DR-TW-2B24B090-01-00"/>
  </r>
  <r>
    <m/>
    <x v="303"/>
    <x v="807"/>
    <x v="962"/>
    <x v="0"/>
    <x v="416"/>
    <x v="0"/>
    <d v="2024-05-02T00:00:00"/>
    <s v="2B24B075-01+DR-TW-2B24B090-01-00"/>
  </r>
  <r>
    <m/>
    <x v="303"/>
    <x v="807"/>
    <x v="963"/>
    <x v="0"/>
    <x v="417"/>
    <x v="0"/>
    <d v="2024-04-18T00:00:00"/>
    <s v="2B24B090-01+DR-TW-2B24B090-01-00"/>
  </r>
  <r>
    <m/>
    <x v="303"/>
    <x v="807"/>
    <x v="964"/>
    <x v="0"/>
    <x v="461"/>
    <x v="0"/>
    <d v="2024-05-20T00:00:00"/>
    <s v="2B24B105-01+DR-TW-2B24B090-01-00"/>
  </r>
  <r>
    <m/>
    <x v="303"/>
    <x v="807"/>
    <x v="965"/>
    <x v="0"/>
    <x v="462"/>
    <x v="0"/>
    <d v="2024-05-06T00:00:00"/>
    <s v="2B24B120-01+DR-TW-2B24B090-01-00"/>
  </r>
  <r>
    <m/>
    <x v="303"/>
    <x v="808"/>
    <x v="966"/>
    <x v="0"/>
    <x v="418"/>
    <x v="0"/>
    <d v="2024-04-18T00:00:00"/>
    <s v="2B24C110-01+DR-TW-2B24C110-01-00"/>
  </r>
  <r>
    <m/>
    <x v="303"/>
    <x v="809"/>
    <x v="967"/>
    <x v="0"/>
    <x v="57"/>
    <x v="0"/>
    <d v="2024-05-20T00:00:00"/>
    <s v="2B24D075-01+DR-TW-2B24D085-01-00"/>
  </r>
  <r>
    <m/>
    <x v="303"/>
    <x v="809"/>
    <x v="968"/>
    <x v="0"/>
    <x v="58"/>
    <x v="0"/>
    <d v="2024-04-27T00:00:00"/>
    <s v="2B24D085-01+DR-TW-2B24D085-01-00"/>
  </r>
  <r>
    <m/>
    <x v="303"/>
    <x v="809"/>
    <x v="969"/>
    <x v="0"/>
    <x v="59"/>
    <x v="0"/>
    <m/>
    <s v="2B24D100-01+DR-TW-2B24D085-01-00"/>
  </r>
  <r>
    <m/>
    <x v="303"/>
    <x v="809"/>
    <x v="970"/>
    <x v="0"/>
    <x v="419"/>
    <x v="0"/>
    <m/>
    <s v="2B24D120-01+DR-TW-2B24D085-01-00"/>
  </r>
  <r>
    <m/>
    <x v="305"/>
    <x v="810"/>
    <x v="971"/>
    <x v="0"/>
    <x v="821"/>
    <x v="0"/>
    <d v="2024-05-13T00:00:00"/>
    <s v="2B26-119-00+DR-TW-2B26-119-00-00"/>
  </r>
  <r>
    <m/>
    <x v="305"/>
    <x v="811"/>
    <x v="972"/>
    <x v="0"/>
    <x v="822"/>
    <x v="4"/>
    <m/>
    <s v="2B69M557-00+DR-TW-2B69M557-00-00"/>
  </r>
  <r>
    <m/>
    <x v="306"/>
    <x v="812"/>
    <x v="973"/>
    <x v="0"/>
    <x v="823"/>
    <x v="0"/>
    <d v="2024-05-08T00:00:00"/>
    <s v="2B25-108-00+DR-TW-2B25-108-02-00"/>
  </r>
  <r>
    <m/>
    <x v="306"/>
    <x v="812"/>
    <x v="974"/>
    <x v="0"/>
    <x v="824"/>
    <x v="0"/>
    <d v="2024-05-08T00:00:00"/>
    <s v="2B25-112-00+DR-TW-2B25-108-02-00"/>
  </r>
  <r>
    <m/>
    <x v="306"/>
    <x v="813"/>
    <x v="975"/>
    <x v="0"/>
    <x v="825"/>
    <x v="0"/>
    <d v="2024-04-23T00:00:00"/>
    <s v="2B25-228-02+DR-TW-2B25-228-02-00"/>
  </r>
  <r>
    <m/>
    <x v="306"/>
    <x v="814"/>
    <x v="976"/>
    <x v="0"/>
    <x v="826"/>
    <x v="0"/>
    <d v="2024-04-24T00:00:00"/>
    <s v="2B26-006-06+DR-TW-2B26-006-06-00"/>
  </r>
  <r>
    <m/>
    <x v="307"/>
    <x v="815"/>
    <x v="977"/>
    <x v="0"/>
    <x v="827"/>
    <x v="3"/>
    <m/>
    <s v="2B91-231-00+DR-TW-2B91-231-00-00"/>
  </r>
  <r>
    <m/>
    <x v="303"/>
    <x v="816"/>
    <x v="940"/>
    <x v="2"/>
    <x v="673"/>
    <x v="1"/>
    <d v="2024-04-05T00:00:00"/>
    <s v="2B29-435-00+DR-TW-2B29-435-00-02"/>
  </r>
  <r>
    <m/>
    <x v="264"/>
    <x v="817"/>
    <x v="978"/>
    <x v="1"/>
    <x v="656"/>
    <x v="4"/>
    <m/>
    <s v="2B69M417-00+DR-TW-2B69M417-00-01"/>
  </r>
  <r>
    <m/>
    <x v="298"/>
    <x v="818"/>
    <x v="979"/>
    <x v="0"/>
    <x v="648"/>
    <x v="1"/>
    <d v="2024-04-25T00:00:00"/>
    <s v="2B04-450-03+DR-TW-2B04-450-03-00"/>
  </r>
  <r>
    <m/>
    <x v="307"/>
    <x v="819"/>
    <x v="89"/>
    <x v="1"/>
    <x v="89"/>
    <x v="2"/>
    <m/>
    <s v="2B04A120-01-R+DR-TW-2B04A120-01-R-01"/>
  </r>
  <r>
    <m/>
    <x v="307"/>
    <x v="819"/>
    <x v="94"/>
    <x v="1"/>
    <x v="94"/>
    <x v="2"/>
    <m/>
    <s v="2B04A140-01-R+DR-TW-2B04A120-01-R-01"/>
  </r>
  <r>
    <m/>
    <x v="307"/>
    <x v="819"/>
    <x v="95"/>
    <x v="1"/>
    <x v="95"/>
    <x v="2"/>
    <m/>
    <s v="2B04A135-01-R+DR-TW-2B04A120-01-R-01"/>
  </r>
  <r>
    <m/>
    <x v="307"/>
    <x v="819"/>
    <x v="96"/>
    <x v="1"/>
    <x v="96"/>
    <x v="2"/>
    <m/>
    <s v="2B04A125-01-R+DR-TW-2B04A120-01-R-01"/>
  </r>
  <r>
    <m/>
    <x v="307"/>
    <x v="819"/>
    <x v="161"/>
    <x v="1"/>
    <x v="161"/>
    <x v="2"/>
    <m/>
    <s v="2B04A130-01-R+DR-TW-2B04A120-01-R-01"/>
  </r>
  <r>
    <m/>
    <x v="307"/>
    <x v="819"/>
    <x v="980"/>
    <x v="1"/>
    <x v="828"/>
    <x v="3"/>
    <m/>
    <s v="2B04A145-01-R+DR-TW-2B04A120-01-R-01"/>
  </r>
  <r>
    <m/>
    <x v="307"/>
    <x v="819"/>
    <x v="981"/>
    <x v="1"/>
    <x v="829"/>
    <x v="3"/>
    <m/>
    <s v="2B04A165-01-R+DR-TW-2B04A120-01-R-01"/>
  </r>
  <r>
    <m/>
    <x v="307"/>
    <x v="819"/>
    <x v="982"/>
    <x v="1"/>
    <x v="830"/>
    <x v="3"/>
    <m/>
    <s v="2B04A170-01-R+DR-TW-2B04A120-01-R-01"/>
  </r>
  <r>
    <m/>
    <x v="307"/>
    <x v="819"/>
    <x v="983"/>
    <x v="1"/>
    <x v="831"/>
    <x v="3"/>
    <m/>
    <s v="2B04A175-01-R+DR-TW-2B04A120-01-R-01"/>
  </r>
  <r>
    <m/>
    <x v="307"/>
    <x v="819"/>
    <x v="984"/>
    <x v="1"/>
    <x v="832"/>
    <x v="0"/>
    <d v="2024-04-18T00:00:00"/>
    <s v="2B04A185-00-R+DR-TW-2B04A120-01-R-01"/>
  </r>
  <r>
    <m/>
    <x v="307"/>
    <x v="819"/>
    <x v="985"/>
    <x v="1"/>
    <x v="833"/>
    <x v="3"/>
    <m/>
    <s v="2B04A210-01-R+DR-TW-2B04A120-01-R-01"/>
  </r>
  <r>
    <m/>
    <x v="307"/>
    <x v="819"/>
    <x v="986"/>
    <x v="1"/>
    <x v="834"/>
    <x v="3"/>
    <m/>
    <s v="2B04A215-01-R+DR-TW-2B04A120-01-R-01"/>
  </r>
  <r>
    <m/>
    <x v="307"/>
    <x v="819"/>
    <x v="987"/>
    <x v="1"/>
    <x v="835"/>
    <x v="3"/>
    <m/>
    <s v="2B04A220-01-R+DR-TW-2B04A120-01-R-01"/>
  </r>
  <r>
    <m/>
    <x v="307"/>
    <x v="819"/>
    <x v="988"/>
    <x v="1"/>
    <x v="836"/>
    <x v="3"/>
    <m/>
    <s v="2B04A235-01-R+DR-TW-2B04A120-01-R-01"/>
  </r>
  <r>
    <m/>
    <x v="308"/>
    <x v="820"/>
    <x v="989"/>
    <x v="0"/>
    <x v="837"/>
    <x v="0"/>
    <d v="2024-04-25T00:00:00"/>
    <s v="2B25-026-03+DR-TW-2B25-026-03-00"/>
  </r>
  <r>
    <m/>
    <x v="307"/>
    <x v="821"/>
    <x v="990"/>
    <x v="0"/>
    <x v="838"/>
    <x v="0"/>
    <d v="2024-08-05T00:00:00"/>
    <s v="2B26-001-07+DR-TW-2B26-001-07-00"/>
  </r>
  <r>
    <m/>
    <x v="307"/>
    <x v="822"/>
    <x v="991"/>
    <x v="0"/>
    <x v="839"/>
    <x v="3"/>
    <m/>
    <s v="2B36-003-00+DR-TW-2B36-003-00-00"/>
  </r>
  <r>
    <m/>
    <x v="307"/>
    <x v="823"/>
    <x v="992"/>
    <x v="0"/>
    <x v="840"/>
    <x v="0"/>
    <d v="2024-08-07T00:00:00"/>
    <s v="2B91-017A03+DR-TW-2B91-017A03-00"/>
  </r>
  <r>
    <m/>
    <x v="306"/>
    <x v="824"/>
    <x v="993"/>
    <x v="0"/>
    <x v="841"/>
    <x v="0"/>
    <d v="2024-07-11T00:00:00"/>
    <s v="2B91-021A03+DR-TW-2B91-021A03-00"/>
  </r>
  <r>
    <m/>
    <x v="307"/>
    <x v="825"/>
    <x v="994"/>
    <x v="0"/>
    <x v="842"/>
    <x v="4"/>
    <m/>
    <s v="2B69M548-00+DR-TW-2B69M548-00-00"/>
  </r>
  <r>
    <m/>
    <x v="309"/>
    <x v="826"/>
    <x v="995"/>
    <x v="0"/>
    <x v="843"/>
    <x v="0"/>
    <d v="2024-04-29T00:00:00"/>
    <s v="2B91-147A02+DR-TW-2B91-147A02-00"/>
  </r>
  <r>
    <m/>
    <x v="309"/>
    <x v="827"/>
    <x v="996"/>
    <x v="0"/>
    <x v="362"/>
    <x v="0"/>
    <m/>
    <s v="2B26-286-01+DR-TW-2B26-286-01-00"/>
  </r>
  <r>
    <m/>
    <x v="310"/>
    <x v="20"/>
    <x v="997"/>
    <x v="4"/>
    <x v="803"/>
    <x v="0"/>
    <d v="2024-05-07T00:00:00"/>
    <s v="2B25-154-03+DR-TW-2B25-034-02-05"/>
  </r>
  <r>
    <m/>
    <x v="311"/>
    <x v="828"/>
    <x v="998"/>
    <x v="0"/>
    <x v="844"/>
    <x v="0"/>
    <d v="2024-05-27T00:00:00"/>
    <s v="2B25-221-00+DR-TW-2B25-221-00-00"/>
  </r>
  <r>
    <m/>
    <x v="311"/>
    <x v="829"/>
    <x v="999"/>
    <x v="0"/>
    <x v="845"/>
    <x v="3"/>
    <m/>
    <s v="2B91-003-03+DR-TW-2B91-003-03-00"/>
  </r>
  <r>
    <m/>
    <x v="311"/>
    <x v="830"/>
    <x v="1000"/>
    <x v="0"/>
    <x v="845"/>
    <x v="0"/>
    <d v="2024-08-01T00:00:00"/>
    <s v="2B91-033A02+DR-TW-2B91-033A02-00"/>
  </r>
  <r>
    <m/>
    <x v="311"/>
    <x v="831"/>
    <x v="1001"/>
    <x v="0"/>
    <x v="846"/>
    <x v="0"/>
    <d v="2024-05-17T00:00:00"/>
    <s v="2B91-217-02+DR-TW-2B91-217-02-00"/>
  </r>
  <r>
    <m/>
    <x v="311"/>
    <x v="832"/>
    <x v="1002"/>
    <x v="1"/>
    <x v="847"/>
    <x v="0"/>
    <d v="2024-05-08T00:00:00"/>
    <s v="2B91-241-02+DR-TW-2B91-241-02-01"/>
  </r>
  <r>
    <m/>
    <x v="311"/>
    <x v="833"/>
    <x v="1003"/>
    <x v="0"/>
    <x v="848"/>
    <x v="0"/>
    <d v="2024-05-08T00:00:00"/>
    <s v="2B94-031-00+D R-TW-2B94-031-00-00"/>
  </r>
  <r>
    <m/>
    <x v="312"/>
    <x v="834"/>
    <x v="1004"/>
    <x v="0"/>
    <x v="849"/>
    <x v="0"/>
    <d v="2024-05-02T00:00:00"/>
    <s v="2B27-216-00+DR-TW-2B27-216-00-00"/>
  </r>
  <r>
    <m/>
    <x v="313"/>
    <x v="835"/>
    <x v="1005"/>
    <x v="0"/>
    <x v="850"/>
    <x v="0"/>
    <d v="2024-05-06T00:00:00"/>
    <s v="2B91-033-03+DR-TW-2B91-033-03-00"/>
  </r>
  <r>
    <m/>
    <x v="313"/>
    <x v="836"/>
    <x v="1006"/>
    <x v="0"/>
    <x v="851"/>
    <x v="0"/>
    <d v="2024-05-06T00:00:00"/>
    <s v="2B25-233-02+DR-TW-2B25-011-08-00"/>
  </r>
  <r>
    <m/>
    <x v="313"/>
    <x v="836"/>
    <x v="1007"/>
    <x v="0"/>
    <x v="851"/>
    <x v="0"/>
    <d v="2024-05-06T00:00:00"/>
    <s v="2B25-011-08+DR-TW-2B25-011-08-00"/>
  </r>
  <r>
    <m/>
    <x v="21"/>
    <x v="837"/>
    <x v="1008"/>
    <x v="1"/>
    <x v="852"/>
    <x v="2"/>
    <m/>
    <s v="2B25-181-02+DR-TW-2B25-041-07-01"/>
  </r>
  <r>
    <m/>
    <x v="100"/>
    <x v="196"/>
    <x v="1009"/>
    <x v="1"/>
    <x v="853"/>
    <x v="2"/>
    <m/>
    <s v="2B25-049-07+DR-TW-2B25-009-08-01"/>
  </r>
  <r>
    <m/>
    <x v="314"/>
    <x v="838"/>
    <x v="1010"/>
    <x v="0"/>
    <x v="854"/>
    <x v="0"/>
    <d v="2024-05-09T00:00:00"/>
    <s v="2B25-055-03+DR-TW-2B25-055-03-00"/>
  </r>
  <r>
    <m/>
    <x v="21"/>
    <x v="837"/>
    <x v="1011"/>
    <x v="1"/>
    <x v="855"/>
    <x v="0"/>
    <d v="2024-10-25T00:00:00"/>
    <s v="2B25-041-07+DR-TW-2B25-041-07-01"/>
  </r>
  <r>
    <m/>
    <x v="212"/>
    <x v="839"/>
    <x v="1012"/>
    <x v="0"/>
    <x v="856"/>
    <x v="0"/>
    <d v="2024-05-17T00:00:00"/>
    <s v="2B26-130-05+DR-TW-2B26-130-05-00"/>
  </r>
  <r>
    <m/>
    <x v="315"/>
    <x v="840"/>
    <x v="1013"/>
    <x v="0"/>
    <x v="421"/>
    <x v="0"/>
    <d v="2024-06-01T00:00:00"/>
    <s v="2B26-211-04+DR-TW-2B26-211-04-00"/>
  </r>
  <r>
    <m/>
    <x v="315"/>
    <x v="841"/>
    <x v="1014"/>
    <x v="1"/>
    <x v="660"/>
    <x v="2"/>
    <m/>
    <s v="2B04-425-03+DR-TW-2B04-425-03-01"/>
  </r>
  <r>
    <m/>
    <x v="315"/>
    <x v="842"/>
    <x v="979"/>
    <x v="1"/>
    <x v="648"/>
    <x v="2"/>
    <m/>
    <s v="2B04-450-03+DR-TW-2B04-450-03-01"/>
  </r>
  <r>
    <m/>
    <x v="315"/>
    <x v="843"/>
    <x v="1015"/>
    <x v="0"/>
    <x v="842"/>
    <x v="0"/>
    <d v="2024-08-05T00:00:00"/>
    <s v="2B27-340-00+DR-TW-2B27-340-00-00"/>
  </r>
  <r>
    <m/>
    <x v="315"/>
    <x v="844"/>
    <x v="1016"/>
    <x v="0"/>
    <x v="673"/>
    <x v="0"/>
    <d v="2024-05-17T00:00:00"/>
    <s v="2B29-435-01+DR-TW-2B29-435-01-00"/>
  </r>
  <r>
    <m/>
    <x v="315"/>
    <x v="845"/>
    <x v="1017"/>
    <x v="0"/>
    <x v="857"/>
    <x v="1"/>
    <d v="2024-08-03T00:00:00"/>
    <s v="2B94-021-00+DR-TW-2B94-021-00-00"/>
  </r>
  <r>
    <m/>
    <x v="315"/>
    <x v="846"/>
    <x v="1018"/>
    <x v="0"/>
    <x v="858"/>
    <x v="0"/>
    <d v="2024-05-24T00:00:00"/>
    <s v="2B91-052-03+DR-TW-2B91-052-03-00"/>
  </r>
  <r>
    <m/>
    <x v="316"/>
    <x v="847"/>
    <x v="1019"/>
    <x v="0"/>
    <x v="859"/>
    <x v="1"/>
    <d v="2024-05-20T00:00:00"/>
    <s v="2B91-205-02+DR-TW-2B91-205-02-00"/>
  </r>
  <r>
    <m/>
    <x v="317"/>
    <x v="848"/>
    <x v="1020"/>
    <x v="0"/>
    <x v="860"/>
    <x v="4"/>
    <m/>
    <s v="2B69A026-01+DR-TW-2B69A026-01-00"/>
  </r>
  <r>
    <m/>
    <x v="317"/>
    <x v="848"/>
    <x v="1021"/>
    <x v="0"/>
    <x v="861"/>
    <x v="4"/>
    <m/>
    <s v="2B69A042-01+DR-TW-2B69A026-01-00"/>
  </r>
  <r>
    <m/>
    <x v="317"/>
    <x v="849"/>
    <x v="1022"/>
    <x v="0"/>
    <x v="862"/>
    <x v="4"/>
    <m/>
    <s v="2B69A043-00+DR-TW-2B69A043-00-00"/>
  </r>
  <r>
    <m/>
    <x v="318"/>
    <x v="850"/>
    <x v="1023"/>
    <x v="0"/>
    <x v="863"/>
    <x v="0"/>
    <d v="2024-05-27T00:00:00"/>
    <s v="2B25-239-01+DR-TW-2B25-239-01-00"/>
  </r>
  <r>
    <m/>
    <x v="318"/>
    <x v="851"/>
    <x v="1024"/>
    <x v="1"/>
    <x v="864"/>
    <x v="0"/>
    <d v="2024-06-04T00:00:00"/>
    <s v="2B25-107-01+DR-TW-2B25-107-01-01"/>
  </r>
  <r>
    <m/>
    <x v="318"/>
    <x v="852"/>
    <x v="1025"/>
    <x v="0"/>
    <x v="865"/>
    <x v="0"/>
    <d v="2024-08-05T00:00:00"/>
    <s v="2B91-206-01+DR-TW-2B91-206-01-00"/>
  </r>
  <r>
    <m/>
    <x v="318"/>
    <x v="853"/>
    <x v="1026"/>
    <x v="0"/>
    <x v="866"/>
    <x v="3"/>
    <m/>
    <s v="2B91-207-01+DR-TW-2B91-207-01-00"/>
  </r>
  <r>
    <m/>
    <x v="317"/>
    <x v="854"/>
    <x v="1027"/>
    <x v="0"/>
    <x v="867"/>
    <x v="4"/>
    <m/>
    <s v="2B69A057-00+DR-TW-2B69A057-00-00"/>
  </r>
  <r>
    <m/>
    <x v="317"/>
    <x v="855"/>
    <x v="1028"/>
    <x v="0"/>
    <x v="868"/>
    <x v="4"/>
    <m/>
    <s v="2B69A056-00+DR-TW-2B69A056-00-00"/>
  </r>
  <r>
    <m/>
    <x v="317"/>
    <x v="856"/>
    <x v="1029"/>
    <x v="0"/>
    <x v="869"/>
    <x v="4"/>
    <m/>
    <s v="2B69M583-00+DR-TW-2B69M583-00-00"/>
  </r>
  <r>
    <m/>
    <x v="317"/>
    <x v="856"/>
    <x v="1030"/>
    <x v="0"/>
    <x v="870"/>
    <x v="4"/>
    <m/>
    <s v="2B69M584-00+DR-TW-2B69M583-00-00"/>
  </r>
  <r>
    <m/>
    <x v="317"/>
    <x v="857"/>
    <x v="1031"/>
    <x v="0"/>
    <x v="871"/>
    <x v="4"/>
    <m/>
    <s v="2B69M587-00+DR-TW-2B69M587-00-00"/>
  </r>
  <r>
    <m/>
    <x v="317"/>
    <x v="858"/>
    <x v="1032"/>
    <x v="0"/>
    <x v="872"/>
    <x v="4"/>
    <m/>
    <s v="2B69A060-00+DR-TW-2B69A060-00-00"/>
  </r>
  <r>
    <m/>
    <x v="317"/>
    <x v="859"/>
    <x v="1033"/>
    <x v="0"/>
    <x v="873"/>
    <x v="4"/>
    <m/>
    <s v="2B69A059-00+DR-TW-2B69A059-00-00"/>
  </r>
  <r>
    <m/>
    <x v="292"/>
    <x v="860"/>
    <x v="1034"/>
    <x v="0"/>
    <x v="179"/>
    <x v="0"/>
    <d v="2024-06-01T00:00:00"/>
    <s v="2B26-250-06+DR-TW-2B26-250-06-00"/>
  </r>
  <r>
    <m/>
    <x v="319"/>
    <x v="861"/>
    <x v="1035"/>
    <x v="0"/>
    <x v="874"/>
    <x v="1"/>
    <m/>
    <s v="2B69M579-00+DR-TW-2B69M579-00-00"/>
  </r>
  <r>
    <m/>
    <x v="320"/>
    <x v="20"/>
    <x v="1036"/>
    <x v="4"/>
    <x v="875"/>
    <x v="0"/>
    <d v="2024-06-10T00:00:00"/>
    <s v="2B25-163-02+DR-TW-2B25-034-02-05"/>
  </r>
  <r>
    <m/>
    <x v="319"/>
    <x v="862"/>
    <x v="1037"/>
    <x v="1"/>
    <x v="876"/>
    <x v="4"/>
    <m/>
    <s v="2B69A039-01+DR-TW-2B69A039-01-01"/>
  </r>
  <r>
    <m/>
    <x v="319"/>
    <x v="863"/>
    <x v="1038"/>
    <x v="1"/>
    <x v="877"/>
    <x v="4"/>
    <m/>
    <s v="2B69A053-00+DR-TW-2B69A053-00-01"/>
  </r>
  <r>
    <m/>
    <x v="292"/>
    <x v="864"/>
    <x v="1039"/>
    <x v="0"/>
    <x v="878"/>
    <x v="0"/>
    <d v="2024-08-07T00:00:00"/>
    <s v="2B26-270-02+DR-TW-2B26-270-02-00"/>
  </r>
  <r>
    <m/>
    <x v="321"/>
    <x v="865"/>
    <x v="1040"/>
    <x v="1"/>
    <x v="879"/>
    <x v="0"/>
    <d v="2024-06-08T00:00:00"/>
    <s v="2B25-208-02+DR-TW-2B25-208-02-01"/>
  </r>
  <r>
    <m/>
    <x v="322"/>
    <x v="866"/>
    <x v="1041"/>
    <x v="0"/>
    <x v="647"/>
    <x v="2"/>
    <m/>
    <s v="2B04-540-01+DR-TW-2B04-540-01-00"/>
  </r>
  <r>
    <m/>
    <x v="322"/>
    <x v="867"/>
    <x v="1042"/>
    <x v="0"/>
    <x v="364"/>
    <x v="1"/>
    <m/>
    <s v="2B04B500-01+DR-TW-2B04B500-01-00"/>
  </r>
  <r>
    <m/>
    <x v="323"/>
    <x v="868"/>
    <x v="1043"/>
    <x v="0"/>
    <x v="880"/>
    <x v="1"/>
    <d v="2024-06-15T00:00:00"/>
    <s v="2B25-029-03+DR-TW-2B25-062-03-00"/>
  </r>
  <r>
    <m/>
    <x v="323"/>
    <x v="868"/>
    <x v="1044"/>
    <x v="0"/>
    <x v="881"/>
    <x v="1"/>
    <d v="2024-06-15T00:00:00"/>
    <s v="2B25-062-03+DR-TW-2B25-062-03-00"/>
  </r>
  <r>
    <m/>
    <x v="323"/>
    <x v="868"/>
    <x v="1045"/>
    <x v="0"/>
    <x v="882"/>
    <x v="1"/>
    <m/>
    <s v="2B25-064-03+DR-TW-2B25-062-03-00"/>
  </r>
  <r>
    <m/>
    <x v="323"/>
    <x v="868"/>
    <x v="1046"/>
    <x v="0"/>
    <x v="883"/>
    <x v="1"/>
    <m/>
    <s v="2B25-065-03+DR-TW-2B25-062-03-00"/>
  </r>
  <r>
    <m/>
    <x v="323"/>
    <x v="868"/>
    <x v="1047"/>
    <x v="0"/>
    <x v="884"/>
    <x v="1"/>
    <m/>
    <s v="2B25-274-01+DR-TW-2B25-062-03-00"/>
  </r>
  <r>
    <m/>
    <x v="297"/>
    <x v="781"/>
    <x v="1048"/>
    <x v="0"/>
    <x v="885"/>
    <x v="0"/>
    <d v="2024-06-22T00:00:00"/>
    <s v="2B25-229-03+DR-TW-2B25-229-04-00"/>
  </r>
  <r>
    <m/>
    <x v="299"/>
    <x v="869"/>
    <x v="1049"/>
    <x v="0"/>
    <x v="886"/>
    <x v="0"/>
    <d v="2024-07-05T00:00:00"/>
    <s v="2B29-432-02+DR-TW-2B29-432-02-00"/>
  </r>
  <r>
    <m/>
    <x v="324"/>
    <x v="870"/>
    <x v="1050"/>
    <x v="0"/>
    <x v="887"/>
    <x v="0"/>
    <d v="2024-07-17T00:00:00"/>
    <s v="2B24-229-05+DR-TW-2B24-229-05-00"/>
  </r>
  <r>
    <m/>
    <x v="325"/>
    <x v="871"/>
    <x v="1051"/>
    <x v="0"/>
    <x v="806"/>
    <x v="4"/>
    <m/>
    <s v="2B69M554-01+DR-TW-2B69M554-01-00"/>
  </r>
  <r>
    <m/>
    <x v="326"/>
    <x v="872"/>
    <x v="1052"/>
    <x v="0"/>
    <x v="888"/>
    <x v="0"/>
    <d v="2024-07-06T00:00:00"/>
    <s v="2B91-215-01+DR-TW-2B91-215-01-00"/>
  </r>
  <r>
    <m/>
    <x v="327"/>
    <x v="19"/>
    <x v="1053"/>
    <x v="2"/>
    <x v="889"/>
    <x v="0"/>
    <d v="2024-07-18T00:00:00"/>
    <s v="2B25-149-01+DR-TW-2B25-044-01-02"/>
  </r>
  <r>
    <m/>
    <x v="328"/>
    <x v="873"/>
    <x v="1054"/>
    <x v="0"/>
    <x v="890"/>
    <x v="0"/>
    <d v="2024-07-11T00:00:00"/>
    <s v="2B25-036-00+DR-TW-2B25-036-00-00"/>
  </r>
  <r>
    <m/>
    <x v="328"/>
    <x v="874"/>
    <x v="1055"/>
    <x v="0"/>
    <x v="891"/>
    <x v="4"/>
    <m/>
    <s v="2B69A067-00+DR-TW-2B69A067-00-00"/>
  </r>
  <r>
    <m/>
    <x v="329"/>
    <x v="875"/>
    <x v="1056"/>
    <x v="0"/>
    <x v="892"/>
    <x v="4"/>
    <m/>
    <s v="2B69M601-00+DR-TW-2B69M601-00-00"/>
  </r>
  <r>
    <m/>
    <x v="330"/>
    <x v="876"/>
    <x v="1057"/>
    <x v="0"/>
    <x v="893"/>
    <x v="1"/>
    <m/>
    <s v="2B69M518-00+DR-TW-2B69M518-00-00"/>
  </r>
  <r>
    <m/>
    <x v="330"/>
    <x v="876"/>
    <x v="1058"/>
    <x v="0"/>
    <x v="894"/>
    <x v="4"/>
    <m/>
    <s v="2B69M592-00+DR-TW-2B69M518-00-00"/>
  </r>
  <r>
    <m/>
    <x v="330"/>
    <x v="876"/>
    <x v="1059"/>
    <x v="0"/>
    <x v="895"/>
    <x v="4"/>
    <m/>
    <s v="2B69M593-00+DR-TW-2B69M518-00-00"/>
  </r>
  <r>
    <m/>
    <x v="264"/>
    <x v="877"/>
    <x v="1060"/>
    <x v="0"/>
    <x v="896"/>
    <x v="0"/>
    <d v="2024-07-12T00:00:00"/>
    <s v="2B25-106-01+DR-TW-2B25-106-01-00"/>
  </r>
  <r>
    <m/>
    <x v="318"/>
    <x v="853"/>
    <x v="1061"/>
    <x v="0"/>
    <x v="866"/>
    <x v="0"/>
    <d v="2024-07-17T00:00:00"/>
    <s v="2B91-207A01+DR-TW-2B91-207-01-00"/>
  </r>
  <r>
    <m/>
    <x v="324"/>
    <x v="878"/>
    <x v="1062"/>
    <x v="0"/>
    <x v="897"/>
    <x v="0"/>
    <d v="2024-07-23T00:00:00"/>
    <s v="2B91-179-00+DR-TW-2B91-179-00-00"/>
  </r>
  <r>
    <m/>
    <x v="330"/>
    <x v="879"/>
    <x v="1063"/>
    <x v="0"/>
    <x v="638"/>
    <x v="0"/>
    <d v="2024-07-18T00:00:00"/>
    <s v="2B26-523-01+DR-TW-2B26-523-01-00"/>
  </r>
  <r>
    <m/>
    <x v="330"/>
    <x v="880"/>
    <x v="1064"/>
    <x v="0"/>
    <x v="637"/>
    <x v="0"/>
    <d v="2024-08-03T00:00:00"/>
    <s v="2B26-522-01+DR-TW-2B26-522-01-00"/>
  </r>
  <r>
    <m/>
    <x v="330"/>
    <x v="881"/>
    <x v="1065"/>
    <x v="0"/>
    <x v="346"/>
    <x v="2"/>
    <m/>
    <s v="2B26-252-02+DR-TW-2B26-252-02-00"/>
  </r>
  <r>
    <m/>
    <x v="330"/>
    <x v="882"/>
    <x v="1066"/>
    <x v="0"/>
    <x v="898"/>
    <x v="0"/>
    <d v="2024-07-23T00:00:00"/>
    <s v="2B91-178-00+DR-TW-2B91-178-00-00"/>
  </r>
  <r>
    <m/>
    <x v="324"/>
    <x v="883"/>
    <x v="1067"/>
    <x v="0"/>
    <x v="862"/>
    <x v="0"/>
    <m/>
    <s v="2B25-390-00+DR-TW-2B25-390-00-00"/>
  </r>
  <r>
    <m/>
    <x v="324"/>
    <x v="884"/>
    <x v="1042"/>
    <x v="1"/>
    <x v="364"/>
    <x v="2"/>
    <m/>
    <s v="2B04B500-01+DR-TW-2B04B500-01-01"/>
  </r>
  <r>
    <m/>
    <x v="324"/>
    <x v="885"/>
    <x v="1068"/>
    <x v="1"/>
    <x v="899"/>
    <x v="3"/>
    <m/>
    <s v="2B19H125-00+DR-TW-2B19H125-00-01"/>
  </r>
  <r>
    <m/>
    <x v="324"/>
    <x v="885"/>
    <x v="1069"/>
    <x v="1"/>
    <x v="900"/>
    <x v="0"/>
    <d v="2024-08-01T00:00:00"/>
    <s v="2B19H130-00+DR-TW-2B19H125-00-01"/>
  </r>
  <r>
    <m/>
    <x v="324"/>
    <x v="885"/>
    <x v="1070"/>
    <x v="1"/>
    <x v="901"/>
    <x v="3"/>
    <m/>
    <s v="2B19H135-00+DR-TW-2B19H125-00-01"/>
  </r>
  <r>
    <m/>
    <x v="324"/>
    <x v="886"/>
    <x v="1043"/>
    <x v="1"/>
    <x v="880"/>
    <x v="0"/>
    <d v="2024-07-17T00:00:00"/>
    <s v="2B25-029-03+DR-TW-2B25-062-03-01"/>
  </r>
  <r>
    <m/>
    <x v="324"/>
    <x v="886"/>
    <x v="1044"/>
    <x v="1"/>
    <x v="881"/>
    <x v="0"/>
    <d v="2024-07-17T00:00:00"/>
    <s v="2B25-062-03+DR-TW-2B25-062-03-01"/>
  </r>
  <r>
    <m/>
    <x v="324"/>
    <x v="886"/>
    <x v="1045"/>
    <x v="1"/>
    <x v="882"/>
    <x v="2"/>
    <m/>
    <s v="2B25-064-03+DR-TW-2B25-062-03-01"/>
  </r>
  <r>
    <m/>
    <x v="324"/>
    <x v="886"/>
    <x v="1046"/>
    <x v="1"/>
    <x v="883"/>
    <x v="2"/>
    <m/>
    <s v="2B25-065-03+DR-TW-2B25-062-03-01"/>
  </r>
  <r>
    <m/>
    <x v="324"/>
    <x v="886"/>
    <x v="1047"/>
    <x v="1"/>
    <x v="884"/>
    <x v="2"/>
    <m/>
    <s v="2B25-274-01+DR-TW-2B25-062-03-01"/>
  </r>
  <r>
    <m/>
    <x v="324"/>
    <x v="887"/>
    <x v="1071"/>
    <x v="0"/>
    <x v="877"/>
    <x v="0"/>
    <d v="2024-08-16T00:00:00"/>
    <s v="2B26-325-00+DR-TW-2B26-325-00-00"/>
  </r>
  <r>
    <m/>
    <x v="324"/>
    <x v="888"/>
    <x v="1072"/>
    <x v="0"/>
    <x v="902"/>
    <x v="1"/>
    <m/>
    <s v="2B25-295-00+DR-TW-2B25-295-00-00"/>
  </r>
  <r>
    <m/>
    <x v="324"/>
    <x v="889"/>
    <x v="1073"/>
    <x v="0"/>
    <x v="903"/>
    <x v="0"/>
    <d v="2024-08-27T00:00:00"/>
    <s v="2B25-395-00+DR-TW-2B25-395-00-00"/>
  </r>
  <r>
    <m/>
    <x v="331"/>
    <x v="890"/>
    <x v="1074"/>
    <x v="0"/>
    <x v="904"/>
    <x v="0"/>
    <d v="2024-08-19T00:00:00"/>
    <s v="2B26-112-00+DR-TW-2B26-112-00-00"/>
  </r>
  <r>
    <m/>
    <x v="264"/>
    <x v="891"/>
    <x v="1075"/>
    <x v="0"/>
    <x v="876"/>
    <x v="0"/>
    <d v="2024-07-20T00:00:00"/>
    <s v="2B26-365-00+DR-TW-2B26-365-00-00"/>
  </r>
  <r>
    <m/>
    <x v="264"/>
    <x v="892"/>
    <x v="1076"/>
    <x v="0"/>
    <x v="905"/>
    <x v="0"/>
    <d v="2024-08-01T00:00:00"/>
    <s v="2B27-059-00+DR-TW-2B27-059-00-00"/>
  </r>
  <r>
    <m/>
    <x v="264"/>
    <x v="893"/>
    <x v="1077"/>
    <x v="0"/>
    <x v="860"/>
    <x v="1"/>
    <d v="2024-08-09T00:00:00"/>
    <s v="2B25-289-00+DR-TW-2B25-289-00-00"/>
  </r>
  <r>
    <m/>
    <x v="324"/>
    <x v="893"/>
    <x v="1078"/>
    <x v="0"/>
    <x v="861"/>
    <x v="1"/>
    <m/>
    <s v="2B25-288-00+DR-TW-2B25-289-00-00"/>
  </r>
  <r>
    <m/>
    <x v="264"/>
    <x v="894"/>
    <x v="1079"/>
    <x v="0"/>
    <x v="906"/>
    <x v="1"/>
    <d v="2024-07-23T00:00:00"/>
    <s v="2B27-186-00+DR-TW-2B27-186-00-00"/>
  </r>
  <r>
    <m/>
    <x v="264"/>
    <x v="895"/>
    <x v="1080"/>
    <x v="0"/>
    <x v="907"/>
    <x v="3"/>
    <m/>
    <s v="2B29-463-00+DR-TW-2B29-463-00-00"/>
  </r>
  <r>
    <m/>
    <x v="264"/>
    <x v="896"/>
    <x v="1081"/>
    <x v="0"/>
    <x v="908"/>
    <x v="0"/>
    <d v="2024-08-19T00:00:00"/>
    <s v="2B29-464-00+DR-TW-2B29-464-00-00"/>
  </r>
  <r>
    <m/>
    <x v="264"/>
    <x v="897"/>
    <x v="1082"/>
    <x v="0"/>
    <x v="873"/>
    <x v="3"/>
    <m/>
    <s v="2B48-362-00+DR-TW-2B48-362-00-00"/>
  </r>
  <r>
    <m/>
    <x v="264"/>
    <x v="898"/>
    <x v="1083"/>
    <x v="0"/>
    <x v="872"/>
    <x v="3"/>
    <m/>
    <s v="2B48-363-00+DR-TW-2B48-363-00-00"/>
  </r>
  <r>
    <m/>
    <x v="332"/>
    <x v="899"/>
    <x v="1084"/>
    <x v="0"/>
    <x v="371"/>
    <x v="0"/>
    <d v="2024-11-11T00:00:00"/>
    <s v="2B52-283A01+DR-TW-2B52-283A01-00"/>
  </r>
  <r>
    <m/>
    <x v="332"/>
    <x v="900"/>
    <x v="1085"/>
    <x v="0"/>
    <x v="909"/>
    <x v="0"/>
    <d v="2024-07-18T00:00:00"/>
    <s v="2B48-002-00+DR-TW-2B48-002-00-00"/>
  </r>
  <r>
    <m/>
    <x v="333"/>
    <x v="901"/>
    <x v="1086"/>
    <x v="0"/>
    <x v="910"/>
    <x v="3"/>
    <m/>
    <s v="PXC-STAND00+DR-TW-PCX-STAND00-00"/>
  </r>
  <r>
    <m/>
    <x v="334"/>
    <x v="902"/>
    <x v="1087"/>
    <x v="0"/>
    <x v="911"/>
    <x v="0"/>
    <d v="2024-08-08T00:00:00"/>
    <s v="2B25-128-01+DR-TW-2B25-128-01-00"/>
  </r>
  <r>
    <m/>
    <x v="334"/>
    <x v="903"/>
    <x v="1088"/>
    <x v="0"/>
    <x v="912"/>
    <x v="0"/>
    <d v="2024-08-08T00:00:00"/>
    <s v="2B25-129-01+DR-TW-2B25-129-01-00"/>
  </r>
  <r>
    <m/>
    <x v="334"/>
    <x v="904"/>
    <x v="1072"/>
    <x v="1"/>
    <x v="913"/>
    <x v="0"/>
    <d v="2024-08-01T00:00:00"/>
    <s v="2B25-295-00+DR-TW-2B25-295-00-01"/>
  </r>
  <r>
    <m/>
    <x v="335"/>
    <x v="905"/>
    <x v="1089"/>
    <x v="0"/>
    <x v="464"/>
    <x v="0"/>
    <d v="2024-08-05T00:00:00"/>
    <s v="2B26-190-01+DR-TW-2B26-190-01-00"/>
  </r>
  <r>
    <m/>
    <x v="32"/>
    <x v="32"/>
    <x v="1090"/>
    <x v="5"/>
    <x v="914"/>
    <x v="0"/>
    <d v="2024-08-19T00:00:00"/>
    <s v="2B91-085-03+DR-TW-2B25-022-05-08"/>
  </r>
  <r>
    <m/>
    <x v="292"/>
    <x v="906"/>
    <x v="1091"/>
    <x v="0"/>
    <x v="874"/>
    <x v="4"/>
    <m/>
    <s v="2B69M579-01+DR-TW-2B69M579-01-00"/>
  </r>
  <r>
    <m/>
    <x v="292"/>
    <x v="907"/>
    <x v="1019"/>
    <x v="1"/>
    <x v="859"/>
    <x v="2"/>
    <m/>
    <s v="2B91-205-02+DR-TW-2B91-205-02-01"/>
  </r>
  <r>
    <m/>
    <x v="336"/>
    <x v="908"/>
    <x v="1092"/>
    <x v="0"/>
    <x v="915"/>
    <x v="0"/>
    <d v="2024-08-10T00:00:00"/>
    <s v="2B24-225-06+DR-TW-2B24-225-06-00"/>
  </r>
  <r>
    <m/>
    <x v="337"/>
    <x v="909"/>
    <x v="1093"/>
    <x v="0"/>
    <x v="916"/>
    <x v="0"/>
    <d v="2024-08-16T00:00:00"/>
    <s v="2B48-500-02+DR-TW-2B48-500-02-00"/>
  </r>
  <r>
    <m/>
    <x v="39"/>
    <x v="460"/>
    <x v="1094"/>
    <x v="0"/>
    <x v="917"/>
    <x v="0"/>
    <d v="2024-08-19T00:00:00"/>
    <s v="2B19-170-07+DR-TW-2B19-110-06-00"/>
  </r>
  <r>
    <m/>
    <x v="309"/>
    <x v="910"/>
    <x v="1095"/>
    <x v="1"/>
    <x v="918"/>
    <x v="0"/>
    <m/>
    <s v="2B26-330-00+DR-TW-2B26-330-00-01"/>
  </r>
  <r>
    <m/>
    <x v="21"/>
    <x v="837"/>
    <x v="1096"/>
    <x v="1"/>
    <x v="919"/>
    <x v="0"/>
    <d v="2024-08-16T00:00:00"/>
    <s v="2B25-040-07+DR-TW-2B25-041-07-01"/>
  </r>
  <r>
    <m/>
    <x v="331"/>
    <x v="911"/>
    <x v="1097"/>
    <x v="0"/>
    <x v="876"/>
    <x v="0"/>
    <d v="2024-08-22T00:00:00"/>
    <s v="2B26-361-00+DR-TW-2B26-361-00-00"/>
  </r>
  <r>
    <m/>
    <x v="331"/>
    <x v="912"/>
    <x v="1017"/>
    <x v="1"/>
    <x v="857"/>
    <x v="0"/>
    <d v="2024-09-03T00:00:00"/>
    <s v="2B94-021-00+DR-TW-2B94-021-00-01"/>
  </r>
  <r>
    <m/>
    <x v="338"/>
    <x v="913"/>
    <x v="1098"/>
    <x v="2"/>
    <x v="920"/>
    <x v="0"/>
    <d v="2024-08-20T00:00:00"/>
    <s v="2B25-100-01+DR-TW-2B25-100-01-02"/>
  </r>
  <r>
    <m/>
    <x v="339"/>
    <x v="914"/>
    <x v="1099"/>
    <x v="0"/>
    <x v="921"/>
    <x v="0"/>
    <d v="2024-08-27T00:00:00"/>
    <s v="2B48-530-02+DR-TW-2B48-530-02-00"/>
  </r>
  <r>
    <m/>
    <x v="340"/>
    <x v="915"/>
    <x v="1079"/>
    <x v="1"/>
    <x v="906"/>
    <x v="0"/>
    <d v="2024-07-23T00:00:00"/>
    <s v="2B27-186-00+DR-TW-2B27-186-00-01"/>
  </r>
  <r>
    <m/>
    <x v="32"/>
    <x v="32"/>
    <x v="1100"/>
    <x v="5"/>
    <x v="922"/>
    <x v="0"/>
    <d v="2024-08-27T00:00:00"/>
    <s v="2B91-027-02+DR-TW-2B25-022-05-08"/>
  </r>
  <r>
    <m/>
    <x v="7"/>
    <x v="7"/>
    <x v="1101"/>
    <x v="3"/>
    <x v="923"/>
    <x v="3"/>
    <m/>
    <s v="2B25-093-01+DR-TW-2B25-008-04-07"/>
  </r>
  <r>
    <m/>
    <x v="341"/>
    <x v="916"/>
    <x v="1102"/>
    <x v="0"/>
    <x v="114"/>
    <x v="0"/>
    <d v="2024-10-25T00:00:00"/>
    <s v="2B26-229-04+DR-TW-2B26-229-04-00"/>
  </r>
  <r>
    <m/>
    <x v="339"/>
    <x v="917"/>
    <x v="1103"/>
    <x v="0"/>
    <x v="924"/>
    <x v="4"/>
    <m/>
    <s v="2B69A075-00+DR-TW-2B69A075-00-00"/>
  </r>
  <r>
    <m/>
    <x v="341"/>
    <x v="918"/>
    <x v="1104"/>
    <x v="0"/>
    <x v="925"/>
    <x v="0"/>
    <d v="2024-10-08T00:00:00"/>
    <s v="2B19C145A00+DR-TW-2B19C145A00-00"/>
  </r>
  <r>
    <m/>
    <x v="142"/>
    <x v="312"/>
    <x v="1105"/>
    <x v="3"/>
    <x v="926"/>
    <x v="0"/>
    <d v="2024-09-10T00:00:00"/>
    <s v="2B91-019-02+DR-TW-2B91-017-02-07"/>
  </r>
  <r>
    <m/>
    <x v="342"/>
    <x v="919"/>
    <x v="1106"/>
    <x v="1"/>
    <x v="927"/>
    <x v="0"/>
    <d v="2024-09-14T00:00:00"/>
    <s v="2B25-086-00+DR-TW-2B25-086-00-01"/>
  </r>
  <r>
    <m/>
    <x v="343"/>
    <x v="920"/>
    <x v="1107"/>
    <x v="0"/>
    <x v="928"/>
    <x v="4"/>
    <m/>
    <s v="2B69A084-00+DR-TW-2B69A084-00-00"/>
  </r>
  <r>
    <m/>
    <x v="343"/>
    <x v="921"/>
    <x v="1108"/>
    <x v="0"/>
    <x v="929"/>
    <x v="4"/>
    <m/>
    <s v="2B69A092-00+DR-TW-2B69A092-00-00"/>
  </r>
  <r>
    <m/>
    <x v="341"/>
    <x v="922"/>
    <x v="1109"/>
    <x v="0"/>
    <x v="113"/>
    <x v="0"/>
    <d v="2024-10-25T00:00:00"/>
    <s v="2B26-228-03+DR-TW-2B26-228-03-00"/>
  </r>
  <r>
    <m/>
    <x v="341"/>
    <x v="923"/>
    <x v="1110"/>
    <x v="0"/>
    <x v="536"/>
    <x v="2"/>
    <m/>
    <s v="2B26-191-01+DR-TW-2B26-191-01-00"/>
  </r>
  <r>
    <m/>
    <x v="341"/>
    <x v="924"/>
    <x v="1111"/>
    <x v="0"/>
    <x v="745"/>
    <x v="3"/>
    <m/>
    <s v="2B25-421-00+DR-TW-2B25-421-00-00"/>
  </r>
  <r>
    <m/>
    <x v="344"/>
    <x v="925"/>
    <x v="1112"/>
    <x v="0"/>
    <x v="659"/>
    <x v="2"/>
    <m/>
    <s v="2B27-154-01+DR-TW-2B27-154-01-00"/>
  </r>
  <r>
    <m/>
    <x v="311"/>
    <x v="832"/>
    <x v="1113"/>
    <x v="1"/>
    <x v="847"/>
    <x v="0"/>
    <d v="2024-10-10T00:00:00"/>
    <s v="2B91-241A02+DR-TW-2B91-241-02-01"/>
  </r>
  <r>
    <m/>
    <x v="345"/>
    <x v="926"/>
    <x v="1114"/>
    <x v="0"/>
    <x v="329"/>
    <x v="0"/>
    <m/>
    <s v="2B04-462-02+DR-TW-2B04-462-02-00"/>
  </r>
  <r>
    <m/>
    <x v="345"/>
    <x v="927"/>
    <x v="1115"/>
    <x v="0"/>
    <x v="684"/>
    <x v="0"/>
    <d v="2024-10-10T00:00:00"/>
    <s v="2B29-426-00+DR-TW-2B29-426-00-00"/>
  </r>
  <r>
    <m/>
    <x v="346"/>
    <x v="928"/>
    <x v="1116"/>
    <x v="0"/>
    <x v="930"/>
    <x v="4"/>
    <m/>
    <s v="2B69M638-00+DR-TW-2B69M638-00-00"/>
  </r>
  <r>
    <m/>
    <x v="347"/>
    <x v="929"/>
    <x v="1117"/>
    <x v="9"/>
    <x v="931"/>
    <x v="0"/>
    <d v="2024-10-10T00:00:00"/>
    <s v="2B19B145-00+DR-TW-2B19B115-00-04"/>
  </r>
  <r>
    <m/>
    <x v="348"/>
    <x v="930"/>
    <x v="1118"/>
    <x v="0"/>
    <x v="674"/>
    <x v="0"/>
    <d v="2024-10-16T00:00:00"/>
    <s v="2B26-121-00+DR-TW-2B26-121-00-00"/>
  </r>
  <r>
    <m/>
    <x v="349"/>
    <x v="931"/>
    <x v="1119"/>
    <x v="6"/>
    <x v="932"/>
    <x v="0"/>
    <d v="2024-10-10T00:00:00"/>
    <s v="2B27-116-01+DR-TW-2B27-116-01-03"/>
  </r>
  <r>
    <m/>
    <x v="7"/>
    <x v="7"/>
    <x v="1120"/>
    <x v="3"/>
    <x v="933"/>
    <x v="0"/>
    <d v="2024-10-10T00:00:00"/>
    <s v="2B25-083-01+DR-TW-2B25-008-04-07"/>
  </r>
  <r>
    <m/>
    <x v="350"/>
    <x v="932"/>
    <x v="1121"/>
    <x v="1"/>
    <x v="934"/>
    <x v="0"/>
    <d v="2024-10-15T00:00:00"/>
    <s v="2B91-190-01+DR-TW-2B91-190-01-01"/>
  </r>
  <r>
    <m/>
    <x v="346"/>
    <x v="933"/>
    <x v="1122"/>
    <x v="0"/>
    <x v="679"/>
    <x v="2"/>
    <m/>
    <s v="2B25-010-0D+DR-TW-2B25-010-0D-00"/>
  </r>
  <r>
    <m/>
    <x v="346"/>
    <x v="933"/>
    <x v="1123"/>
    <x v="0"/>
    <x v="798"/>
    <x v="2"/>
    <m/>
    <s v="2B25-023-0B+DR-TW-2B25-010-0D-00"/>
  </r>
  <r>
    <m/>
    <x v="346"/>
    <x v="934"/>
    <x v="1124"/>
    <x v="0"/>
    <x v="860"/>
    <x v="2"/>
    <m/>
    <s v="2B25-289-01+DR-TW-2B25-289-01-00"/>
  </r>
  <r>
    <m/>
    <x v="346"/>
    <x v="934"/>
    <x v="1125"/>
    <x v="0"/>
    <x v="861"/>
    <x v="2"/>
    <m/>
    <s v="2B25-288-01+DR-TW-2B25-289-01-00"/>
  </r>
  <r>
    <m/>
    <x v="345"/>
    <x v="935"/>
    <x v="1126"/>
    <x v="0"/>
    <x v="935"/>
    <x v="2"/>
    <m/>
    <s v="2B30-021-06+DR-TW-2B30-021-06-00"/>
  </r>
  <r>
    <m/>
    <x v="347"/>
    <x v="936"/>
    <x v="1127"/>
    <x v="0"/>
    <x v="936"/>
    <x v="4"/>
    <m/>
    <s v="2B69M642-00+DR-TW-2B69M642-00-00"/>
  </r>
  <r>
    <m/>
    <x v="347"/>
    <x v="937"/>
    <x v="1128"/>
    <x v="0"/>
    <x v="937"/>
    <x v="0"/>
    <d v="2024-10-24T00:00:00"/>
    <s v="2B26-128-01+DR-TW-2B26-128-01-00"/>
  </r>
  <r>
    <m/>
    <x v="344"/>
    <x v="938"/>
    <x v="1129"/>
    <x v="0"/>
    <x v="54"/>
    <x v="0"/>
    <d v="2024-10-25T00:00:00"/>
    <s v="2B27-127-02+DR-TW-2B27-127-02-00"/>
  </r>
  <r>
    <m/>
    <x v="347"/>
    <x v="929"/>
    <x v="1130"/>
    <x v="9"/>
    <x v="938"/>
    <x v="3"/>
    <m/>
    <s v="2B19B105-00+DR-TW-2B19B115-00-04"/>
  </r>
  <r>
    <m/>
    <x v="347"/>
    <x v="929"/>
    <x v="352"/>
    <x v="9"/>
    <x v="939"/>
    <x v="2"/>
    <m/>
    <s v="2B19B115-00+DR-TW-2B19B115-00-04"/>
  </r>
  <r>
    <m/>
    <x v="347"/>
    <x v="929"/>
    <x v="1131"/>
    <x v="9"/>
    <x v="940"/>
    <x v="3"/>
    <m/>
    <s v="2B19B120-00+DR-TW-2B19B115-00-04"/>
  </r>
  <r>
    <m/>
    <x v="347"/>
    <x v="929"/>
    <x v="1132"/>
    <x v="9"/>
    <x v="941"/>
    <x v="3"/>
    <m/>
    <s v="2B19B160-00+DR-TW-2B19B115-00-04"/>
  </r>
  <r>
    <m/>
    <x v="182"/>
    <x v="939"/>
    <x v="816"/>
    <x v="2"/>
    <x v="730"/>
    <x v="2"/>
    <m/>
    <s v="2B40-035-00+DR-TW-2B40-030-00-02"/>
  </r>
  <r>
    <m/>
    <x v="182"/>
    <x v="939"/>
    <x v="817"/>
    <x v="2"/>
    <x v="731"/>
    <x v="2"/>
    <m/>
    <s v="2B40-037-00+DR-TW-2B40-030-00-02"/>
  </r>
  <r>
    <m/>
    <x v="182"/>
    <x v="939"/>
    <x v="818"/>
    <x v="2"/>
    <x v="732"/>
    <x v="2"/>
    <m/>
    <s v="2B40-036-00+DR-TW-2B40-030-00-02"/>
  </r>
  <r>
    <m/>
    <x v="182"/>
    <x v="939"/>
    <x v="819"/>
    <x v="2"/>
    <x v="733"/>
    <x v="2"/>
    <m/>
    <s v="2B40-030-00+DR-TW-2B40-030-00-02"/>
  </r>
  <r>
    <m/>
    <x v="182"/>
    <x v="939"/>
    <x v="820"/>
    <x v="2"/>
    <x v="734"/>
    <x v="2"/>
    <m/>
    <s v="2B40-031-00+DR-TW-2B40-030-00-02"/>
  </r>
  <r>
    <m/>
    <x v="182"/>
    <x v="939"/>
    <x v="821"/>
    <x v="2"/>
    <x v="735"/>
    <x v="2"/>
    <m/>
    <s v="2B40-032-00+DR-TW-2B40-030-00-02"/>
  </r>
  <r>
    <m/>
    <x v="182"/>
    <x v="939"/>
    <x v="822"/>
    <x v="2"/>
    <x v="736"/>
    <x v="2"/>
    <m/>
    <s v="2B40-033-00+DR-TW-2B40-030-00-02"/>
  </r>
  <r>
    <m/>
    <x v="182"/>
    <x v="939"/>
    <x v="823"/>
    <x v="2"/>
    <x v="737"/>
    <x v="2"/>
    <m/>
    <s v="2B40-034-00+DR-TW-2B40-030-00-02"/>
  </r>
  <r>
    <m/>
    <x v="182"/>
    <x v="939"/>
    <x v="887"/>
    <x v="2"/>
    <x v="770"/>
    <x v="2"/>
    <m/>
    <s v="2B40-039-00+DR-TW-2B40-030-00-02"/>
  </r>
  <r>
    <m/>
    <x v="182"/>
    <x v="939"/>
    <x v="1133"/>
    <x v="2"/>
    <x v="942"/>
    <x v="0"/>
    <d v="2024-11-11T00:00:00"/>
    <s v="2B40-040-00+DR-TW-2B40-030-00-02"/>
  </r>
  <r>
    <m/>
    <x v="32"/>
    <x v="32"/>
    <x v="1134"/>
    <x v="5"/>
    <x v="943"/>
    <x v="0"/>
    <d v="2024-11-04T00:00:00"/>
    <s v="2B91-087-02+DR-TW-2B25-022-05-08"/>
  </r>
  <r>
    <m/>
    <x v="351"/>
    <x v="940"/>
    <x v="1135"/>
    <x v="0"/>
    <x v="336"/>
    <x v="2"/>
    <m/>
    <s v="2B26-471-01+DR-TW-2B26-471-01-00"/>
  </r>
  <r>
    <m/>
    <x v="351"/>
    <x v="941"/>
    <x v="1136"/>
    <x v="0"/>
    <x v="337"/>
    <x v="2"/>
    <m/>
    <s v="2B26-470-01+DR-TW-2B26-470-01-00"/>
  </r>
  <r>
    <m/>
    <x v="351"/>
    <x v="942"/>
    <x v="1137"/>
    <x v="0"/>
    <x v="29"/>
    <x v="2"/>
    <m/>
    <s v="2B29-427-02+DR-TW-2B29-427-02-00"/>
  </r>
  <r>
    <m/>
    <x v="351"/>
    <x v="943"/>
    <x v="1138"/>
    <x v="0"/>
    <x v="664"/>
    <x v="2"/>
    <m/>
    <s v="2B26-452-01+DR-TW-2B26-452-01-00"/>
  </r>
  <r>
    <m/>
    <x v="351"/>
    <x v="944"/>
    <x v="1139"/>
    <x v="0"/>
    <x v="658"/>
    <x v="2"/>
    <m/>
    <s v="2B26-421-01+DR-TW-2B26-421-01-00"/>
  </r>
  <r>
    <m/>
    <x v="352"/>
    <x v="945"/>
    <x v="1140"/>
    <x v="0"/>
    <x v="29"/>
    <x v="4"/>
    <m/>
    <s v="2B69M644-00+DR-TW-2B69M644-00-00"/>
  </r>
  <r>
    <m/>
    <x v="352"/>
    <x v="946"/>
    <x v="1141"/>
    <x v="0"/>
    <x v="944"/>
    <x v="3"/>
    <m/>
    <s v="2B19I125-00+DR-TW-2B19I125-00-00"/>
  </r>
  <r>
    <m/>
    <x v="352"/>
    <x v="946"/>
    <x v="1142"/>
    <x v="0"/>
    <x v="945"/>
    <x v="3"/>
    <m/>
    <s v="2B19I130-00+DR-TW-2B19I125-00-00"/>
  </r>
  <r>
    <m/>
    <x v="352"/>
    <x v="946"/>
    <x v="1143"/>
    <x v="0"/>
    <x v="946"/>
    <x v="3"/>
    <m/>
    <s v="2B19I135-00+DR-TW-2B19I125-00-00"/>
  </r>
  <r>
    <m/>
    <x v="353"/>
    <x v="947"/>
    <x v="1144"/>
    <x v="0"/>
    <x v="947"/>
    <x v="4"/>
    <m/>
    <s v="2B69M649-00+DR-TW-2B69M649-00-00"/>
  </r>
  <r>
    <m/>
    <x v="353"/>
    <x v="948"/>
    <x v="1145"/>
    <x v="0"/>
    <x v="948"/>
    <x v="4"/>
    <m/>
    <s v="2B69M476-01+DR-TW-2B69M476-01-00"/>
  </r>
  <r>
    <m/>
    <x v="353"/>
    <x v="949"/>
    <x v="1146"/>
    <x v="0"/>
    <x v="949"/>
    <x v="4"/>
    <m/>
    <s v="2B69M522-01+DR-TW-2B69M522-01-00"/>
  </r>
  <r>
    <m/>
    <x v="354"/>
    <x v="950"/>
    <x v="1147"/>
    <x v="0"/>
    <x v="950"/>
    <x v="3"/>
    <m/>
    <s v="2B25-527-00+DR-TW-2B25-527-00-00"/>
  </r>
  <r>
    <m/>
    <x v="354"/>
    <x v="951"/>
    <x v="1148"/>
    <x v="0"/>
    <x v="951"/>
    <x v="3"/>
    <m/>
    <s v="2B26-019-00+DR-TW-2B26-019-00-00"/>
  </r>
  <r>
    <m/>
    <x v="354"/>
    <x v="952"/>
    <x v="1149"/>
    <x v="0"/>
    <x v="893"/>
    <x v="4"/>
    <m/>
    <s v="2B69M518-01+DR-TW-2B69M518-01-00"/>
  </r>
  <r>
    <m/>
    <x v="355"/>
    <x v="953"/>
    <x v="1150"/>
    <x v="0"/>
    <x v="952"/>
    <x v="4"/>
    <m/>
    <s v="2B69M520-01+DR-TW-2B69M520-01-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A3AAA-47D7-4323-91A8-31BE92540A52}" name="PivotTable2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40" firstHeaderRow="1" firstDataRow="1" firstDataCol="1" rowPageCount="1" colPageCount="1"/>
  <pivotFields count="9">
    <pivotField showAll="0"/>
    <pivotField axis="axisPage" dataField="1" numFmtId="165" multipleItemSelectionAllowed="1" showAll="0">
      <items count="361"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m="1" x="359"/>
        <item x="125"/>
        <item x="126"/>
        <item x="127"/>
        <item x="128"/>
        <item x="129"/>
        <item x="130"/>
        <item x="131"/>
        <item x="132"/>
        <item x="134"/>
        <item x="136"/>
        <item x="137"/>
        <item x="138"/>
        <item x="139"/>
        <item x="140"/>
        <item x="143"/>
        <item x="142"/>
        <item x="144"/>
        <item x="145"/>
        <item x="147"/>
        <item x="148"/>
        <item x="149"/>
        <item x="150"/>
        <item x="151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3"/>
        <item x="184"/>
        <item x="185"/>
        <item x="186"/>
        <item x="187"/>
        <item x="39"/>
        <item x="135"/>
        <item x="32"/>
        <item x="188"/>
        <item x="46"/>
        <item x="33"/>
        <item x="37"/>
        <item x="47"/>
        <item x="50"/>
        <item x="44"/>
        <item x="40"/>
        <item x="158"/>
        <item x="0"/>
        <item x="49"/>
        <item x="7"/>
        <item x="189"/>
        <item x="190"/>
        <item x="25"/>
        <item x="9"/>
        <item x="8"/>
        <item x="191"/>
        <item x="54"/>
        <item x="55"/>
        <item x="192"/>
        <item x="48"/>
        <item x="52"/>
        <item x="177"/>
        <item x="193"/>
        <item x="194"/>
        <item x="195"/>
        <item x="11"/>
        <item x="12"/>
        <item x="31"/>
        <item x="13"/>
        <item x="141"/>
        <item x="196"/>
        <item x="197"/>
        <item x="198"/>
        <item x="199"/>
        <item x="200"/>
        <item x="201"/>
        <item x="202"/>
        <item x="203"/>
        <item x="204"/>
        <item m="1" x="356"/>
        <item x="205"/>
        <item x="29"/>
        <item x="51"/>
        <item x="18"/>
        <item x="79"/>
        <item x="38"/>
        <item x="1"/>
        <item x="15"/>
        <item x="45"/>
        <item x="21"/>
        <item x="22"/>
        <item x="24"/>
        <item x="26"/>
        <item x="206"/>
        <item x="208"/>
        <item x="209"/>
        <item x="210"/>
        <item x="211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0"/>
        <item x="212"/>
        <item x="225"/>
        <item x="166"/>
        <item x="23"/>
        <item x="221"/>
        <item x="226"/>
        <item x="42"/>
        <item x="227"/>
        <item x="228"/>
        <item x="229"/>
        <item x="230"/>
        <item x="231"/>
        <item x="232"/>
        <item x="233"/>
        <item x="234"/>
        <item x="235"/>
        <item x="236"/>
        <item x="35"/>
        <item x="17"/>
        <item x="2"/>
        <item x="5"/>
        <item x="10"/>
        <item x="41"/>
        <item x="43"/>
        <item x="16"/>
        <item x="14"/>
        <item x="4"/>
        <item x="238"/>
        <item x="85"/>
        <item x="30"/>
        <item x="34"/>
        <item x="237"/>
        <item x="239"/>
        <item x="241"/>
        <item x="240"/>
        <item x="242"/>
        <item x="146"/>
        <item x="53"/>
        <item x="243"/>
        <item m="1" x="357"/>
        <item x="19"/>
        <item x="133"/>
        <item x="244"/>
        <item x="6"/>
        <item x="245"/>
        <item x="3"/>
        <item x="101"/>
        <item x="27"/>
        <item x="246"/>
        <item x="59"/>
        <item x="247"/>
        <item x="248"/>
        <item x="249"/>
        <item x="36"/>
        <item x="250"/>
        <item x="28"/>
        <item x="251"/>
        <item x="252"/>
        <item x="253"/>
        <item x="254"/>
        <item x="255"/>
        <item x="256"/>
        <item x="257"/>
        <item x="258"/>
        <item x="259"/>
        <item x="207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15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29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2"/>
        <item x="333"/>
        <item x="334"/>
        <item m="1" x="358"/>
        <item x="336"/>
        <item x="337"/>
        <item x="331"/>
        <item x="338"/>
        <item x="340"/>
        <item x="182"/>
        <item x="294"/>
        <item x="335"/>
        <item x="339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axis="axisRow" showAll="0">
      <items count="978">
        <item m="1" x="961"/>
        <item x="69"/>
        <item m="1" x="975"/>
        <item x="95"/>
        <item x="169"/>
        <item x="73"/>
        <item x="142"/>
        <item x="190"/>
        <item x="143"/>
        <item x="191"/>
        <item x="192"/>
        <item x="203"/>
        <item x="193"/>
        <item x="204"/>
        <item x="236"/>
        <item x="237"/>
        <item x="147"/>
        <item x="221"/>
        <item x="238"/>
        <item x="234"/>
        <item x="196"/>
        <item m="1" x="960"/>
        <item x="137"/>
        <item x="148"/>
        <item x="149"/>
        <item x="66"/>
        <item x="150"/>
        <item x="151"/>
        <item x="230"/>
        <item x="231"/>
        <item x="239"/>
        <item x="62"/>
        <item x="250"/>
        <item x="205"/>
        <item x="215"/>
        <item x="220"/>
        <item x="468"/>
        <item m="1" x="963"/>
        <item x="232"/>
        <item x="267"/>
        <item x="268"/>
        <item x="164"/>
        <item x="152"/>
        <item x="153"/>
        <item x="57"/>
        <item x="218"/>
        <item x="219"/>
        <item x="261"/>
        <item x="198"/>
        <item x="199"/>
        <item x="96"/>
        <item x="129"/>
        <item x="97"/>
        <item x="98"/>
        <item x="254"/>
        <item x="81"/>
        <item x="82"/>
        <item x="125"/>
        <item x="126"/>
        <item x="127"/>
        <item x="99"/>
        <item x="119"/>
        <item x="162"/>
        <item x="100"/>
        <item x="101"/>
        <item x="120"/>
        <item x="208"/>
        <item x="176"/>
        <item x="76"/>
        <item x="83"/>
        <item x="77"/>
        <item x="84"/>
        <item x="223"/>
        <item x="85"/>
        <item x="255"/>
        <item x="182"/>
        <item x="86"/>
        <item x="256"/>
        <item x="102"/>
        <item x="130"/>
        <item x="107"/>
        <item x="432"/>
        <item x="131"/>
        <item x="103"/>
        <item x="121"/>
        <item x="138"/>
        <item x="170"/>
        <item x="108"/>
        <item x="132"/>
        <item x="104"/>
        <item x="78"/>
        <item x="133"/>
        <item x="257"/>
        <item x="181"/>
        <item x="87"/>
        <item x="145"/>
        <item x="88"/>
        <item x="89"/>
        <item x="139"/>
        <item x="90"/>
        <item x="91"/>
        <item x="105"/>
        <item x="92"/>
        <item x="93"/>
        <item x="122"/>
        <item x="178"/>
        <item x="200"/>
        <item x="160"/>
        <item x="118"/>
        <item x="144"/>
        <item x="106"/>
        <item x="134"/>
        <item x="161"/>
        <item x="135"/>
        <item x="140"/>
        <item x="123"/>
        <item x="212"/>
        <item x="79"/>
        <item x="94"/>
        <item x="213"/>
        <item x="224"/>
        <item x="246"/>
        <item x="214"/>
        <item x="225"/>
        <item x="209"/>
        <item x="210"/>
        <item m="1" x="962"/>
        <item x="183"/>
        <item x="216"/>
        <item x="187"/>
        <item x="217"/>
        <item x="258"/>
        <item x="259"/>
        <item x="336"/>
        <item m="1" x="976"/>
        <item x="68"/>
        <item x="253"/>
        <item x="184"/>
        <item x="226"/>
        <item x="260"/>
        <item x="206"/>
        <item x="240"/>
        <item x="241"/>
        <item x="186"/>
        <item x="264"/>
        <item x="180"/>
        <item x="252"/>
        <item x="207"/>
        <item x="110"/>
        <item x="111"/>
        <item x="112"/>
        <item x="242"/>
        <item x="177"/>
        <item x="113"/>
        <item x="114"/>
        <item x="115"/>
        <item x="116"/>
        <item x="117"/>
        <item x="201"/>
        <item x="165"/>
        <item x="298"/>
        <item x="171"/>
        <item x="179"/>
        <item x="155"/>
        <item x="227"/>
        <item x="247"/>
        <item x="235"/>
        <item x="146"/>
        <item x="60"/>
        <item x="67"/>
        <item x="228"/>
        <item x="229"/>
        <item x="63"/>
        <item x="185"/>
        <item x="233"/>
        <item x="64"/>
        <item x="61"/>
        <item x="65"/>
        <item x="74"/>
        <item x="222"/>
        <item x="70"/>
        <item x="75"/>
        <item x="71"/>
        <item x="243"/>
        <item x="251"/>
        <item x="158"/>
        <item x="159"/>
        <item x="166"/>
        <item x="167"/>
        <item x="168"/>
        <item x="128"/>
        <item x="163"/>
        <item m="1" x="964"/>
        <item x="174"/>
        <item x="175"/>
        <item x="188"/>
        <item x="189"/>
        <item x="194"/>
        <item x="195"/>
        <item x="486"/>
        <item x="202"/>
        <item x="244"/>
        <item x="248"/>
        <item x="245"/>
        <item x="249"/>
        <item x="263"/>
        <item x="265"/>
        <item x="269"/>
        <item x="72"/>
        <item x="80"/>
        <item x="266"/>
        <item x="141"/>
        <item x="136"/>
        <item x="58"/>
        <item x="154"/>
        <item x="271"/>
        <item x="272"/>
        <item x="273"/>
        <item x="20"/>
        <item x="275"/>
        <item x="274"/>
        <item x="276"/>
        <item x="277"/>
        <item x="278"/>
        <item x="280"/>
        <item x="279"/>
        <item x="282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m="1" x="969"/>
        <item x="310"/>
        <item x="313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73"/>
        <item x="374"/>
        <item x="323"/>
        <item x="324"/>
        <item x="325"/>
        <item x="326"/>
        <item x="327"/>
        <item x="328"/>
        <item x="329"/>
        <item x="330"/>
        <item x="460"/>
        <item m="1" x="971"/>
        <item x="331"/>
        <item x="332"/>
        <item x="333"/>
        <item x="334"/>
        <item x="335"/>
        <item x="337"/>
        <item x="338"/>
        <item x="750"/>
        <item x="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3"/>
        <item x="354"/>
        <item x="355"/>
        <item x="356"/>
        <item x="357"/>
        <item x="358"/>
        <item x="359"/>
        <item m="1" x="956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786"/>
        <item x="390"/>
        <item x="391"/>
        <item x="394"/>
        <item x="395"/>
        <item x="396"/>
        <item x="397"/>
        <item x="398"/>
        <item x="399"/>
        <item m="1" x="97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0"/>
        <item x="421"/>
        <item x="422"/>
        <item x="423"/>
        <item x="424"/>
        <item x="425"/>
        <item x="426"/>
        <item x="262"/>
        <item x="427"/>
        <item m="1" x="959"/>
        <item x="429"/>
        <item x="430"/>
        <item x="431"/>
        <item x="433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290"/>
        <item x="448"/>
        <item x="449"/>
        <item x="450"/>
        <item x="451"/>
        <item x="39"/>
        <item x="452"/>
        <item x="453"/>
        <item x="454"/>
        <item x="455"/>
        <item x="456"/>
        <item x="457"/>
        <item x="458"/>
        <item x="459"/>
        <item x="461"/>
        <item m="1" x="966"/>
        <item x="462"/>
        <item x="45"/>
        <item x="33"/>
        <item x="34"/>
        <item x="37"/>
        <item m="1" x="968"/>
        <item x="46"/>
        <item x="49"/>
        <item x="43"/>
        <item x="463"/>
        <item x="352"/>
        <item m="1" x="965"/>
        <item x="48"/>
        <item x="7"/>
        <item x="211"/>
        <item x="464"/>
        <item x="465"/>
        <item x="466"/>
        <item x="467"/>
        <item x="469"/>
        <item x="470"/>
        <item x="471"/>
        <item x="25"/>
        <item x="9"/>
        <item x="173"/>
        <item x="172"/>
        <item x="472"/>
        <item x="54"/>
        <item x="55"/>
        <item x="473"/>
        <item x="474"/>
        <item x="475"/>
        <item x="270"/>
        <item x="47"/>
        <item x="52"/>
        <item x="419"/>
        <item x="476"/>
        <item x="32"/>
        <item x="109"/>
        <item x="477"/>
        <item m="1" x="967"/>
        <item x="124"/>
        <item x="478"/>
        <item x="479"/>
        <item x="11"/>
        <item x="12"/>
        <item x="31"/>
        <item x="13"/>
        <item x="480"/>
        <item x="481"/>
        <item x="482"/>
        <item x="483"/>
        <item x="484"/>
        <item x="485"/>
        <item x="487"/>
        <item x="488"/>
        <item x="489"/>
        <item x="490"/>
        <item x="491"/>
        <item x="492"/>
        <item x="493"/>
        <item x="494"/>
        <item x="29"/>
        <item x="51"/>
        <item x="50"/>
        <item x="19"/>
        <item x="38"/>
        <item x="1"/>
        <item x="156"/>
        <item x="15"/>
        <item x="44"/>
        <item x="22"/>
        <item x="23"/>
        <item x="24"/>
        <item x="26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52"/>
        <item x="553"/>
        <item x="554"/>
        <item x="556"/>
        <item x="557"/>
        <item x="558"/>
        <item x="559"/>
        <item x="560"/>
        <item x="561"/>
        <item x="562"/>
        <item x="21"/>
        <item x="563"/>
        <item x="564"/>
        <item x="509"/>
        <item x="565"/>
        <item x="566"/>
        <item x="392"/>
        <item x="393"/>
        <item m="1" x="973"/>
        <item x="555"/>
        <item x="540"/>
        <item x="541"/>
        <item x="542"/>
        <item x="567"/>
        <item x="568"/>
        <item x="569"/>
        <item x="570"/>
        <item x="41"/>
        <item x="571"/>
        <item x="572"/>
        <item x="56"/>
        <item x="400"/>
        <item x="543"/>
        <item x="544"/>
        <item x="545"/>
        <item x="546"/>
        <item x="547"/>
        <item x="548"/>
        <item x="549"/>
        <item m="1" x="974"/>
        <item x="55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601"/>
        <item x="602"/>
        <item x="603"/>
        <item x="594"/>
        <item x="36"/>
        <item x="18"/>
        <item x="2"/>
        <item x="5"/>
        <item x="10"/>
        <item x="40"/>
        <item x="42"/>
        <item x="16"/>
        <item x="17"/>
        <item x="14"/>
        <item x="4"/>
        <item x="550"/>
        <item x="609"/>
        <item x="157"/>
        <item x="30"/>
        <item x="35"/>
        <item x="605"/>
        <item x="606"/>
        <item x="607"/>
        <item x="608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7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53"/>
        <item x="604"/>
        <item x="599"/>
        <item x="600"/>
        <item m="1" x="972"/>
        <item x="636"/>
        <item x="637"/>
        <item x="638"/>
        <item x="639"/>
        <item x="640"/>
        <item sd="0" x="434"/>
        <item x="281"/>
        <item x="641"/>
        <item x="642"/>
        <item x="6"/>
        <item x="643"/>
        <item x="644"/>
        <item x="645"/>
        <item x="3"/>
        <item x="197"/>
        <item x="27"/>
        <item x="646"/>
        <item x="59"/>
        <item x="647"/>
        <item x="648"/>
        <item x="657"/>
        <item x="649"/>
        <item x="650"/>
        <item x="651"/>
        <item x="652"/>
        <item x="653"/>
        <item x="654"/>
        <item x="655"/>
        <item x="656"/>
        <item x="0"/>
        <item x="658"/>
        <item x="28"/>
        <item x="659"/>
        <item x="660"/>
        <item x="661"/>
        <item x="662"/>
        <item x="663"/>
        <item x="664"/>
        <item x="665"/>
        <item x="666"/>
        <item x="667"/>
        <item x="671"/>
        <item x="668"/>
        <item x="669"/>
        <item x="670"/>
        <item x="674"/>
        <item x="675"/>
        <item x="672"/>
        <item x="676"/>
        <item x="428"/>
        <item x="673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m="1" x="958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693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m="1" x="9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sd="0" x="773"/>
        <item sd="0" x="774"/>
        <item x="775"/>
        <item x="776"/>
        <item x="777"/>
        <item x="778"/>
        <item x="779"/>
        <item x="780"/>
        <item x="781"/>
        <item x="782"/>
        <item x="783"/>
        <item x="757"/>
        <item x="784"/>
        <item x="785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m="1" x="955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m="1" x="954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sd="0" x="926"/>
        <item sd="0" x="927"/>
        <item sd="0" x="928"/>
        <item sd="0" x="929"/>
        <item sd="0" x="930"/>
        <item x="931"/>
        <item sd="0" x="932"/>
        <item sd="0" x="933"/>
        <item sd="0" x="934"/>
        <item sd="0" x="935"/>
        <item sd="0" x="936"/>
        <item sd="0" x="937"/>
        <item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t="default"/>
      </items>
    </pivotField>
    <pivotField axis="axisRow" showAll="0">
      <items count="1156">
        <item x="746"/>
        <item x="751"/>
        <item x="729"/>
        <item x="752"/>
        <item x="839"/>
        <item x="329"/>
        <item x="393"/>
        <item x="486"/>
        <item x="492"/>
        <item x="727"/>
        <item x="89"/>
        <item x="96"/>
        <item x="161"/>
        <item x="95"/>
        <item x="94"/>
        <item x="4"/>
        <item x="370"/>
        <item x="470"/>
        <item x="471"/>
        <item x="440"/>
        <item x="441"/>
        <item x="442"/>
        <item x="443"/>
        <item x="444"/>
        <item x="469"/>
        <item x="456"/>
        <item x="457"/>
        <item x="458"/>
        <item x="459"/>
        <item x="460"/>
        <item x="461"/>
        <item x="462"/>
        <item x="463"/>
        <item x="464"/>
        <item x="466"/>
        <item x="468"/>
        <item x="465"/>
        <item x="467"/>
        <item x="352"/>
        <item x="446"/>
        <item x="447"/>
        <item x="448"/>
        <item x="449"/>
        <item x="450"/>
        <item x="451"/>
        <item x="452"/>
        <item x="453"/>
        <item x="454"/>
        <item x="455"/>
        <item x="445"/>
        <item x="118"/>
        <item x="494"/>
        <item x="119"/>
        <item x="495"/>
        <item x="120"/>
        <item x="496"/>
        <item x="121"/>
        <item x="497"/>
        <item x="122"/>
        <item x="498"/>
        <item x="123"/>
        <item x="499"/>
        <item x="388"/>
        <item x="389"/>
        <item x="387"/>
        <item x="398"/>
        <item x="390"/>
        <item x="391"/>
        <item x="392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775"/>
        <item x="838"/>
        <item x="692"/>
        <item x="693"/>
        <item x="804"/>
        <item x="805"/>
        <item x="806"/>
        <item x="807"/>
        <item x="808"/>
        <item x="809"/>
        <item x="810"/>
        <item x="811"/>
        <item x="812"/>
        <item x="813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371"/>
        <item x="64"/>
        <item x="747"/>
        <item x="748"/>
        <item x="62"/>
        <item x="195"/>
        <item x="20"/>
        <item x="98"/>
        <item x="100"/>
        <item x="99"/>
        <item x="1"/>
        <item x="2"/>
        <item x="11"/>
        <item x="101"/>
        <item x="60"/>
        <item x="198"/>
        <item x="167"/>
        <item x="212"/>
        <item x="17"/>
        <item x="18"/>
        <item x="168"/>
        <item x="213"/>
        <item x="28"/>
        <item x="840"/>
        <item x="214"/>
        <item x="227"/>
        <item x="215"/>
        <item x="228"/>
        <item x="259"/>
        <item x="260"/>
        <item x="33"/>
        <item x="34"/>
        <item x="406"/>
        <item x="172"/>
        <item x="245"/>
        <item x="301"/>
        <item x="730"/>
        <item x="473"/>
        <item x="428"/>
        <item x="429"/>
        <item x="474"/>
        <item x="475"/>
        <item x="430"/>
        <item x="57"/>
        <item x="58"/>
        <item x="59"/>
        <item x="431"/>
        <item x="776"/>
        <item x="257"/>
        <item x="53"/>
        <item x="31"/>
        <item x="12"/>
        <item x="219"/>
        <item x="70"/>
        <item x="562"/>
        <item x="27"/>
        <item x="6"/>
        <item x="317"/>
        <item x="611"/>
        <item x="55"/>
        <item x="0"/>
        <item x="25"/>
        <item x="23"/>
        <item x="345"/>
        <item x="220"/>
        <item x="163"/>
        <item x="381"/>
        <item x="563"/>
        <item x="21"/>
        <item x="22"/>
        <item x="51"/>
        <item x="14"/>
        <item x="360"/>
        <item x="407"/>
        <item x="408"/>
        <item x="173"/>
        <item x="174"/>
        <item x="87"/>
        <item x="709"/>
        <item x="56"/>
        <item x="328"/>
        <item x="175"/>
        <item x="176"/>
        <item x="8"/>
        <item x="501"/>
        <item x="37"/>
        <item x="287"/>
        <item x="347"/>
        <item x="38"/>
        <item x="506"/>
        <item x="252"/>
        <item x="253"/>
        <item x="73"/>
        <item x="261"/>
        <item x="292"/>
        <item x="218"/>
        <item x="36"/>
        <item x="82"/>
        <item x="311"/>
        <item x="410"/>
        <item x="565"/>
        <item x="67"/>
        <item x="271"/>
        <item x="566"/>
        <item x="567"/>
        <item x="69"/>
        <item x="568"/>
        <item x="66"/>
        <item x="569"/>
        <item x="229"/>
        <item x="556"/>
        <item x="239"/>
        <item x="577"/>
        <item x="244"/>
        <item x="570"/>
        <item x="514"/>
        <item x="424"/>
        <item x="507"/>
        <item x="571"/>
        <item x="515"/>
        <item x="63"/>
        <item x="519"/>
        <item x="481"/>
        <item x="277"/>
        <item x="254"/>
        <item x="281"/>
        <item x="346"/>
        <item x="190"/>
        <item x="827"/>
        <item x="815"/>
        <item x="824"/>
        <item x="825"/>
        <item x="177"/>
        <item x="178"/>
        <item x="77"/>
        <item x="242"/>
        <item x="283"/>
        <item x="243"/>
        <item x="284"/>
        <item x="276"/>
        <item x="417"/>
        <item x="222"/>
        <item x="223"/>
        <item x="516"/>
        <item x="517"/>
        <item x="560"/>
        <item x="65"/>
        <item x="124"/>
        <item x="155"/>
        <item x="125"/>
        <item x="546"/>
        <item x="326"/>
        <item x="534"/>
        <item x="592"/>
        <item x="734"/>
        <item x="591"/>
        <item x="735"/>
        <item x="126"/>
        <item x="106"/>
        <item x="107"/>
        <item x="151"/>
        <item x="152"/>
        <item x="153"/>
        <item x="535"/>
        <item x="127"/>
        <item x="146"/>
        <item x="188"/>
        <item x="128"/>
        <item x="129"/>
        <item x="147"/>
        <item x="536"/>
        <item x="74"/>
        <item x="537"/>
        <item x="75"/>
        <item x="538"/>
        <item x="136"/>
        <item x="232"/>
        <item x="539"/>
        <item x="202"/>
        <item x="540"/>
        <item x="489"/>
        <item x="541"/>
        <item x="542"/>
        <item x="102"/>
        <item x="103"/>
        <item x="543"/>
        <item x="480"/>
        <item x="694"/>
        <item x="731"/>
        <item x="732"/>
        <item x="373"/>
        <item x="247"/>
        <item x="108"/>
        <item x="557"/>
        <item x="206"/>
        <item x="282"/>
        <item x="411"/>
        <item x="333"/>
        <item x="109"/>
        <item x="130"/>
        <item x="156"/>
        <item x="529"/>
        <item x="134"/>
        <item x="412"/>
        <item x="157"/>
        <item x="528"/>
        <item x="386"/>
        <item x="131"/>
        <item x="148"/>
        <item x="547"/>
        <item x="196"/>
        <item x="135"/>
        <item x="158"/>
        <item x="375"/>
        <item x="544"/>
        <item x="132"/>
        <item x="432"/>
        <item x="545"/>
        <item x="104"/>
        <item x="832"/>
        <item x="826"/>
        <item x="814"/>
        <item x="844"/>
        <item x="618"/>
        <item x="52"/>
        <item x="703"/>
        <item x="221"/>
        <item x="35"/>
        <item x="477"/>
        <item x="593"/>
        <item x="738"/>
        <item x="549"/>
        <item x="548"/>
        <item x="286"/>
        <item x="550"/>
        <item x="205"/>
        <item x="433"/>
        <item x="71"/>
        <item x="434"/>
        <item x="110"/>
        <item x="72"/>
        <item x="551"/>
        <item x="847"/>
        <item x="170"/>
        <item x="552"/>
        <item x="111"/>
        <item x="112"/>
        <item x="164"/>
        <item x="848"/>
        <item x="313"/>
        <item x="113"/>
        <item x="114"/>
        <item x="115"/>
        <item x="116"/>
        <item x="849"/>
        <item x="530"/>
        <item x="553"/>
        <item x="485"/>
        <item x="561"/>
        <item x="179"/>
        <item x="181"/>
        <item x="182"/>
        <item x="149"/>
        <item x="344"/>
        <item x="224"/>
        <item x="343"/>
        <item x="186"/>
        <item x="145"/>
        <item x="169"/>
        <item x="133"/>
        <item x="159"/>
        <item x="187"/>
        <item x="160"/>
        <item x="841"/>
        <item x="723"/>
        <item x="165"/>
        <item x="150"/>
        <item x="288"/>
        <item x="342"/>
        <item x="307"/>
        <item x="236"/>
        <item x="105"/>
        <item x="117"/>
        <item x="237"/>
        <item x="238"/>
        <item x="348"/>
        <item x="354"/>
        <item x="368"/>
        <item x="349"/>
        <item x="355"/>
        <item x="367"/>
        <item x="233"/>
        <item x="234"/>
        <item x="235"/>
        <item x="478"/>
        <item x="595"/>
        <item x="590"/>
        <item x="596"/>
        <item x="733"/>
        <item x="207"/>
        <item x="240"/>
        <item x="209"/>
        <item x="241"/>
        <item x="520"/>
        <item x="32"/>
        <item x="513"/>
        <item x="273"/>
        <item x="518"/>
        <item x="274"/>
        <item x="521"/>
        <item x="285"/>
        <item x="594"/>
        <item x="605"/>
        <item x="739"/>
        <item x="744"/>
        <item x="607"/>
        <item x="705"/>
        <item x="724"/>
        <item x="608"/>
        <item x="706"/>
        <item x="725"/>
        <item x="369"/>
        <item x="750"/>
        <item x="558"/>
        <item x="559"/>
        <item x="609"/>
        <item x="707"/>
        <item x="726"/>
        <item x="610"/>
        <item x="708"/>
        <item x="728"/>
        <item x="416"/>
        <item x="710"/>
        <item x="834"/>
        <item x="711"/>
        <item x="712"/>
        <item x="713"/>
        <item x="742"/>
        <item x="714"/>
        <item x="736"/>
        <item x="715"/>
        <item x="716"/>
        <item x="717"/>
        <item x="718"/>
        <item x="601"/>
        <item x="76"/>
        <item x="479"/>
        <item x="704"/>
        <item x="697"/>
        <item x="698"/>
        <item x="88"/>
        <item x="482"/>
        <item x="604"/>
        <item x="5"/>
        <item x="304"/>
        <item x="305"/>
        <item x="602"/>
        <item x="603"/>
        <item x="361"/>
        <item x="600"/>
        <item x="272"/>
        <item x="331"/>
        <item x="54"/>
        <item x="435"/>
        <item x="7"/>
        <item x="16"/>
        <item x="306"/>
        <item x="61"/>
        <item x="745"/>
        <item x="695"/>
        <item x="719"/>
        <item x="720"/>
        <item x="50"/>
        <item x="49"/>
        <item x="208"/>
        <item x="476"/>
        <item x="248"/>
        <item x="845"/>
        <item x="846"/>
        <item x="3"/>
        <item x="413"/>
        <item x="275"/>
        <item x="230"/>
        <item x="262"/>
        <item x="263"/>
        <item x="231"/>
        <item x="137"/>
        <item x="138"/>
        <item x="139"/>
        <item x="264"/>
        <item x="15"/>
        <item x="526"/>
        <item x="203"/>
        <item x="699"/>
        <item x="68"/>
        <item x="291"/>
        <item x="140"/>
        <item x="141"/>
        <item x="142"/>
        <item x="143"/>
        <item x="144"/>
        <item x="225"/>
        <item x="191"/>
        <item x="341"/>
        <item x="740"/>
        <item x="339"/>
        <item x="737"/>
        <item x="741"/>
        <item x="197"/>
        <item x="385"/>
        <item x="837"/>
        <item x="19"/>
        <item x="743"/>
        <item x="29"/>
        <item x="30"/>
        <item x="10"/>
        <item x="436"/>
        <item x="26"/>
        <item x="377"/>
        <item x="843"/>
        <item x="183"/>
        <item x="180"/>
        <item x="842"/>
        <item x="24"/>
        <item x="249"/>
        <item x="409"/>
        <item x="268"/>
        <item x="819"/>
        <item x="820"/>
        <item x="821"/>
        <item x="822"/>
        <item x="823"/>
        <item x="816"/>
        <item x="818"/>
        <item x="817"/>
        <item x="332"/>
        <item x="9"/>
        <item x="340"/>
        <item x="258"/>
        <item x="314"/>
        <item x="308"/>
        <item x="512"/>
        <item x="13"/>
        <item x="171"/>
        <item x="581"/>
        <item x="580"/>
        <item x="578"/>
        <item x="579"/>
        <item x="582"/>
        <item x="583"/>
        <item x="80"/>
        <item x="250"/>
        <item x="251"/>
        <item x="83"/>
        <item x="800"/>
        <item x="835"/>
        <item x="256"/>
        <item x="801"/>
        <item x="564"/>
        <item x="802"/>
        <item x="255"/>
        <item x="803"/>
        <item x="84"/>
        <item x="86"/>
        <item x="378"/>
        <item x="772"/>
        <item x="81"/>
        <item x="85"/>
        <item x="246"/>
        <item x="302"/>
        <item x="366"/>
        <item x="90"/>
        <item x="91"/>
        <item x="93"/>
        <item x="97"/>
        <item x="525"/>
        <item x="524"/>
        <item x="265"/>
        <item x="184"/>
        <item x="185"/>
        <item x="192"/>
        <item x="193"/>
        <item x="194"/>
        <item x="376"/>
        <item x="318"/>
        <item x="426"/>
        <item x="427"/>
        <item x="199"/>
        <item x="472"/>
        <item x="597"/>
        <item x="749"/>
        <item x="829"/>
        <item x="828"/>
        <item x="154"/>
        <item x="189"/>
        <item x="200"/>
        <item x="201"/>
        <item x="210"/>
        <item x="211"/>
        <item x="216"/>
        <item x="217"/>
        <item x="503"/>
        <item x="226"/>
        <item x="502"/>
        <item x="554"/>
        <item x="504"/>
        <item x="505"/>
        <item x="266"/>
        <item x="269"/>
        <item x="267"/>
        <item x="270"/>
        <item x="522"/>
        <item x="523"/>
        <item x="278"/>
        <item x="316"/>
        <item x="315"/>
        <item x="327"/>
        <item x="330"/>
        <item x="334"/>
        <item x="335"/>
        <item x="337"/>
        <item x="338"/>
        <item x="336"/>
        <item x="359"/>
        <item x="350"/>
        <item x="351"/>
        <item x="358"/>
        <item x="357"/>
        <item x="356"/>
        <item x="353"/>
        <item x="364"/>
        <item x="365"/>
        <item x="372"/>
        <item x="379"/>
        <item x="380"/>
        <item x="382"/>
        <item x="384"/>
        <item x="383"/>
        <item x="394"/>
        <item x="395"/>
        <item x="396"/>
        <item x="397"/>
        <item x="402"/>
        <item x="500"/>
        <item x="403"/>
        <item x="404"/>
        <item x="425"/>
        <item x="405"/>
        <item x="399"/>
        <item x="400"/>
        <item x="401"/>
        <item x="415"/>
        <item x="420"/>
        <item x="418"/>
        <item x="419"/>
        <item x="421"/>
        <item x="422"/>
        <item x="423"/>
        <item x="487"/>
        <item x="491"/>
        <item x="490"/>
        <item x="508"/>
        <item x="509"/>
        <item x="510"/>
        <item x="511"/>
        <item x="527"/>
        <item x="531"/>
        <item x="532"/>
        <item x="533"/>
        <item x="555"/>
        <item x="574"/>
        <item x="575"/>
        <item x="576"/>
        <item x="587"/>
        <item x="779"/>
        <item x="586"/>
        <item x="765"/>
        <item x="781"/>
        <item x="585"/>
        <item x="700"/>
        <item x="782"/>
        <item x="584"/>
        <item x="589"/>
        <item x="789"/>
        <item x="588"/>
        <item x="780"/>
        <item x="598"/>
        <item x="616"/>
        <item x="701"/>
        <item x="783"/>
        <item x="617"/>
        <item x="702"/>
        <item x="784"/>
        <item x="614"/>
        <item x="790"/>
        <item x="615"/>
        <item x="791"/>
        <item x="766"/>
        <item x="767"/>
        <item x="613"/>
        <item x="796"/>
        <item x="798"/>
        <item x="785"/>
        <item x="755"/>
        <item x="754"/>
        <item x="756"/>
        <item x="759"/>
        <item x="760"/>
        <item x="761"/>
        <item x="764"/>
        <item x="762"/>
        <item x="763"/>
        <item x="753"/>
        <item x="757"/>
        <item x="758"/>
        <item x="797"/>
        <item x="771"/>
        <item x="786"/>
        <item x="769"/>
        <item x="792"/>
        <item x="770"/>
        <item x="793"/>
        <item x="768"/>
        <item x="773"/>
        <item x="774"/>
        <item x="794"/>
        <item x="795"/>
        <item x="778"/>
        <item x="777"/>
        <item x="787"/>
        <item x="788"/>
        <item x="830"/>
        <item x="831"/>
        <item x="833"/>
        <item x="599"/>
        <item x="309"/>
        <item x="310"/>
        <item x="44"/>
        <item x="40"/>
        <item x="493"/>
        <item x="43"/>
        <item x="42"/>
        <item x="79"/>
        <item x="46"/>
        <item x="47"/>
        <item x="41"/>
        <item x="279"/>
        <item x="325"/>
        <item x="45"/>
        <item x="39"/>
        <item x="48"/>
        <item x="92"/>
        <item x="374"/>
        <item x="606"/>
        <item x="312"/>
        <item x="280"/>
        <item x="572"/>
        <item x="289"/>
        <item x="573"/>
        <item x="290"/>
        <item x="799"/>
        <item x="612"/>
        <item x="293"/>
        <item x="319"/>
        <item x="294"/>
        <item x="362"/>
        <item x="295"/>
        <item x="363"/>
        <item x="296"/>
        <item x="320"/>
        <item x="297"/>
        <item x="321"/>
        <item x="298"/>
        <item x="322"/>
        <item x="299"/>
        <item x="323"/>
        <item x="300"/>
        <item x="324"/>
        <item x="437"/>
        <item x="483"/>
        <item x="696"/>
        <item x="438"/>
        <item x="721"/>
        <item x="303"/>
        <item x="722"/>
        <item x="414"/>
        <item x="836"/>
        <item x="439"/>
        <item x="166"/>
        <item x="162"/>
        <item x="78"/>
        <item x="204"/>
        <item x="488"/>
        <item x="484"/>
        <item m="1" x="1152"/>
        <item x="850"/>
        <item x="851"/>
        <item x="1055"/>
        <item x="853"/>
        <item x="854"/>
        <item x="852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m="1" x="1153"/>
        <item x="974"/>
        <item x="975"/>
        <item x="976"/>
        <item x="977"/>
        <item x="978"/>
        <item x="979"/>
        <item x="980"/>
        <item x="981"/>
        <item x="982"/>
        <item x="983"/>
        <item m="1" x="1154"/>
        <item x="985"/>
        <item x="986"/>
        <item x="987"/>
        <item x="988"/>
        <item x="989"/>
        <item x="990"/>
        <item x="991"/>
        <item x="984"/>
        <item x="992"/>
        <item x="993"/>
        <item x="994"/>
        <item x="973"/>
        <item x="995"/>
        <item x="10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m="1" x="1151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t="default"/>
      </items>
    </pivotField>
    <pivotField axis="axisRow" showAll="0">
      <items count="13">
        <item x="0"/>
        <item x="1"/>
        <item x="2"/>
        <item x="6"/>
        <item x="9"/>
        <item x="4"/>
        <item x="7"/>
        <item x="3"/>
        <item x="5"/>
        <item x="8"/>
        <item m="1" x="11"/>
        <item m="1" x="10"/>
        <item t="default"/>
      </items>
    </pivotField>
    <pivotField axis="axisRow" showAll="0">
      <items count="956">
        <item x="181"/>
        <item x="750"/>
        <item x="751"/>
        <item x="60"/>
        <item x="311"/>
        <item x="68"/>
        <item x="24"/>
        <item x="469"/>
        <item x="466"/>
        <item x="659"/>
        <item x="28"/>
        <item x="20"/>
        <item x="16"/>
        <item x="396"/>
        <item x="528"/>
        <item x="701"/>
        <item x="555"/>
        <item x="687"/>
        <item x="702"/>
        <item x="704"/>
        <item x="688"/>
        <item x="703"/>
        <item x="556"/>
        <item x="705"/>
        <item x="730"/>
        <item x="731"/>
        <item x="733"/>
        <item x="732"/>
        <item x="734"/>
        <item x="735"/>
        <item x="736"/>
        <item x="737"/>
        <item x="433"/>
        <item x="435"/>
        <item x="436"/>
        <item x="437"/>
        <item x="438"/>
        <item x="439"/>
        <item x="440"/>
        <item x="441"/>
        <item x="442"/>
        <item x="432"/>
        <item x="480"/>
        <item x="120"/>
        <item x="121"/>
        <item x="122"/>
        <item x="123"/>
        <item x="124"/>
        <item x="125"/>
        <item x="434"/>
        <item x="254"/>
        <item x="83"/>
        <item x="206"/>
        <item x="255"/>
        <item x="746"/>
        <item x="514"/>
        <item x="516"/>
        <item x="253"/>
        <item x="154"/>
        <item x="78"/>
        <item x="81"/>
        <item x="308"/>
        <item x="243"/>
        <item x="695"/>
        <item x="84"/>
        <item x="696"/>
        <item x="85"/>
        <item x="371"/>
        <item x="365"/>
        <item x="697"/>
        <item x="689"/>
        <item x="266"/>
        <item x="699"/>
        <item x="379"/>
        <item x="380"/>
        <item x="602"/>
        <item x="378"/>
        <item x="603"/>
        <item x="389"/>
        <item x="604"/>
        <item x="381"/>
        <item x="605"/>
        <item x="382"/>
        <item x="606"/>
        <item x="676"/>
        <item x="383"/>
        <item x="607"/>
        <item x="677"/>
        <item x="608"/>
        <item x="678"/>
        <item x="718"/>
        <item x="609"/>
        <item x="360"/>
        <item x="361"/>
        <item x="500"/>
        <item x="610"/>
        <item x="719"/>
        <item x="611"/>
        <item x="713"/>
        <item x="720"/>
        <item x="612"/>
        <item x="553"/>
        <item x="721"/>
        <item x="613"/>
        <item x="708"/>
        <item x="722"/>
        <item x="614"/>
        <item x="723"/>
        <item x="615"/>
        <item x="552"/>
        <item x="724"/>
        <item x="616"/>
        <item x="709"/>
        <item x="617"/>
        <item x="554"/>
        <item x="725"/>
        <item x="618"/>
        <item x="710"/>
        <item x="619"/>
        <item x="620"/>
        <item x="539"/>
        <item x="685"/>
        <item x="726"/>
        <item x="521"/>
        <item x="621"/>
        <item x="711"/>
        <item x="622"/>
        <item x="623"/>
        <item x="624"/>
        <item x="692"/>
        <item x="686"/>
        <item x="748"/>
        <item x="727"/>
        <item x="625"/>
        <item x="712"/>
        <item x="626"/>
        <item x="600"/>
        <item x="601"/>
        <item x="374"/>
        <item x="489"/>
        <item x="350"/>
        <item x="560"/>
        <item x="561"/>
        <item x="562"/>
        <item x="563"/>
        <item x="564"/>
        <item x="565"/>
        <item x="566"/>
        <item x="474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558"/>
        <item x="559"/>
        <item x="410"/>
        <item x="215"/>
        <item x="89"/>
        <item x="96"/>
        <item x="161"/>
        <item x="95"/>
        <item x="94"/>
        <item x="4"/>
        <item x="498"/>
        <item x="497"/>
        <item x="271"/>
        <item x="355"/>
        <item x="356"/>
        <item x="665"/>
        <item x="666"/>
        <item x="667"/>
        <item x="668"/>
        <item x="669"/>
        <item x="264"/>
        <item x="457"/>
        <item x="458"/>
        <item x="427"/>
        <item x="428"/>
        <item x="429"/>
        <item x="430"/>
        <item x="431"/>
        <item x="690"/>
        <item x="456"/>
        <item x="691"/>
        <item x="443"/>
        <item x="444"/>
        <item x="532"/>
        <item x="527"/>
        <item x="445"/>
        <item x="446"/>
        <item x="447"/>
        <item x="448"/>
        <item x="449"/>
        <item x="450"/>
        <item x="451"/>
        <item x="453"/>
        <item x="455"/>
        <item x="452"/>
        <item x="454"/>
        <item x="90"/>
        <item x="93"/>
        <item x="97"/>
        <item x="91"/>
        <item x="151"/>
        <item x="258"/>
        <item x="259"/>
        <item x="98"/>
        <item x="99"/>
        <item x="100"/>
        <item x="101"/>
        <item x="698"/>
        <item x="391"/>
        <item x="17"/>
        <item x="18"/>
        <item x="397"/>
        <item x="168"/>
        <item x="212"/>
        <item x="167"/>
        <item x="211"/>
        <item x="496"/>
        <item x="524"/>
        <item x="495"/>
        <item x="138"/>
        <item x="145"/>
        <item x="32"/>
        <item x="321"/>
        <item x="169"/>
        <item x="186"/>
        <item x="533"/>
        <item x="465"/>
        <item x="185"/>
        <item x="228"/>
        <item x="263"/>
        <item x="233"/>
        <item x="314"/>
        <item x="179"/>
        <item x="9"/>
        <item x="247"/>
        <item x="670"/>
        <item x="296"/>
        <item x="175"/>
        <item x="174"/>
        <item x="176"/>
        <item x="177"/>
        <item x="173"/>
        <item x="178"/>
        <item x="56"/>
        <item x="634"/>
        <item x="14"/>
        <item x="393"/>
        <item x="481"/>
        <item x="405"/>
        <item x="55"/>
        <item x="0"/>
        <item x="53"/>
        <item x="31"/>
        <item x="550"/>
        <item x="189"/>
        <item x="216"/>
        <item x="12"/>
        <item x="8"/>
        <item x="354"/>
        <item x="92"/>
        <item x="301"/>
        <item x="316"/>
        <item x="325"/>
        <item x="305"/>
        <item x="292"/>
        <item x="306"/>
        <item x="479"/>
        <item x="303"/>
        <item x="717"/>
        <item x="37"/>
        <item x="304"/>
        <item x="300"/>
        <item x="299"/>
        <item x="302"/>
        <item x="706"/>
        <item x="707"/>
        <item x="251"/>
        <item x="252"/>
        <item x="250"/>
        <item x="345"/>
        <item x="21"/>
        <item x="22"/>
        <item x="729"/>
        <item x="741"/>
        <item x="358"/>
        <item x="398"/>
        <item x="399"/>
        <item x="531"/>
        <item x="530"/>
        <item x="682"/>
        <item x="683"/>
        <item x="738"/>
        <item x="739"/>
        <item x="743"/>
        <item x="77"/>
        <item x="218"/>
        <item m="1" x="954"/>
        <item x="745"/>
        <item x="217"/>
        <item x="477"/>
        <item x="344"/>
        <item x="25"/>
        <item x="219"/>
        <item x="482"/>
        <item x="286"/>
        <item x="343"/>
        <item x="86"/>
        <item x="328"/>
        <item x="27"/>
        <item x="51"/>
        <item x="45"/>
        <item x="40"/>
        <item x="44"/>
        <item x="43"/>
        <item x="42"/>
        <item x="41"/>
        <item x="79"/>
        <item x="48"/>
        <item x="46"/>
        <item x="47"/>
        <item x="38"/>
        <item x="284"/>
        <item x="39"/>
        <item x="73"/>
        <item x="163"/>
        <item x="280"/>
        <item x="298"/>
        <item x="293"/>
        <item x="23"/>
        <item x="267"/>
        <item x="260"/>
        <item x="475"/>
        <item x="421"/>
        <item x="15"/>
        <item x="362"/>
        <item x="650"/>
        <item x="652"/>
        <item x="651"/>
        <item x="235"/>
        <item x="112"/>
        <item x="119"/>
        <item x="547"/>
        <item x="548"/>
        <item x="510"/>
        <item x="203"/>
        <item x="509"/>
        <item x="472"/>
        <item x="501"/>
        <item x="664"/>
        <item x="537"/>
        <item x="538"/>
        <item x="643"/>
        <item x="640"/>
        <item x="641"/>
        <item x="642"/>
        <item x="646"/>
        <item x="150"/>
        <item x="114"/>
        <item x="113"/>
        <item x="103"/>
        <item x="102"/>
        <item x="404"/>
        <item x="160"/>
        <item x="638"/>
        <item x="635"/>
        <item x="636"/>
        <item x="637"/>
        <item x="671"/>
        <item x="627"/>
        <item x="118"/>
        <item x="413"/>
        <item x="109"/>
        <item x="412"/>
        <item x="108"/>
        <item x="234"/>
        <item x="245"/>
        <item x="656"/>
        <item x="210"/>
        <item x="511"/>
        <item x="508"/>
        <item x="505"/>
        <item x="74"/>
        <item x="322"/>
        <item x="658"/>
        <item x="655"/>
        <item x="409"/>
        <item x="467"/>
        <item x="545"/>
        <item x="546"/>
        <item x="657"/>
        <item x="244"/>
        <item x="71"/>
        <item x="639"/>
        <item x="319"/>
        <item x="115"/>
        <item x="164"/>
        <item x="752"/>
        <item x="116"/>
        <item x="366"/>
        <item x="136"/>
        <item x="653"/>
        <item x="363"/>
        <item x="75"/>
        <item x="72"/>
        <item x="117"/>
        <item x="170"/>
        <item x="525"/>
        <item x="526"/>
        <item x="522"/>
        <item x="523"/>
        <item x="249"/>
        <item x="214"/>
        <item x="213"/>
        <item x="172"/>
        <item x="307"/>
        <item x="242"/>
        <item x="649"/>
        <item x="165"/>
        <item x="291"/>
        <item x="326"/>
        <item x="229"/>
        <item x="269"/>
        <item x="476"/>
        <item x="52"/>
        <item x="200"/>
        <item x="506"/>
        <item x="507"/>
        <item x="632"/>
        <item x="220"/>
        <item x="35"/>
        <item x="463"/>
        <item x="265"/>
        <item x="246"/>
        <item x="248"/>
        <item x="339"/>
        <item x="390"/>
        <item x="400"/>
        <item x="180"/>
        <item x="182"/>
        <item x="297"/>
        <item x="202"/>
        <item x="272"/>
        <item x="207"/>
        <item x="352"/>
        <item x="283"/>
        <item x="149"/>
        <item x="232"/>
        <item x="337"/>
        <item x="336"/>
        <item x="223"/>
        <item x="148"/>
        <item x="201"/>
        <item x="231"/>
        <item x="230"/>
        <item x="406"/>
        <item x="357"/>
        <item x="353"/>
        <item x="347"/>
        <item x="342"/>
        <item x="105"/>
        <item x="340"/>
        <item x="341"/>
        <item x="654"/>
        <item x="464"/>
        <item x="536"/>
        <item x="346"/>
        <item x="681"/>
        <item x="385"/>
        <item x="333"/>
        <item x="629"/>
        <item x="418"/>
        <item x="59"/>
        <item x="419"/>
        <item x="282"/>
        <item x="57"/>
        <item x="58"/>
        <item x="461"/>
        <item x="462"/>
        <item x="460"/>
        <item x="416"/>
        <item x="417"/>
        <item x="198"/>
        <item x="411"/>
        <item x="386"/>
        <item x="376"/>
        <item x="388"/>
        <item x="387"/>
        <item x="401"/>
        <item x="240"/>
        <item x="289"/>
        <item x="672"/>
        <item x="487"/>
        <item x="488"/>
        <item x="221"/>
        <item x="222"/>
        <item x="239"/>
        <item x="209"/>
        <item x="288"/>
        <item x="236"/>
        <item x="241"/>
        <item x="549"/>
        <item x="278"/>
        <item x="184"/>
        <item x="277"/>
        <item x="183"/>
        <item x="415"/>
        <item x="494"/>
        <item x="408"/>
        <item x="294"/>
        <item x="295"/>
        <item x="367"/>
        <item x="502"/>
        <item x="394"/>
        <item x="520"/>
        <item x="318"/>
        <item x="192"/>
        <item x="82"/>
        <item x="513"/>
        <item x="226"/>
        <item x="270"/>
        <item x="492"/>
        <item x="493"/>
        <item x="407"/>
        <item x="680"/>
        <item x="679"/>
        <item x="317"/>
        <item x="468"/>
        <item x="373"/>
        <item x="67"/>
        <item x="324"/>
        <item x="414"/>
        <item x="323"/>
        <item x="478"/>
        <item x="335"/>
        <item x="70"/>
        <item x="63"/>
        <item x="517"/>
        <item x="518"/>
        <item x="69"/>
        <item x="66"/>
        <item x="519"/>
        <item x="6"/>
        <item x="36"/>
        <item x="285"/>
        <item x="281"/>
        <item x="485"/>
        <item x="484"/>
        <item x="660"/>
        <item x="162"/>
        <item x="364"/>
        <item x="512"/>
        <item x="647"/>
        <item x="473"/>
        <item x="384"/>
        <item x="648"/>
        <item x="329"/>
        <item x="424"/>
        <item x="470"/>
        <item x="310"/>
        <item x="375"/>
        <item x="425"/>
        <item x="645"/>
        <item x="403"/>
        <item x="426"/>
        <item x="747"/>
        <item x="205"/>
        <item x="191"/>
        <item x="262"/>
        <item x="392"/>
        <item x="279"/>
        <item x="261"/>
        <item x="227"/>
        <item x="268"/>
        <item x="166"/>
        <item x="225"/>
        <item x="188"/>
        <item x="499"/>
        <item x="504"/>
        <item x="327"/>
        <item x="33"/>
        <item x="34"/>
        <item x="662"/>
        <item x="62"/>
        <item x="194"/>
        <item x="197"/>
        <item x="64"/>
        <item x="661"/>
        <item x="716"/>
        <item x="693"/>
        <item x="256"/>
        <item x="694"/>
        <item m="1" x="953"/>
        <item x="490"/>
        <item x="315"/>
        <item x="13"/>
        <item x="2"/>
        <item x="1"/>
        <item x="11"/>
        <item x="199"/>
        <item x="663"/>
        <item x="684"/>
        <item x="29"/>
        <item x="30"/>
        <item x="338"/>
        <item x="334"/>
        <item x="370"/>
        <item x="196"/>
        <item x="10"/>
        <item x="749"/>
        <item x="19"/>
        <item x="673"/>
        <item x="423"/>
        <item x="742"/>
        <item x="320"/>
        <item x="26"/>
        <item x="359"/>
        <item x="544"/>
        <item x="330"/>
        <item x="540"/>
        <item x="76"/>
        <item x="88"/>
        <item x="633"/>
        <item x="630"/>
        <item x="631"/>
        <item x="54"/>
        <item x="422"/>
        <item x="628"/>
        <item x="644"/>
        <item x="313"/>
        <item x="542"/>
        <item x="543"/>
        <item x="541"/>
        <item x="312"/>
        <item x="7"/>
        <item x="273"/>
        <item x="61"/>
        <item x="3"/>
        <item x="5"/>
        <item x="471"/>
        <item x="257"/>
        <item x="140"/>
        <item x="137"/>
        <item x="224"/>
        <item x="141"/>
        <item x="144"/>
        <item x="139"/>
        <item x="143"/>
        <item x="142"/>
        <item x="50"/>
        <item x="49"/>
        <item x="171"/>
        <item x="331"/>
        <item x="309"/>
        <item x="190"/>
        <item x="80"/>
        <item x="87"/>
        <item x="557"/>
        <item x="675"/>
        <item x="715"/>
        <item x="127"/>
        <item x="535"/>
        <item x="534"/>
        <item x="133"/>
        <item x="147"/>
        <item x="128"/>
        <item x="332"/>
        <item x="135"/>
        <item x="157"/>
        <item x="377"/>
        <item x="486"/>
        <item x="503"/>
        <item x="290"/>
        <item x="111"/>
        <item x="275"/>
        <item x="368"/>
        <item x="674"/>
        <item x="156"/>
        <item x="420"/>
        <item x="110"/>
        <item x="107"/>
        <item x="153"/>
        <item x="158"/>
        <item x="395"/>
        <item x="483"/>
        <item x="351"/>
        <item x="131"/>
        <item x="132"/>
        <item x="287"/>
        <item x="238"/>
        <item x="208"/>
        <item x="459"/>
        <item x="491"/>
        <item x="369"/>
        <item x="104"/>
        <item x="728"/>
        <item x="402"/>
        <item x="551"/>
        <item x="714"/>
        <item x="740"/>
        <item x="204"/>
        <item x="195"/>
        <item x="372"/>
        <item x="348"/>
        <item x="349"/>
        <item x="130"/>
        <item x="134"/>
        <item x="159"/>
        <item x="106"/>
        <item x="152"/>
        <item x="129"/>
        <item x="146"/>
        <item x="126"/>
        <item x="237"/>
        <item x="193"/>
        <item x="65"/>
        <item x="744"/>
        <item x="529"/>
        <item x="700"/>
        <item x="274"/>
        <item x="276"/>
        <item x="187"/>
        <item x="155"/>
        <item x="515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18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t="default"/>
      </items>
    </pivotField>
    <pivotField axis="axisRow" showAll="0">
      <items count="8">
        <item x="0"/>
        <item x="2"/>
        <item x="3"/>
        <item sd="0" m="1" x="6"/>
        <item x="4"/>
        <item x="1"/>
        <item m="1" x="5"/>
        <item t="default"/>
      </items>
    </pivotField>
    <pivotField showAll="0"/>
    <pivotField showAll="0"/>
  </pivotFields>
  <rowFields count="5">
    <field x="6"/>
    <field x="2"/>
    <field x="3"/>
    <field x="5"/>
    <field x="4"/>
  </rowFields>
  <rowItems count="37">
    <i>
      <x/>
    </i>
    <i r="1">
      <x v="652"/>
    </i>
    <i r="1">
      <x v="949"/>
    </i>
    <i r="1">
      <x v="950"/>
    </i>
    <i r="1">
      <x v="952"/>
    </i>
    <i r="1">
      <x v="953"/>
    </i>
    <i r="1">
      <x v="955"/>
    </i>
    <i r="1">
      <x v="960"/>
    </i>
    <i r="1">
      <x v="962"/>
    </i>
    <i>
      <x v="1"/>
    </i>
    <i r="1">
      <x v="794"/>
    </i>
    <i r="1">
      <x v="795"/>
    </i>
    <i r="1">
      <x v="952"/>
    </i>
    <i r="1">
      <x v="956"/>
    </i>
    <i r="1">
      <x v="957"/>
    </i>
    <i r="1">
      <x v="958"/>
    </i>
    <i r="1">
      <x v="962"/>
    </i>
    <i r="1">
      <x v="963"/>
    </i>
    <i r="1">
      <x v="964"/>
    </i>
    <i r="1">
      <x v="965"/>
    </i>
    <i r="1">
      <x v="966"/>
    </i>
    <i r="1">
      <x v="967"/>
    </i>
    <i>
      <x v="2"/>
    </i>
    <i r="1">
      <x v="952"/>
    </i>
    <i r="1">
      <x v="969"/>
    </i>
    <i r="1">
      <x v="973"/>
    </i>
    <i r="1">
      <x v="974"/>
    </i>
    <i>
      <x v="4"/>
    </i>
    <i r="1">
      <x v="951"/>
    </i>
    <i r="1">
      <x v="959"/>
    </i>
    <i r="1">
      <x v="968"/>
    </i>
    <i r="1">
      <x v="970"/>
    </i>
    <i r="1">
      <x v="971"/>
    </i>
    <i r="1">
      <x v="972"/>
    </i>
    <i r="1">
      <x v="975"/>
    </i>
    <i r="1">
      <x v="976"/>
    </i>
    <i t="grand">
      <x/>
    </i>
  </rowItems>
  <colItems count="1">
    <i/>
  </colItems>
  <pageFields count="1">
    <pageField fld="1" hier="-1"/>
  </pageFields>
  <dataFields count="1">
    <dataField name="Count of Date" fld="1" subtotal="count" baseField="0" baseItem="0"/>
  </dataFields>
  <pivotTableStyleInfo name="PivotStyleLight16" showRowHeaders="1" showColHeaders="1" showRowStripes="0" showColStripes="0" showLastColumn="1"/>
  <filters count="1">
    <filter fld="1" type="dateBetween" evalOrder="-1" id="65" name="Date">
      <autoFilter ref="A1">
        <filterColumn colId="0">
          <customFilters and="1">
            <customFilter operator="greaterThanOrEqual" val="45566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7ABF3-4B95-4CF5-ACD1-1535C7B5074F}" name="ProductInfo" displayName="ProductInfo" ref="A1:Z2671" totalsRowShown="0" headerRowDxfId="826" dataDxfId="825">
  <autoFilter ref="A1:Z2671" xr:uid="{C1FEF73C-C6BE-4BA1-880C-28D9ED52E896}"/>
  <tableColumns count="26">
    <tableColumn id="1" xr3:uid="{49834898-1C57-41D4-8187-4C0FDFB31F56}" name="Part No" dataDxfId="824"/>
    <tableColumn id="13" xr3:uid="{A67B5BE2-9B42-4C3F-88E2-69897A0E90E9}" name="Drawing No" dataDxfId="823"/>
    <tableColumn id="3" xr3:uid="{4ABC1161-C409-497C-B354-132EAC3F9418}" name="Revision" dataDxfId="822">
      <calculatedColumnFormula>RIGHT(ProductInfo[[#This Row],[Drawing No]],1)</calculatedColumnFormula>
    </tableColumn>
    <tableColumn id="2" xr3:uid="{E707535B-9792-4D2A-90BB-3A679FB07ADA}" name="Part Name" dataDxfId="821" dataCellStyle="Normal 4"/>
    <tableColumn id="17" xr3:uid="{CC3439F6-106C-4245-A042-EFE05242E7D4}" name="Material Code" dataDxfId="820" dataCellStyle="Normal 4"/>
    <tableColumn id="16" xr3:uid="{BBDF1E29-3D1C-42BA-9165-C7F8D6E30021}" name="รายละเอียดวัตถุดิบ" dataDxfId="819" dataCellStyle="Normal 4">
      <calculatedColumnFormula>IFERROR(INDEX(MaterialCode[รายละเอียด],MATCH(ProductInfo[[#This Row],[Material Code]],MaterialCode[Material Code],0)),"ไม่พบวัตถุดิบ")</calculatedColumnFormula>
    </tableColumn>
    <tableColumn id="18" xr3:uid="{5F44A04E-DB54-479B-BB07-B077BE595486}" name="ความยาววัตถุดิบ" dataDxfId="818" dataCellStyle="Normal 4"/>
    <tableColumn id="21" xr3:uid="{ECBC0994-5B4A-4066-A5A9-3B2587FB707B}" name="จำนวนตัด/ลัง" dataDxfId="817" dataCellStyle="Normal 4"/>
    <tableColumn id="12" xr3:uid="{3144CA2A-80C6-4819-A473-2BE8A027BAFF}" name="ขั้นตอนทั้งหมด" dataDxfId="816">
      <calculatedColumnFormula>COUNTA(ProductInfo[[#This Row],[P1]:[P15]])</calculatedColumnFormula>
    </tableColumn>
    <tableColumn id="15" xr3:uid="{F147AE9B-E030-478B-93BF-7EC0D916409D}" name="ขั้นตอน_x000a_งานกลึง" dataDxfId="815">
      <calculatedColumnFormula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calculatedColumnFormula>
    </tableColumn>
    <tableColumn id="14" xr3:uid="{1E15D596-55AE-4105-8B45-06B2C637E9D3}" name="ขั้นตอน_x000a_งานกัด" dataDxfId="814">
      <calculatedColumnFormula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calculatedColumnFormula>
    </tableColumn>
    <tableColumn id="4" xr3:uid="{145FBE3C-E060-4F71-9B4E-020FFBE67971}" name="P1" dataDxfId="813"/>
    <tableColumn id="5" xr3:uid="{2A755193-07E2-4499-B010-64F3C472CD29}" name="P2" dataDxfId="812"/>
    <tableColumn id="6" xr3:uid="{0605BEDC-3E29-4F2C-8F98-C997FBF5E0D0}" name="P3" dataDxfId="811"/>
    <tableColumn id="7" xr3:uid="{E0F1C103-E70C-405E-ACE7-94C498E50B71}" name="P4" dataDxfId="810"/>
    <tableColumn id="8" xr3:uid="{D7D353D5-A35C-4CCA-BE7E-6A23064C72AB}" name="P5" dataDxfId="809"/>
    <tableColumn id="9" xr3:uid="{C6BB4BD8-8731-4D33-9561-CA1341F3A065}" name="P6" dataDxfId="808"/>
    <tableColumn id="10" xr3:uid="{E50D8F8D-36E9-4CEF-8358-B986C461879C}" name="P7" dataDxfId="807"/>
    <tableColumn id="11" xr3:uid="{BF78DE80-4676-488D-A96A-64038AEE3AF7}" name="P8" dataDxfId="806"/>
    <tableColumn id="19" xr3:uid="{327E2D94-200F-47EF-B953-120A332773D7}" name="P9" dataDxfId="805"/>
    <tableColumn id="20" xr3:uid="{58B48464-BEB5-4993-A6A6-132AC2829ABB}" name="P10" dataDxfId="804"/>
    <tableColumn id="22" xr3:uid="{1DCCF73C-64CA-4E56-9DE7-7380B9276823}" name="P11" dataDxfId="803"/>
    <tableColumn id="23" xr3:uid="{AFFA15B2-4C5A-4D39-937B-FEAC8B0BA3B9}" name="P12" dataDxfId="802"/>
    <tableColumn id="24" xr3:uid="{89F4DE25-F2A0-4EFA-839A-6268F86F3345}" name="P13" dataDxfId="801"/>
    <tableColumn id="25" xr3:uid="{52697BCA-3911-424A-A09F-AB114E9D648D}" name="P14" dataDxfId="800"/>
    <tableColumn id="26" xr3:uid="{D2E6FE9B-D4A2-4F82-B1B1-061900BEEFB9}" name="P15" dataDxfId="79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DC8B0-32E5-4436-B2C7-04383DB57850}" name="บันทึกนำเข้าDrawing" displayName="บันทึกนำเข้าDrawing" ref="A1:I1519" totalsRowShown="0" headerRowDxfId="798" dataDxfId="797">
  <autoFilter ref="A1:I1519" xr:uid="{53AEE9FB-DE0C-4F23-B13B-C873118E2F64}"/>
  <sortState xmlns:xlrd2="http://schemas.microsoft.com/office/spreadsheetml/2017/richdata2" ref="A1074:I1491">
    <sortCondition ref="F1:F1491"/>
  </sortState>
  <tableColumns count="9">
    <tableColumn id="1" xr3:uid="{23D5AC54-B026-4C34-99D2-0AD8218CA76B}" name="No" dataDxfId="796"/>
    <tableColumn id="2" xr3:uid="{20F4DAFC-E9D1-467E-8AD7-D221BC8D8087}" name="Date" dataDxfId="795"/>
    <tableColumn id="3" xr3:uid="{47B7FFC7-B921-4EC1-A764-E1874712A4EB}" name="Drawing No" dataDxfId="794"/>
    <tableColumn id="4" xr3:uid="{6B6F7F81-D8E7-4D60-8AB4-058139A183B8}" name="Part No" dataDxfId="793"/>
    <tableColumn id="8" xr3:uid="{16470845-C6A7-44B4-AD3C-655EA97A8F34}" name="Rev" dataDxfId="792">
      <calculatedColumnFormula>RIGHT(บันทึกนำเข้าDrawing[[#This Row],[Drawing No]],1)</calculatedColumnFormula>
    </tableColumn>
    <tableColumn id="5" xr3:uid="{08CC5F01-8FAA-4A92-8617-B5EDDC369E40}" name="Part Name" dataDxfId="791"/>
    <tableColumn id="6" xr3:uid="{4ED1B224-74EB-471B-952B-831E056A475C}" name="Status" dataDxfId="790"/>
    <tableColumn id="7" xr3:uid="{EBEEB813-61A2-4A87-8F49-31EBF0C83C15}" name="วันที่ข้อมูลเสร็จ" dataDxfId="789"/>
    <tableColumn id="9" xr3:uid="{5598250E-137D-4F2E-B4F6-62599E65B06C}" name="Part&amp;Drawing" dataDxfId="788">
      <calculatedColumnFormula>CONCATENATE(บันทึกนำเข้าDrawing[[#This Row],[Part No]],"+",บันทึกนำเข้าDrawing[[#This Row],[Drawing No]])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71C818-4F97-49C9-9FDB-A07F0F656BA3}" name="MaterialCode" displayName="MaterialCode" ref="A1:F150" totalsRowShown="0" headerRowDxfId="787" dataDxfId="785" headerRowBorderDxfId="786" tableBorderDxfId="784">
  <autoFilter ref="A1:F150" xr:uid="{DD573FC2-0F9A-4A85-910C-F08DD3286FE8}"/>
  <tableColumns count="6">
    <tableColumn id="6" xr3:uid="{E3962604-38B0-42DB-BF76-6E4C32E124D8}" name="ATP Code" dataDxfId="783" dataCellStyle="Normal 4"/>
    <tableColumn id="1" xr3:uid="{002D6612-B872-4E2E-989C-FFDC64A09F4A}" name="Material Code" dataDxfId="782" dataCellStyle="Normal 4"/>
    <tableColumn id="2" xr3:uid="{6157DE4E-F0C7-4BD6-82E2-9F7B9A4E98BE}" name="รายละเอียด" dataDxfId="781" dataCellStyle="Normal 4"/>
    <tableColumn id="3" xr3:uid="{514EB85F-1359-4530-B188-211777FA7D17}" name="ยาว/ท่อน" dataDxfId="780"/>
    <tableColumn id="4" xr3:uid="{27A5C841-9EF7-4DBF-B4B7-00A19F341BA3}" name="GRADE" dataDxfId="779"/>
    <tableColumn id="5" xr3:uid="{F9D3FE61-BE38-4A36-ACCF-D2083B14E3E7}" name="น้ำหนัก/เส้น" dataDxfId="77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5AF058-09FA-4F72-ACD3-39DA7959E8C4}" name="ColorCode" displayName="ColorCode" ref="A1:B22" totalsRowShown="0" headerRowDxfId="777" dataDxfId="776">
  <autoFilter ref="A1:B22" xr:uid="{CF88E17A-6F68-4858-94C3-F4AC82B42CC3}"/>
  <sortState xmlns:xlrd2="http://schemas.microsoft.com/office/spreadsheetml/2017/richdata2" ref="A2:B15">
    <sortCondition ref="A1:A15"/>
  </sortState>
  <tableColumns count="2">
    <tableColumn id="1" xr3:uid="{8C99F971-1605-4368-94B0-45EFABAACBB8}" name="Color Code" dataDxfId="775"/>
    <tableColumn id="2" xr3:uid="{FC85F67D-57CC-4AD6-B89F-1DB36549F2DB}" name="Color" dataDxfId="77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DA1C6C63-A0E3-4A1A-AEF4-4CBFA526482E}" sourceName="Date">
  <pivotTables>
    <pivotTable tabId="5" name="PivotTable2"/>
  </pivotTables>
  <state minimalRefreshVersion="6" lastRefreshVersion="6" pivotCacheId="2060505337" filterType="dateBetween">
    <selection startDate="2024-10-01T00:00:00" endDate="2024-12-31T00:00:00"/>
    <bounds startDate="201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9F90A7A-1496-4FF3-A23F-500E023E0F41}" cache="NativeTimeline_Date" caption="Date" level="1" selectionLevel="1" scrollPosition="2022-04-02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2862-188F-4516-82A1-CB6B2D21747B}">
  <sheetPr>
    <pageSetUpPr fitToPage="1"/>
  </sheetPr>
  <dimension ref="A1:AL2692"/>
  <sheetViews>
    <sheetView tabSelected="1" zoomScale="70" zoomScaleNormal="70" workbookViewId="0">
      <pane ySplit="1" topLeftCell="A2021" activePane="bottomLeft" state="frozen"/>
      <selection pane="bottomLeft" activeCell="D2694" sqref="D2693:D2694"/>
    </sheetView>
  </sheetViews>
  <sheetFormatPr defaultColWidth="8.88671875" defaultRowHeight="18"/>
  <cols>
    <col min="1" max="1" width="18.6640625" style="4" customWidth="1"/>
    <col min="2" max="2" width="39.109375" style="4" customWidth="1"/>
    <col min="3" max="3" width="12.33203125" style="2" customWidth="1"/>
    <col min="4" max="4" width="101.5546875" style="173" customWidth="1"/>
    <col min="5" max="5" width="21.44140625" style="5" customWidth="1"/>
    <col min="6" max="6" width="33" style="5" customWidth="1"/>
    <col min="7" max="7" width="20.33203125" style="4" bestFit="1" customWidth="1"/>
    <col min="8" max="8" width="22.44140625" style="63" customWidth="1"/>
    <col min="9" max="9" width="12.6640625" bestFit="1" customWidth="1"/>
    <col min="10" max="10" width="13.109375" style="2" bestFit="1" customWidth="1"/>
    <col min="11" max="11" width="12.6640625" style="2" bestFit="1" customWidth="1"/>
    <col min="12" max="12" width="8.109375" style="2" bestFit="1" customWidth="1"/>
    <col min="13" max="17" width="8.109375" style="4" bestFit="1" customWidth="1"/>
    <col min="18" max="18" width="8.33203125" style="4" customWidth="1"/>
    <col min="19" max="20" width="8.109375" style="4" customWidth="1"/>
    <col min="21" max="25" width="9.109375" style="4" customWidth="1"/>
    <col min="26" max="26" width="8.109375" style="4" customWidth="1"/>
    <col min="27" max="27" width="16.33203125" style="4" customWidth="1"/>
    <col min="28" max="28" width="15.33203125" style="2" customWidth="1"/>
    <col min="31" max="31" width="10.33203125" style="5" customWidth="1"/>
    <col min="39" max="39" width="20.33203125" style="2" bestFit="1" customWidth="1"/>
    <col min="40" max="16384" width="8.88671875" style="2"/>
  </cols>
  <sheetData>
    <row r="1" spans="1:26" s="211" customFormat="1" ht="46.8">
      <c r="A1" s="173" t="s">
        <v>0</v>
      </c>
      <c r="B1" s="173" t="s">
        <v>3098</v>
      </c>
      <c r="C1" s="211" t="s">
        <v>3</v>
      </c>
      <c r="D1" s="216" t="s">
        <v>1</v>
      </c>
      <c r="E1" s="266" t="s">
        <v>3300</v>
      </c>
      <c r="F1" s="216" t="s">
        <v>3302</v>
      </c>
      <c r="G1" s="214" t="s">
        <v>3301</v>
      </c>
      <c r="H1" s="215" t="s">
        <v>4638</v>
      </c>
      <c r="I1" s="213" t="s">
        <v>3100</v>
      </c>
      <c r="J1" s="213" t="s">
        <v>3101</v>
      </c>
      <c r="K1" s="213" t="s">
        <v>3102</v>
      </c>
      <c r="L1" s="212" t="s">
        <v>4</v>
      </c>
      <c r="M1" s="212" t="s">
        <v>5</v>
      </c>
      <c r="N1" s="212" t="s">
        <v>6</v>
      </c>
      <c r="O1" s="212" t="s">
        <v>7</v>
      </c>
      <c r="P1" s="212" t="s">
        <v>8</v>
      </c>
      <c r="Q1" s="212" t="s">
        <v>9</v>
      </c>
      <c r="R1" s="212" t="s">
        <v>10</v>
      </c>
      <c r="S1" s="212" t="s">
        <v>11</v>
      </c>
      <c r="T1" s="212" t="s">
        <v>4501</v>
      </c>
      <c r="U1" s="212" t="s">
        <v>4502</v>
      </c>
      <c r="V1" s="212" t="s">
        <v>4656</v>
      </c>
      <c r="W1" s="212" t="s">
        <v>4657</v>
      </c>
      <c r="X1" s="212" t="s">
        <v>4658</v>
      </c>
      <c r="Y1" s="212" t="s">
        <v>4659</v>
      </c>
      <c r="Z1" s="212" t="s">
        <v>4660</v>
      </c>
    </row>
    <row r="2" spans="1:26" s="1" customFormat="1">
      <c r="A2" s="8" t="s">
        <v>44</v>
      </c>
      <c r="B2" s="8" t="s">
        <v>44</v>
      </c>
      <c r="C2" s="1" t="str">
        <f>RIGHT(ProductInfo[[#This Row],[Drawing No]],1)</f>
        <v>2</v>
      </c>
      <c r="D2" s="175" t="s">
        <v>2333</v>
      </c>
      <c r="E2" s="46"/>
      <c r="F2" s="14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" s="4"/>
      <c r="H2" s="4"/>
      <c r="I2" s="1">
        <f>COUNTA(ProductInfo[[#This Row],[P1]:[P15]])</f>
        <v>3</v>
      </c>
      <c r="J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" s="7" t="s">
        <v>12</v>
      </c>
      <c r="M2" s="7" t="s">
        <v>13</v>
      </c>
      <c r="N2" s="7" t="s">
        <v>14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1" customFormat="1">
      <c r="A3" s="8" t="s">
        <v>5093</v>
      </c>
      <c r="B3" s="8" t="s">
        <v>5091</v>
      </c>
      <c r="C3" s="2" t="str">
        <f>RIGHT(ProductInfo[[#This Row],[Drawing No]],1)</f>
        <v>0</v>
      </c>
      <c r="D3" s="176" t="s">
        <v>5092</v>
      </c>
      <c r="E3" s="37"/>
      <c r="F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" s="31"/>
      <c r="H3" s="31"/>
      <c r="I3" s="1">
        <f>COUNTA(ProductInfo[[#This Row],[P1]:[P15]])</f>
        <v>0</v>
      </c>
      <c r="J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" s="7"/>
      <c r="M3" s="7"/>
      <c r="N3" s="4"/>
      <c r="O3" s="4"/>
      <c r="P3" s="7"/>
      <c r="Q3" s="7"/>
      <c r="R3" s="4"/>
      <c r="S3" s="4"/>
      <c r="T3" s="4"/>
      <c r="U3" s="4"/>
      <c r="V3" s="4"/>
      <c r="W3" s="4"/>
      <c r="X3" s="4"/>
      <c r="Y3" s="4"/>
      <c r="Z3" s="4"/>
    </row>
    <row r="4" spans="1:26" s="1" customFormat="1">
      <c r="A4" s="8" t="s">
        <v>45</v>
      </c>
      <c r="B4" s="8" t="s">
        <v>45</v>
      </c>
      <c r="C4" s="1" t="str">
        <f>RIGHT(ProductInfo[[#This Row],[Drawing No]],1)</f>
        <v>6</v>
      </c>
      <c r="D4" s="176" t="s">
        <v>46</v>
      </c>
      <c r="E4" s="30"/>
      <c r="F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" s="31"/>
      <c r="H4" s="31"/>
      <c r="I4" s="1">
        <f>COUNTA(ProductInfo[[#This Row],[P1]:[P15]])</f>
        <v>3</v>
      </c>
      <c r="J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" s="7" t="s">
        <v>12</v>
      </c>
      <c r="M4" s="7" t="s">
        <v>13</v>
      </c>
      <c r="N4" s="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s="1" customFormat="1">
      <c r="A5" s="8" t="s">
        <v>47</v>
      </c>
      <c r="B5" s="8" t="s">
        <v>47</v>
      </c>
      <c r="C5" s="1" t="str">
        <f>RIGHT(ProductInfo[[#This Row],[Drawing No]],1)</f>
        <v>6</v>
      </c>
      <c r="D5" s="176" t="s">
        <v>48</v>
      </c>
      <c r="E5" s="30"/>
      <c r="F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" s="31"/>
      <c r="H5" s="31"/>
      <c r="I5" s="1">
        <f>COUNTA(ProductInfo[[#This Row],[P1]:[P15]])</f>
        <v>3</v>
      </c>
      <c r="J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" s="7" t="s">
        <v>12</v>
      </c>
      <c r="M5" s="7" t="s">
        <v>13</v>
      </c>
      <c r="N5" s="7" t="s">
        <v>14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" customFormat="1">
      <c r="A6" s="8" t="s">
        <v>49</v>
      </c>
      <c r="B6" s="8" t="s">
        <v>49</v>
      </c>
      <c r="C6" s="1" t="str">
        <f>RIGHT(ProductInfo[[#This Row],[Drawing No]],1)</f>
        <v>6</v>
      </c>
      <c r="D6" s="176" t="s">
        <v>50</v>
      </c>
      <c r="E6" s="30"/>
      <c r="F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" s="31"/>
      <c r="H6" s="31"/>
      <c r="I6" s="1">
        <f>COUNTA(ProductInfo[[#This Row],[P1]:[P15]])</f>
        <v>2</v>
      </c>
      <c r="J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" s="7" t="s">
        <v>12</v>
      </c>
      <c r="M6" s="7" t="s">
        <v>13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1" customFormat="1">
      <c r="A7" s="8" t="s">
        <v>51</v>
      </c>
      <c r="B7" s="8" t="s">
        <v>51</v>
      </c>
      <c r="C7" s="1" t="str">
        <f>RIGHT(ProductInfo[[#This Row],[Drawing No]],1)</f>
        <v>6</v>
      </c>
      <c r="D7" s="176" t="s">
        <v>52</v>
      </c>
      <c r="E7" s="30"/>
      <c r="F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" s="31"/>
      <c r="H7" s="31"/>
      <c r="I7" s="1">
        <f>COUNTA(ProductInfo[[#This Row],[P1]:[P15]])</f>
        <v>0</v>
      </c>
      <c r="J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1" customFormat="1">
      <c r="A8" s="8" t="s">
        <v>53</v>
      </c>
      <c r="B8" s="8" t="s">
        <v>53</v>
      </c>
      <c r="C8" s="1" t="str">
        <f>RIGHT(ProductInfo[[#This Row],[Drawing No]],1)</f>
        <v>6</v>
      </c>
      <c r="D8" s="176" t="s">
        <v>54</v>
      </c>
      <c r="E8" s="30"/>
      <c r="F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" s="31"/>
      <c r="H8" s="31"/>
      <c r="I8" s="1">
        <f>COUNTA(ProductInfo[[#This Row],[P1]:[P15]])</f>
        <v>0</v>
      </c>
      <c r="J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1" customFormat="1">
      <c r="A9" s="8" t="s">
        <v>55</v>
      </c>
      <c r="B9" s="8" t="s">
        <v>55</v>
      </c>
      <c r="C9" s="1" t="str">
        <f>RIGHT(ProductInfo[[#This Row],[Drawing No]],1)</f>
        <v>6</v>
      </c>
      <c r="D9" s="176" t="s">
        <v>56</v>
      </c>
      <c r="E9" s="30"/>
      <c r="F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" s="31"/>
      <c r="H9" s="31"/>
      <c r="I9" s="1">
        <f>COUNTA(ProductInfo[[#This Row],[P1]:[P15]])</f>
        <v>0</v>
      </c>
      <c r="J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s="1" customFormat="1">
      <c r="A10" s="8" t="s">
        <v>57</v>
      </c>
      <c r="B10" s="8" t="s">
        <v>57</v>
      </c>
      <c r="C10" s="1" t="str">
        <f>RIGHT(ProductInfo[[#This Row],[Drawing No]],1)</f>
        <v>6</v>
      </c>
      <c r="D10" s="176" t="s">
        <v>58</v>
      </c>
      <c r="E10" s="45"/>
      <c r="F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" s="31"/>
      <c r="H10" s="31"/>
      <c r="I10" s="1">
        <f>COUNTA(ProductInfo[[#This Row],[P1]:[P15]])</f>
        <v>0</v>
      </c>
      <c r="J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" customFormat="1">
      <c r="A11" s="8" t="s">
        <v>59</v>
      </c>
      <c r="B11" s="8" t="s">
        <v>59</v>
      </c>
      <c r="C11" s="1" t="str">
        <f>RIGHT(ProductInfo[[#This Row],[Drawing No]],1)</f>
        <v>6</v>
      </c>
      <c r="D11" s="176" t="s">
        <v>60</v>
      </c>
      <c r="E11" s="30"/>
      <c r="F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" s="31"/>
      <c r="H11" s="31"/>
      <c r="I11" s="1">
        <f>COUNTA(ProductInfo[[#This Row],[P1]:[P15]])</f>
        <v>0</v>
      </c>
      <c r="J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s="1" customFormat="1">
      <c r="A12" s="8" t="s">
        <v>61</v>
      </c>
      <c r="B12" s="8" t="s">
        <v>61</v>
      </c>
      <c r="C12" s="1" t="str">
        <f>RIGHT(ProductInfo[[#This Row],[Drawing No]],1)</f>
        <v>5</v>
      </c>
      <c r="D12" s="176" t="s">
        <v>62</v>
      </c>
      <c r="E12" s="45"/>
      <c r="F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" s="31"/>
      <c r="H12" s="31"/>
      <c r="I12" s="1">
        <f>COUNTA(ProductInfo[[#This Row],[P1]:[P15]])</f>
        <v>0</v>
      </c>
      <c r="J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s="1" customFormat="1">
      <c r="A13" s="8" t="s">
        <v>63</v>
      </c>
      <c r="B13" s="8" t="s">
        <v>63</v>
      </c>
      <c r="C13" s="1" t="str">
        <f>RIGHT(ProductInfo[[#This Row],[Drawing No]],1)</f>
        <v>6</v>
      </c>
      <c r="D13" s="176" t="s">
        <v>62</v>
      </c>
      <c r="E13" s="30"/>
      <c r="F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" s="31"/>
      <c r="H13" s="31"/>
      <c r="I13" s="1">
        <f>COUNTA(ProductInfo[[#This Row],[P1]:[P15]])</f>
        <v>0</v>
      </c>
      <c r="J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s="1" customFormat="1">
      <c r="A14" s="8" t="s">
        <v>64</v>
      </c>
      <c r="B14" s="8" t="s">
        <v>64</v>
      </c>
      <c r="C14" s="1" t="str">
        <f>RIGHT(ProductInfo[[#This Row],[Drawing No]],1)</f>
        <v>5</v>
      </c>
      <c r="D14" s="176" t="s">
        <v>65</v>
      </c>
      <c r="E14" s="30"/>
      <c r="F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" s="31"/>
      <c r="H14" s="31"/>
      <c r="I14" s="1">
        <f>COUNTA(ProductInfo[[#This Row],[P1]:[P15]])</f>
        <v>0</v>
      </c>
      <c r="J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s="1" customFormat="1">
      <c r="A15" s="8" t="s">
        <v>66</v>
      </c>
      <c r="B15" s="8" t="s">
        <v>66</v>
      </c>
      <c r="C15" s="1" t="str">
        <f>RIGHT(ProductInfo[[#This Row],[Drawing No]],1)</f>
        <v>6</v>
      </c>
      <c r="D15" s="177" t="s">
        <v>65</v>
      </c>
      <c r="E15" s="30"/>
      <c r="F15" s="24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" s="44"/>
      <c r="H15" s="44"/>
      <c r="I15" s="1">
        <f>COUNTA(ProductInfo[[#This Row],[P1]:[P15]])</f>
        <v>0</v>
      </c>
      <c r="J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" customFormat="1">
      <c r="A16" s="8" t="s">
        <v>67</v>
      </c>
      <c r="B16" s="8" t="s">
        <v>67</v>
      </c>
      <c r="C16" s="1" t="str">
        <f>RIGHT(ProductInfo[[#This Row],[Drawing No]],1)</f>
        <v>5</v>
      </c>
      <c r="D16" s="176" t="s">
        <v>68</v>
      </c>
      <c r="E16" s="30"/>
      <c r="F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" s="31"/>
      <c r="H16" s="31"/>
      <c r="I16" s="1">
        <f>COUNTA(ProductInfo[[#This Row],[P1]:[P15]])</f>
        <v>0</v>
      </c>
      <c r="J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31" s="1" customFormat="1">
      <c r="A17" s="8" t="s">
        <v>69</v>
      </c>
      <c r="B17" s="8" t="s">
        <v>69</v>
      </c>
      <c r="C17" s="1" t="str">
        <f>RIGHT(ProductInfo[[#This Row],[Drawing No]],1)</f>
        <v>6</v>
      </c>
      <c r="D17" s="176" t="s">
        <v>68</v>
      </c>
      <c r="E17" s="30"/>
      <c r="F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" s="31"/>
      <c r="H17" s="31"/>
      <c r="I17" s="1">
        <f>COUNTA(ProductInfo[[#This Row],[P1]:[P15]])</f>
        <v>0</v>
      </c>
      <c r="J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31" s="1" customFormat="1">
      <c r="A18" s="8" t="s">
        <v>70</v>
      </c>
      <c r="B18" s="8" t="s">
        <v>70</v>
      </c>
      <c r="C18" s="1" t="str">
        <f>RIGHT(ProductInfo[[#This Row],[Drawing No]],1)</f>
        <v>5</v>
      </c>
      <c r="D18" s="176" t="s">
        <v>71</v>
      </c>
      <c r="E18" s="30"/>
      <c r="F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" s="31"/>
      <c r="H18" s="31"/>
      <c r="I18" s="1">
        <f>COUNTA(ProductInfo[[#This Row],[P1]:[P15]])</f>
        <v>0</v>
      </c>
      <c r="J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31" s="1" customFormat="1">
      <c r="A19" s="8" t="s">
        <v>72</v>
      </c>
      <c r="B19" s="8" t="s">
        <v>72</v>
      </c>
      <c r="C19" s="1" t="str">
        <f>RIGHT(ProductInfo[[#This Row],[Drawing No]],1)</f>
        <v>6</v>
      </c>
      <c r="D19" s="176" t="s">
        <v>71</v>
      </c>
      <c r="E19" s="30"/>
      <c r="F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" s="31"/>
      <c r="H19" s="31"/>
      <c r="I19" s="1">
        <f>COUNTA(ProductInfo[[#This Row],[P1]:[P15]])</f>
        <v>0</v>
      </c>
      <c r="J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31" s="1" customFormat="1">
      <c r="A20" s="8" t="s">
        <v>73</v>
      </c>
      <c r="B20" s="8" t="s">
        <v>73</v>
      </c>
      <c r="C20" s="1" t="str">
        <f>RIGHT(ProductInfo[[#This Row],[Drawing No]],1)</f>
        <v>5</v>
      </c>
      <c r="D20" s="176" t="s">
        <v>74</v>
      </c>
      <c r="E20" s="30"/>
      <c r="F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" s="31"/>
      <c r="H20" s="31"/>
      <c r="I20" s="1">
        <f>COUNTA(ProductInfo[[#This Row],[P1]:[P15]])</f>
        <v>0</v>
      </c>
      <c r="J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31" s="1" customFormat="1">
      <c r="A21" s="8" t="s">
        <v>75</v>
      </c>
      <c r="B21" s="8" t="s">
        <v>75</v>
      </c>
      <c r="C21" s="1" t="str">
        <f>RIGHT(ProductInfo[[#This Row],[Drawing No]],1)</f>
        <v>6</v>
      </c>
      <c r="D21" s="176" t="s">
        <v>74</v>
      </c>
      <c r="E21" s="30"/>
      <c r="F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" s="31"/>
      <c r="H21" s="31"/>
      <c r="I21" s="1">
        <f>COUNTA(ProductInfo[[#This Row],[P1]:[P15]])</f>
        <v>0</v>
      </c>
      <c r="J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31" s="1" customFormat="1">
      <c r="A22" s="8" t="s">
        <v>76</v>
      </c>
      <c r="B22" s="8" t="s">
        <v>76</v>
      </c>
      <c r="C22" s="1" t="str">
        <f>RIGHT(ProductInfo[[#This Row],[Drawing No]],1)</f>
        <v>5</v>
      </c>
      <c r="D22" s="176" t="s">
        <v>77</v>
      </c>
      <c r="E22" s="49"/>
      <c r="F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" s="31"/>
      <c r="H22" s="31"/>
      <c r="I22" s="1">
        <f>COUNTA(ProductInfo[[#This Row],[P1]:[P15]])</f>
        <v>0</v>
      </c>
      <c r="J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31" s="1" customFormat="1">
      <c r="A23" s="8" t="s">
        <v>78</v>
      </c>
      <c r="B23" s="8" t="s">
        <v>78</v>
      </c>
      <c r="C23" s="1" t="str">
        <f>RIGHT(ProductInfo[[#This Row],[Drawing No]],1)</f>
        <v>6</v>
      </c>
      <c r="D23" s="176" t="s">
        <v>77</v>
      </c>
      <c r="E23" s="47"/>
      <c r="F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" s="31"/>
      <c r="H23" s="31"/>
      <c r="I23" s="1">
        <f>COUNTA(ProductInfo[[#This Row],[P1]:[P15]])</f>
        <v>0</v>
      </c>
      <c r="J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31" s="1" customFormat="1">
      <c r="A24" s="8" t="s">
        <v>79</v>
      </c>
      <c r="B24" s="8" t="s">
        <v>79</v>
      </c>
      <c r="C24" s="1" t="str">
        <f>RIGHT(ProductInfo[[#This Row],[Drawing No]],1)</f>
        <v>5</v>
      </c>
      <c r="D24" s="176" t="s">
        <v>80</v>
      </c>
      <c r="E24" s="30"/>
      <c r="F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" s="31"/>
      <c r="H24" s="31"/>
      <c r="I24" s="1">
        <f>COUNTA(ProductInfo[[#This Row],[P1]:[P15]])</f>
        <v>0</v>
      </c>
      <c r="J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31" s="1" customFormat="1">
      <c r="A25" s="8" t="s">
        <v>81</v>
      </c>
      <c r="B25" s="8" t="s">
        <v>81</v>
      </c>
      <c r="C25" s="1" t="str">
        <f>RIGHT(ProductInfo[[#This Row],[Drawing No]],1)</f>
        <v>6</v>
      </c>
      <c r="D25" s="176" t="s">
        <v>80</v>
      </c>
      <c r="E25" s="30"/>
      <c r="F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" s="31"/>
      <c r="H25" s="31"/>
      <c r="I25" s="1">
        <f>COUNTA(ProductInfo[[#This Row],[P1]:[P15]])</f>
        <v>0</v>
      </c>
      <c r="J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31" s="1" customFormat="1">
      <c r="A26" s="8" t="s">
        <v>82</v>
      </c>
      <c r="B26" s="8" t="s">
        <v>82</v>
      </c>
      <c r="C26" s="1" t="str">
        <f>RIGHT(ProductInfo[[#This Row],[Drawing No]],1)</f>
        <v>6</v>
      </c>
      <c r="D26" s="176" t="s">
        <v>83</v>
      </c>
      <c r="E26" s="30"/>
      <c r="F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" s="31"/>
      <c r="H26" s="31"/>
      <c r="I26" s="1">
        <f>COUNTA(ProductInfo[[#This Row],[P1]:[P15]])</f>
        <v>0</v>
      </c>
      <c r="J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31" s="1" customFormat="1">
      <c r="A27" s="8" t="s">
        <v>84</v>
      </c>
      <c r="B27" s="8" t="s">
        <v>84</v>
      </c>
      <c r="C27" s="1" t="str">
        <f>RIGHT(ProductInfo[[#This Row],[Drawing No]],1)</f>
        <v>5</v>
      </c>
      <c r="D27" s="176" t="s">
        <v>85</v>
      </c>
      <c r="E27" s="30"/>
      <c r="F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7" s="31"/>
      <c r="H27" s="31"/>
      <c r="I27" s="1">
        <f>COUNTA(ProductInfo[[#This Row],[P1]:[P15]])</f>
        <v>0</v>
      </c>
      <c r="J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31" s="1" customFormat="1">
      <c r="A28" s="8" t="s">
        <v>86</v>
      </c>
      <c r="B28" s="8" t="s">
        <v>86</v>
      </c>
      <c r="C28" s="1" t="str">
        <f>RIGHT(ProductInfo[[#This Row],[Drawing No]],1)</f>
        <v>6</v>
      </c>
      <c r="D28" s="176" t="s">
        <v>85</v>
      </c>
      <c r="E28" s="30"/>
      <c r="F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8" s="31"/>
      <c r="H28" s="31"/>
      <c r="I28" s="1">
        <f>COUNTA(ProductInfo[[#This Row],[P1]:[P15]])</f>
        <v>0</v>
      </c>
      <c r="J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31" s="1" customFormat="1">
      <c r="A29" s="8" t="s">
        <v>87</v>
      </c>
      <c r="B29" s="8" t="s">
        <v>87</v>
      </c>
      <c r="C29" s="1" t="str">
        <f>RIGHT(ProductInfo[[#This Row],[Drawing No]],1)</f>
        <v>5</v>
      </c>
      <c r="D29" s="176" t="s">
        <v>88</v>
      </c>
      <c r="E29" s="30"/>
      <c r="F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9" s="31"/>
      <c r="H29" s="31"/>
      <c r="I29" s="1">
        <f>COUNTA(ProductInfo[[#This Row],[P1]:[P15]])</f>
        <v>0</v>
      </c>
      <c r="J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31" s="1" customFormat="1">
      <c r="A30" s="8" t="s">
        <v>89</v>
      </c>
      <c r="B30" s="8" t="s">
        <v>89</v>
      </c>
      <c r="C30" s="1" t="str">
        <f>RIGHT(ProductInfo[[#This Row],[Drawing No]],1)</f>
        <v>6</v>
      </c>
      <c r="D30" s="176" t="s">
        <v>88</v>
      </c>
      <c r="E30" s="30"/>
      <c r="F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0" s="31"/>
      <c r="H30" s="31"/>
      <c r="I30" s="1">
        <f>COUNTA(ProductInfo[[#This Row],[P1]:[P15]])</f>
        <v>0</v>
      </c>
      <c r="J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31" s="1" customFormat="1">
      <c r="A31" s="8" t="s">
        <v>90</v>
      </c>
      <c r="B31" s="8" t="s">
        <v>90</v>
      </c>
      <c r="C31" s="1" t="str">
        <f>RIGHT(ProductInfo[[#This Row],[Drawing No]],1)</f>
        <v>6</v>
      </c>
      <c r="D31" s="176" t="s">
        <v>91</v>
      </c>
      <c r="E31" s="30"/>
      <c r="F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1" s="31"/>
      <c r="H31" s="31"/>
      <c r="I31" s="1">
        <f>COUNTA(ProductInfo[[#This Row],[P1]:[P15]])</f>
        <v>0</v>
      </c>
      <c r="J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E31" s="1" t="s">
        <v>4919</v>
      </c>
    </row>
    <row r="32" spans="1:31" s="1" customFormat="1">
      <c r="A32" s="8" t="s">
        <v>92</v>
      </c>
      <c r="B32" s="8" t="s">
        <v>92</v>
      </c>
      <c r="C32" s="1" t="str">
        <f>RIGHT(ProductInfo[[#This Row],[Drawing No]],1)</f>
        <v>6</v>
      </c>
      <c r="D32" s="176" t="s">
        <v>93</v>
      </c>
      <c r="E32" s="30"/>
      <c r="F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2" s="31"/>
      <c r="H32" s="31"/>
      <c r="I32" s="1">
        <f>COUNTA(ProductInfo[[#This Row],[P1]:[P15]])</f>
        <v>0</v>
      </c>
      <c r="J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s="1" customFormat="1">
      <c r="A33" s="8" t="s">
        <v>94</v>
      </c>
      <c r="B33" s="8" t="s">
        <v>94</v>
      </c>
      <c r="C33" s="1" t="str">
        <f>RIGHT(ProductInfo[[#This Row],[Drawing No]],1)</f>
        <v>6</v>
      </c>
      <c r="D33" s="176" t="s">
        <v>95</v>
      </c>
      <c r="E33" s="30"/>
      <c r="F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3" s="31"/>
      <c r="H33" s="31"/>
      <c r="I33" s="1">
        <f>COUNTA(ProductInfo[[#This Row],[P1]:[P15]])</f>
        <v>0</v>
      </c>
      <c r="J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1" customFormat="1">
      <c r="A34" s="8" t="s">
        <v>96</v>
      </c>
      <c r="B34" s="8" t="s">
        <v>96</v>
      </c>
      <c r="C34" s="1" t="str">
        <f>RIGHT(ProductInfo[[#This Row],[Drawing No]],1)</f>
        <v>6</v>
      </c>
      <c r="D34" s="176" t="s">
        <v>97</v>
      </c>
      <c r="E34" s="31"/>
      <c r="F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4" s="31"/>
      <c r="H34" s="31"/>
      <c r="I34" s="1">
        <f>COUNTA(ProductInfo[[#This Row],[P1]:[P15]])</f>
        <v>0</v>
      </c>
      <c r="J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s="1" customFormat="1">
      <c r="A35" s="8" t="s">
        <v>98</v>
      </c>
      <c r="B35" s="8" t="s">
        <v>98</v>
      </c>
      <c r="C35" s="1" t="str">
        <f>RIGHT(ProductInfo[[#This Row],[Drawing No]],1)</f>
        <v>6</v>
      </c>
      <c r="D35" s="176" t="s">
        <v>99</v>
      </c>
      <c r="E35" s="30"/>
      <c r="F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5" s="31"/>
      <c r="H35" s="31"/>
      <c r="I35" s="1">
        <f>COUNTA(ProductInfo[[#This Row],[P1]:[P15]])</f>
        <v>0</v>
      </c>
      <c r="J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1" customFormat="1">
      <c r="A36" s="8" t="s">
        <v>100</v>
      </c>
      <c r="B36" s="8" t="s">
        <v>100</v>
      </c>
      <c r="C36" s="1" t="str">
        <f>RIGHT(ProductInfo[[#This Row],[Drawing No]],1)</f>
        <v>1</v>
      </c>
      <c r="D36" s="176" t="s">
        <v>101</v>
      </c>
      <c r="E36" s="30"/>
      <c r="F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6" s="31"/>
      <c r="H36" s="31"/>
      <c r="I36" s="1">
        <f>COUNTA(ProductInfo[[#This Row],[P1]:[P15]])</f>
        <v>0</v>
      </c>
      <c r="J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s="1" customFormat="1">
      <c r="A37" s="8" t="s">
        <v>102</v>
      </c>
      <c r="B37" s="8" t="s">
        <v>102</v>
      </c>
      <c r="C37" s="1" t="str">
        <f>RIGHT(ProductInfo[[#This Row],[Drawing No]],1)</f>
        <v>6</v>
      </c>
      <c r="D37" s="176" t="s">
        <v>103</v>
      </c>
      <c r="E37" s="30"/>
      <c r="F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7" s="31"/>
      <c r="H37" s="31"/>
      <c r="I37" s="1">
        <f>COUNTA(ProductInfo[[#This Row],[P1]:[P15]])</f>
        <v>0</v>
      </c>
      <c r="J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s="1" customFormat="1">
      <c r="A38" s="8" t="s">
        <v>104</v>
      </c>
      <c r="B38" s="8" t="s">
        <v>104</v>
      </c>
      <c r="C38" s="1" t="str">
        <f>RIGHT(ProductInfo[[#This Row],[Drawing No]],1)</f>
        <v>6</v>
      </c>
      <c r="D38" s="176" t="s">
        <v>105</v>
      </c>
      <c r="E38" s="50"/>
      <c r="F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8" s="31"/>
      <c r="H38" s="31"/>
      <c r="I38" s="1">
        <f>COUNTA(ProductInfo[[#This Row],[P1]:[P15]])</f>
        <v>0</v>
      </c>
      <c r="J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s="1" customFormat="1">
      <c r="A39" s="8" t="s">
        <v>106</v>
      </c>
      <c r="B39" s="8" t="s">
        <v>106</v>
      </c>
      <c r="C39" s="1" t="str">
        <f>RIGHT(ProductInfo[[#This Row],[Drawing No]],1)</f>
        <v>6</v>
      </c>
      <c r="D39" s="176" t="s">
        <v>107</v>
      </c>
      <c r="E39" s="45"/>
      <c r="F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9" s="31"/>
      <c r="H39" s="31"/>
      <c r="I39" s="1">
        <f>COUNTA(ProductInfo[[#This Row],[P1]:[P15]])</f>
        <v>0</v>
      </c>
      <c r="J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s="1" customFormat="1">
      <c r="A40" s="8" t="s">
        <v>108</v>
      </c>
      <c r="B40" s="8" t="s">
        <v>108</v>
      </c>
      <c r="C40" s="1" t="str">
        <f>RIGHT(ProductInfo[[#This Row],[Drawing No]],1)</f>
        <v>6</v>
      </c>
      <c r="D40" s="176" t="s">
        <v>109</v>
      </c>
      <c r="E40" s="30"/>
      <c r="F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0" s="31"/>
      <c r="H40" s="31"/>
      <c r="I40" s="1">
        <f>COUNTA(ProductInfo[[#This Row],[P1]:[P15]])</f>
        <v>0</v>
      </c>
      <c r="J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s="1" customFormat="1">
      <c r="A41" s="8" t="s">
        <v>110</v>
      </c>
      <c r="B41" s="8" t="s">
        <v>110</v>
      </c>
      <c r="C41" s="1" t="str">
        <f>RIGHT(ProductInfo[[#This Row],[Drawing No]],1)</f>
        <v>1</v>
      </c>
      <c r="D41" s="176" t="s">
        <v>111</v>
      </c>
      <c r="E41" s="45"/>
      <c r="F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" s="31"/>
      <c r="H41" s="31"/>
      <c r="I41" s="1">
        <f>COUNTA(ProductInfo[[#This Row],[P1]:[P15]])</f>
        <v>0</v>
      </c>
      <c r="J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s="1" customFormat="1" ht="13.5" customHeight="1">
      <c r="A42" s="8" t="s">
        <v>112</v>
      </c>
      <c r="B42" s="8" t="s">
        <v>112</v>
      </c>
      <c r="C42" s="1" t="str">
        <f>RIGHT(ProductInfo[[#This Row],[Drawing No]],1)</f>
        <v>0</v>
      </c>
      <c r="D42" s="176" t="s">
        <v>113</v>
      </c>
      <c r="E42" s="30"/>
      <c r="F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" s="31"/>
      <c r="H42" s="31"/>
      <c r="I42" s="1">
        <f>COUNTA(ProductInfo[[#This Row],[P1]:[P15]])</f>
        <v>0</v>
      </c>
      <c r="J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s="1" customFormat="1" ht="15.75" customHeight="1">
      <c r="A43" s="8" t="s">
        <v>114</v>
      </c>
      <c r="B43" s="8" t="s">
        <v>114</v>
      </c>
      <c r="C43" s="1" t="str">
        <f>RIGHT(ProductInfo[[#This Row],[Drawing No]],1)</f>
        <v>4</v>
      </c>
      <c r="D43" s="176" t="s">
        <v>113</v>
      </c>
      <c r="E43" s="30"/>
      <c r="F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" s="31"/>
      <c r="H43" s="31"/>
      <c r="I43" s="1">
        <f>COUNTA(ProductInfo[[#This Row],[P1]:[P15]])</f>
        <v>0</v>
      </c>
      <c r="J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s="1" customFormat="1">
      <c r="A44" s="8" t="s">
        <v>115</v>
      </c>
      <c r="B44" s="8" t="s">
        <v>115</v>
      </c>
      <c r="C44" s="1" t="str">
        <f>RIGHT(ProductInfo[[#This Row],[Drawing No]],1)</f>
        <v>0</v>
      </c>
      <c r="D44" s="176" t="s">
        <v>116</v>
      </c>
      <c r="E44" s="45"/>
      <c r="F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" s="31"/>
      <c r="H44" s="31"/>
      <c r="I44" s="1">
        <f>COUNTA(ProductInfo[[#This Row],[P1]:[P15]])</f>
        <v>0</v>
      </c>
      <c r="J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s="1" customFormat="1">
      <c r="A45" s="8" t="s">
        <v>117</v>
      </c>
      <c r="B45" s="8" t="s">
        <v>117</v>
      </c>
      <c r="C45" s="1" t="str">
        <f>RIGHT(ProductInfo[[#This Row],[Drawing No]],1)</f>
        <v>4</v>
      </c>
      <c r="D45" s="176" t="s">
        <v>116</v>
      </c>
      <c r="E45" s="50"/>
      <c r="F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" s="31"/>
      <c r="H45" s="31"/>
      <c r="I45" s="1">
        <f>COUNTA(ProductInfo[[#This Row],[P1]:[P15]])</f>
        <v>0</v>
      </c>
      <c r="J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s="1" customFormat="1">
      <c r="A46" s="8" t="s">
        <v>118</v>
      </c>
      <c r="B46" s="8" t="s">
        <v>118</v>
      </c>
      <c r="C46" s="1" t="str">
        <f>RIGHT(ProductInfo[[#This Row],[Drawing No]],1)</f>
        <v>0</v>
      </c>
      <c r="D46" s="176" t="s">
        <v>119</v>
      </c>
      <c r="E46" s="30"/>
      <c r="F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" s="31"/>
      <c r="H46" s="31"/>
      <c r="I46" s="1">
        <f>COUNTA(ProductInfo[[#This Row],[P1]:[P15]])</f>
        <v>0</v>
      </c>
      <c r="J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s="1" customFormat="1">
      <c r="A47" s="8" t="s">
        <v>120</v>
      </c>
      <c r="B47" s="8" t="s">
        <v>120</v>
      </c>
      <c r="C47" s="1" t="str">
        <f>RIGHT(ProductInfo[[#This Row],[Drawing No]],1)</f>
        <v>4</v>
      </c>
      <c r="D47" s="176" t="s">
        <v>119</v>
      </c>
      <c r="E47" s="47"/>
      <c r="F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" s="31"/>
      <c r="H47" s="31"/>
      <c r="I47" s="1">
        <f>COUNTA(ProductInfo[[#This Row],[P1]:[P15]])</f>
        <v>0</v>
      </c>
      <c r="J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s="1" customFormat="1">
      <c r="A48" s="8" t="s">
        <v>121</v>
      </c>
      <c r="B48" s="8" t="s">
        <v>121</v>
      </c>
      <c r="C48" s="1" t="str">
        <f>RIGHT(ProductInfo[[#This Row],[Drawing No]],1)</f>
        <v>2</v>
      </c>
      <c r="D48" s="176" t="s">
        <v>122</v>
      </c>
      <c r="E48" s="53"/>
      <c r="F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8" s="31"/>
      <c r="H48" s="31"/>
      <c r="I48" s="1">
        <f>COUNTA(ProductInfo[[#This Row],[P1]:[P15]])</f>
        <v>0</v>
      </c>
      <c r="J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s="1" customFormat="1">
      <c r="A49" s="8" t="s">
        <v>123</v>
      </c>
      <c r="B49" s="8" t="s">
        <v>123</v>
      </c>
      <c r="C49" s="1" t="str">
        <f>RIGHT(ProductInfo[[#This Row],[Drawing No]],1)</f>
        <v>2</v>
      </c>
      <c r="D49" s="176" t="s">
        <v>124</v>
      </c>
      <c r="E49" s="50"/>
      <c r="F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" s="31"/>
      <c r="H49" s="31"/>
      <c r="I49" s="1">
        <f>COUNTA(ProductInfo[[#This Row],[P1]:[P15]])</f>
        <v>0</v>
      </c>
      <c r="J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s="1" customFormat="1">
      <c r="A50" s="8" t="s">
        <v>125</v>
      </c>
      <c r="B50" s="8" t="s">
        <v>125</v>
      </c>
      <c r="C50" s="1" t="str">
        <f>RIGHT(ProductInfo[[#This Row],[Drawing No]],1)</f>
        <v>2</v>
      </c>
      <c r="D50" s="176" t="s">
        <v>126</v>
      </c>
      <c r="E50" s="30"/>
      <c r="F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0" s="31"/>
      <c r="H50" s="31"/>
      <c r="I50" s="1">
        <f>COUNTA(ProductInfo[[#This Row],[P1]:[P15]])</f>
        <v>0</v>
      </c>
      <c r="J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s="1" customFormat="1">
      <c r="A51" s="8" t="s">
        <v>127</v>
      </c>
      <c r="B51" s="8" t="s">
        <v>127</v>
      </c>
      <c r="C51" s="1" t="str">
        <f>RIGHT(ProductInfo[[#This Row],[Drawing No]],1)</f>
        <v>2</v>
      </c>
      <c r="D51" s="176" t="s">
        <v>128</v>
      </c>
      <c r="E51" s="30"/>
      <c r="F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1" s="31"/>
      <c r="H51" s="31"/>
      <c r="I51" s="1">
        <f>COUNTA(ProductInfo[[#This Row],[P1]:[P15]])</f>
        <v>0</v>
      </c>
      <c r="J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s="1" customFormat="1" ht="17.25" customHeight="1">
      <c r="A52" s="8" t="s">
        <v>129</v>
      </c>
      <c r="B52" s="8" t="s">
        <v>129</v>
      </c>
      <c r="C52" s="1" t="str">
        <f>RIGHT(ProductInfo[[#This Row],[Drawing No]],1)</f>
        <v>2</v>
      </c>
      <c r="D52" s="176" t="s">
        <v>130</v>
      </c>
      <c r="E52" s="45"/>
      <c r="F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" s="31"/>
      <c r="H52" s="31"/>
      <c r="I52" s="1">
        <f>COUNTA(ProductInfo[[#This Row],[P1]:[P15]])</f>
        <v>0</v>
      </c>
      <c r="J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s="1" customFormat="1">
      <c r="A53" s="8" t="s">
        <v>131</v>
      </c>
      <c r="B53" s="8" t="s">
        <v>131</v>
      </c>
      <c r="C53" s="1" t="str">
        <f>RIGHT(ProductInfo[[#This Row],[Drawing No]],1)</f>
        <v>2</v>
      </c>
      <c r="D53" s="176" t="s">
        <v>132</v>
      </c>
      <c r="E53" s="48"/>
      <c r="F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" s="31"/>
      <c r="H53" s="31"/>
      <c r="I53" s="1">
        <f>COUNTA(ProductInfo[[#This Row],[P1]:[P15]])</f>
        <v>0</v>
      </c>
      <c r="J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s="1" customFormat="1">
      <c r="A54" s="8" t="s">
        <v>133</v>
      </c>
      <c r="B54" s="8" t="s">
        <v>133</v>
      </c>
      <c r="C54" s="1" t="str">
        <f>RIGHT(ProductInfo[[#This Row],[Drawing No]],1)</f>
        <v>2</v>
      </c>
      <c r="D54" s="176" t="s">
        <v>134</v>
      </c>
      <c r="E54" s="48"/>
      <c r="F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" s="31"/>
      <c r="H54" s="31"/>
      <c r="I54" s="1">
        <f>COUNTA(ProductInfo[[#This Row],[P1]:[P15]])</f>
        <v>0</v>
      </c>
      <c r="J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s="1" customFormat="1">
      <c r="A55" s="8" t="s">
        <v>135</v>
      </c>
      <c r="B55" s="8" t="s">
        <v>135</v>
      </c>
      <c r="C55" s="1" t="str">
        <f>RIGHT(ProductInfo[[#This Row],[Drawing No]],1)</f>
        <v>2</v>
      </c>
      <c r="D55" s="176" t="s">
        <v>136</v>
      </c>
      <c r="E55" s="48"/>
      <c r="F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5" s="31"/>
      <c r="H55" s="31"/>
      <c r="I55" s="1">
        <f>COUNTA(ProductInfo[[#This Row],[P1]:[P15]])</f>
        <v>0</v>
      </c>
      <c r="J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s="1" customFormat="1">
      <c r="A56" s="8" t="s">
        <v>137</v>
      </c>
      <c r="B56" s="8" t="s">
        <v>137</v>
      </c>
      <c r="C56" s="1" t="str">
        <f>RIGHT(ProductInfo[[#This Row],[Drawing No]],1)</f>
        <v>2</v>
      </c>
      <c r="D56" s="176" t="s">
        <v>138</v>
      </c>
      <c r="E56" s="48"/>
      <c r="F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" s="31"/>
      <c r="H56" s="31"/>
      <c r="I56" s="1">
        <f>COUNTA(ProductInfo[[#This Row],[P1]:[P15]])</f>
        <v>0</v>
      </c>
      <c r="J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s="1" customFormat="1">
      <c r="A57" s="8" t="s">
        <v>139</v>
      </c>
      <c r="B57" s="8" t="s">
        <v>139</v>
      </c>
      <c r="C57" s="1" t="str">
        <f>RIGHT(ProductInfo[[#This Row],[Drawing No]],1)</f>
        <v>2</v>
      </c>
      <c r="D57" s="176" t="s">
        <v>140</v>
      </c>
      <c r="E57" s="48"/>
      <c r="F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" s="31"/>
      <c r="H57" s="31"/>
      <c r="I57" s="1">
        <f>COUNTA(ProductInfo[[#This Row],[P1]:[P15]])</f>
        <v>0</v>
      </c>
      <c r="J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s="1" customFormat="1">
      <c r="A58" s="8" t="s">
        <v>141</v>
      </c>
      <c r="B58" s="8" t="s">
        <v>141</v>
      </c>
      <c r="C58" s="1" t="str">
        <f>RIGHT(ProductInfo[[#This Row],[Drawing No]],1)</f>
        <v>2</v>
      </c>
      <c r="D58" s="176" t="s">
        <v>142</v>
      </c>
      <c r="E58" s="48"/>
      <c r="F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" s="31"/>
      <c r="H58" s="31"/>
      <c r="I58" s="1">
        <f>COUNTA(ProductInfo[[#This Row],[P1]:[P15]])</f>
        <v>0</v>
      </c>
      <c r="J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s="1" customFormat="1">
      <c r="A59" s="8" t="s">
        <v>143</v>
      </c>
      <c r="B59" s="8" t="s">
        <v>143</v>
      </c>
      <c r="C59" s="1" t="str">
        <f>RIGHT(ProductInfo[[#This Row],[Drawing No]],1)</f>
        <v>2</v>
      </c>
      <c r="D59" s="176" t="s">
        <v>144</v>
      </c>
      <c r="E59" s="48"/>
      <c r="F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" s="31"/>
      <c r="H59" s="31"/>
      <c r="I59" s="1">
        <f>COUNTA(ProductInfo[[#This Row],[P1]:[P15]])</f>
        <v>0</v>
      </c>
      <c r="J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s="1" customFormat="1">
      <c r="A60" s="8" t="s">
        <v>145</v>
      </c>
      <c r="B60" s="8" t="s">
        <v>145</v>
      </c>
      <c r="C60" s="1" t="str">
        <f>RIGHT(ProductInfo[[#This Row],[Drawing No]],1)</f>
        <v>2</v>
      </c>
      <c r="D60" s="176" t="s">
        <v>146</v>
      </c>
      <c r="E60" s="48"/>
      <c r="F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" s="31"/>
      <c r="H60" s="31"/>
      <c r="I60" s="1">
        <f>COUNTA(ProductInfo[[#This Row],[P1]:[P15]])</f>
        <v>0</v>
      </c>
      <c r="J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s="1" customFormat="1">
      <c r="A61" s="8" t="s">
        <v>147</v>
      </c>
      <c r="B61" s="8" t="s">
        <v>147</v>
      </c>
      <c r="C61" s="1" t="str">
        <f>RIGHT(ProductInfo[[#This Row],[Drawing No]],1)</f>
        <v>2</v>
      </c>
      <c r="D61" s="176" t="s">
        <v>148</v>
      </c>
      <c r="E61" s="48"/>
      <c r="F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" s="31"/>
      <c r="H61" s="31"/>
      <c r="I61" s="1">
        <f>COUNTA(ProductInfo[[#This Row],[P1]:[P15]])</f>
        <v>0</v>
      </c>
      <c r="J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s="1" customFormat="1">
      <c r="A62" s="8" t="s">
        <v>149</v>
      </c>
      <c r="B62" s="8" t="s">
        <v>149</v>
      </c>
      <c r="C62" s="1" t="str">
        <f>RIGHT(ProductInfo[[#This Row],[Drawing No]],1)</f>
        <v>2</v>
      </c>
      <c r="D62" s="176" t="s">
        <v>150</v>
      </c>
      <c r="E62" s="45"/>
      <c r="F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" s="31"/>
      <c r="H62" s="31"/>
      <c r="I62" s="1">
        <f>COUNTA(ProductInfo[[#This Row],[P1]:[P15]])</f>
        <v>0</v>
      </c>
      <c r="J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s="1" customFormat="1">
      <c r="A63" s="8" t="s">
        <v>151</v>
      </c>
      <c r="B63" s="8" t="s">
        <v>151</v>
      </c>
      <c r="C63" s="1" t="str">
        <f>RIGHT(ProductInfo[[#This Row],[Drawing No]],1)</f>
        <v>2</v>
      </c>
      <c r="D63" s="176" t="s">
        <v>152</v>
      </c>
      <c r="E63" s="45"/>
      <c r="F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" s="31"/>
      <c r="H63" s="31"/>
      <c r="I63" s="1">
        <f>COUNTA(ProductInfo[[#This Row],[P1]:[P15]])</f>
        <v>0</v>
      </c>
      <c r="J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s="1" customFormat="1">
      <c r="A64" s="8" t="s">
        <v>153</v>
      </c>
      <c r="B64" s="8" t="s">
        <v>153</v>
      </c>
      <c r="C64" s="1" t="str">
        <f>RIGHT(ProductInfo[[#This Row],[Drawing No]],1)</f>
        <v>2</v>
      </c>
      <c r="D64" s="176" t="s">
        <v>154</v>
      </c>
      <c r="E64" s="45"/>
      <c r="F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" s="31"/>
      <c r="H64" s="31"/>
      <c r="I64" s="1">
        <f>COUNTA(ProductInfo[[#This Row],[P1]:[P15]])</f>
        <v>0</v>
      </c>
      <c r="J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s="1" customFormat="1">
      <c r="A65" s="8" t="s">
        <v>155</v>
      </c>
      <c r="B65" s="8" t="s">
        <v>155</v>
      </c>
      <c r="C65" s="1" t="str">
        <f>RIGHT(ProductInfo[[#This Row],[Drawing No]],1)</f>
        <v>2</v>
      </c>
      <c r="D65" s="176" t="s">
        <v>156</v>
      </c>
      <c r="E65" s="45"/>
      <c r="F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" s="31"/>
      <c r="H65" s="31"/>
      <c r="I65" s="1">
        <f>COUNTA(ProductInfo[[#This Row],[P1]:[P15]])</f>
        <v>0</v>
      </c>
      <c r="J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s="1" customFormat="1" ht="15" customHeight="1">
      <c r="A66" s="8" t="s">
        <v>157</v>
      </c>
      <c r="B66" s="8" t="s">
        <v>157</v>
      </c>
      <c r="C66" s="1" t="str">
        <f>RIGHT(ProductInfo[[#This Row],[Drawing No]],1)</f>
        <v>2</v>
      </c>
      <c r="D66" s="176" t="s">
        <v>158</v>
      </c>
      <c r="E66" s="45"/>
      <c r="F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" s="31"/>
      <c r="H66" s="31"/>
      <c r="I66" s="1">
        <f>COUNTA(ProductInfo[[#This Row],[P1]:[P15]])</f>
        <v>0</v>
      </c>
      <c r="J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s="1" customFormat="1">
      <c r="A67" s="8" t="s">
        <v>159</v>
      </c>
      <c r="B67" s="8" t="s">
        <v>159</v>
      </c>
      <c r="C67" s="1" t="str">
        <f>RIGHT(ProductInfo[[#This Row],[Drawing No]],1)</f>
        <v>2</v>
      </c>
      <c r="D67" s="176" t="s">
        <v>160</v>
      </c>
      <c r="E67" s="48"/>
      <c r="F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7" s="31"/>
      <c r="H67" s="31"/>
      <c r="I67" s="1">
        <f>COUNTA(ProductInfo[[#This Row],[P1]:[P15]])</f>
        <v>0</v>
      </c>
      <c r="J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s="1" customFormat="1">
      <c r="A68" s="8" t="s">
        <v>161</v>
      </c>
      <c r="B68" s="8" t="s">
        <v>161</v>
      </c>
      <c r="C68" s="1" t="str">
        <f>RIGHT(ProductInfo[[#This Row],[Drawing No]],1)</f>
        <v>2</v>
      </c>
      <c r="D68" s="176" t="s">
        <v>162</v>
      </c>
      <c r="E68" s="45"/>
      <c r="F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" s="31"/>
      <c r="H68" s="31"/>
      <c r="I68" s="1">
        <f>COUNTA(ProductInfo[[#This Row],[P1]:[P15]])</f>
        <v>0</v>
      </c>
      <c r="J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s="1" customFormat="1">
      <c r="A69" s="8" t="s">
        <v>163</v>
      </c>
      <c r="B69" s="8" t="s">
        <v>163</v>
      </c>
      <c r="C69" s="1" t="str">
        <f>RIGHT(ProductInfo[[#This Row],[Drawing No]],1)</f>
        <v>2</v>
      </c>
      <c r="D69" s="176" t="s">
        <v>164</v>
      </c>
      <c r="E69" s="52"/>
      <c r="F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" s="31"/>
      <c r="H69" s="31"/>
      <c r="I69" s="1">
        <f>COUNTA(ProductInfo[[#This Row],[P1]:[P15]])</f>
        <v>0</v>
      </c>
      <c r="J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s="1" customFormat="1">
      <c r="A70" s="8" t="s">
        <v>165</v>
      </c>
      <c r="B70" s="8" t="s">
        <v>165</v>
      </c>
      <c r="C70" s="1" t="str">
        <f>RIGHT(ProductInfo[[#This Row],[Drawing No]],1)</f>
        <v>2</v>
      </c>
      <c r="D70" s="176" t="s">
        <v>166</v>
      </c>
      <c r="E70" s="48"/>
      <c r="F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0" s="31"/>
      <c r="H70" s="31"/>
      <c r="I70" s="1">
        <f>COUNTA(ProductInfo[[#This Row],[P1]:[P15]])</f>
        <v>0</v>
      </c>
      <c r="J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s="1" customFormat="1">
      <c r="A71" s="8" t="s">
        <v>167</v>
      </c>
      <c r="B71" s="8" t="s">
        <v>167</v>
      </c>
      <c r="C71" s="1" t="str">
        <f>RIGHT(ProductInfo[[#This Row],[Drawing No]],1)</f>
        <v>2</v>
      </c>
      <c r="D71" s="176" t="s">
        <v>168</v>
      </c>
      <c r="E71" s="45"/>
      <c r="F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" s="31"/>
      <c r="H71" s="31"/>
      <c r="I71" s="1">
        <f>COUNTA(ProductInfo[[#This Row],[P1]:[P15]])</f>
        <v>0</v>
      </c>
      <c r="J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s="1" customFormat="1">
      <c r="A72" s="8" t="s">
        <v>169</v>
      </c>
      <c r="B72" s="8" t="s">
        <v>169</v>
      </c>
      <c r="C72" s="1" t="str">
        <f>RIGHT(ProductInfo[[#This Row],[Drawing No]],1)</f>
        <v>2</v>
      </c>
      <c r="D72" s="176" t="s">
        <v>170</v>
      </c>
      <c r="E72" s="30"/>
      <c r="F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" s="31"/>
      <c r="H72" s="31"/>
      <c r="I72" s="1">
        <f>COUNTA(ProductInfo[[#This Row],[P1]:[P15]])</f>
        <v>0</v>
      </c>
      <c r="J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s="1" customFormat="1">
      <c r="A73" s="8" t="s">
        <v>171</v>
      </c>
      <c r="B73" s="8" t="s">
        <v>171</v>
      </c>
      <c r="C73" s="1" t="str">
        <f>RIGHT(ProductInfo[[#This Row],[Drawing No]],1)</f>
        <v>0</v>
      </c>
      <c r="D73" s="176" t="s">
        <v>172</v>
      </c>
      <c r="E73" s="30"/>
      <c r="F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" s="31"/>
      <c r="H73" s="31"/>
      <c r="I73" s="1">
        <f>COUNTA(ProductInfo[[#This Row],[P1]:[P15]])</f>
        <v>0</v>
      </c>
      <c r="J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s="1" customFormat="1">
      <c r="A74" s="8" t="s">
        <v>173</v>
      </c>
      <c r="B74" s="8" t="s">
        <v>173</v>
      </c>
      <c r="C74" s="1" t="str">
        <f>RIGHT(ProductInfo[[#This Row],[Drawing No]],1)</f>
        <v>0</v>
      </c>
      <c r="D74" s="176" t="s">
        <v>174</v>
      </c>
      <c r="E74" s="48"/>
      <c r="F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" s="31"/>
      <c r="H74" s="31"/>
      <c r="I74" s="1">
        <f>COUNTA(ProductInfo[[#This Row],[P1]:[P15]])</f>
        <v>0</v>
      </c>
      <c r="J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s="1" customFormat="1">
      <c r="A75" s="8" t="s">
        <v>175</v>
      </c>
      <c r="B75" s="8" t="s">
        <v>175</v>
      </c>
      <c r="C75" s="1" t="str">
        <f>RIGHT(ProductInfo[[#This Row],[Drawing No]],1)</f>
        <v>0</v>
      </c>
      <c r="D75" s="176" t="s">
        <v>176</v>
      </c>
      <c r="E75" s="30"/>
      <c r="F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" s="31"/>
      <c r="H75" s="31"/>
      <c r="I75" s="1">
        <f>COUNTA(ProductInfo[[#This Row],[P1]:[P15]])</f>
        <v>0</v>
      </c>
      <c r="J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s="1" customFormat="1">
      <c r="A76" s="8" t="s">
        <v>177</v>
      </c>
      <c r="B76" s="8" t="s">
        <v>177</v>
      </c>
      <c r="C76" s="1" t="str">
        <f>RIGHT(ProductInfo[[#This Row],[Drawing No]],1)</f>
        <v>0</v>
      </c>
      <c r="D76" s="176" t="s">
        <v>178</v>
      </c>
      <c r="E76" s="48"/>
      <c r="F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" s="31"/>
      <c r="H76" s="31"/>
      <c r="I76" s="1">
        <f>COUNTA(ProductInfo[[#This Row],[P1]:[P15]])</f>
        <v>0</v>
      </c>
      <c r="J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s="1" customFormat="1">
      <c r="A77" s="8" t="s">
        <v>179</v>
      </c>
      <c r="B77" s="8" t="s">
        <v>179</v>
      </c>
      <c r="C77" s="1" t="str">
        <f>RIGHT(ProductInfo[[#This Row],[Drawing No]],1)</f>
        <v>2</v>
      </c>
      <c r="D77" s="176" t="s">
        <v>180</v>
      </c>
      <c r="E77" s="30"/>
      <c r="F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" s="31"/>
      <c r="H77" s="31"/>
      <c r="I77" s="1">
        <f>COUNTA(ProductInfo[[#This Row],[P1]:[P15]])</f>
        <v>0</v>
      </c>
      <c r="J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s="1" customFormat="1">
      <c r="A78" s="8" t="s">
        <v>181</v>
      </c>
      <c r="B78" s="8" t="s">
        <v>181</v>
      </c>
      <c r="C78" s="1" t="str">
        <f>RIGHT(ProductInfo[[#This Row],[Drawing No]],1)</f>
        <v>0</v>
      </c>
      <c r="D78" s="176" t="s">
        <v>182</v>
      </c>
      <c r="E78" s="48"/>
      <c r="F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8" s="31"/>
      <c r="H78" s="31"/>
      <c r="I78" s="1">
        <f>COUNTA(ProductInfo[[#This Row],[P1]:[P15]])</f>
        <v>0</v>
      </c>
      <c r="J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s="1" customFormat="1">
      <c r="A79" s="8" t="s">
        <v>183</v>
      </c>
      <c r="B79" s="8" t="s">
        <v>183</v>
      </c>
      <c r="C79" s="1" t="str">
        <f>RIGHT(ProductInfo[[#This Row],[Drawing No]],1)</f>
        <v>0</v>
      </c>
      <c r="D79" s="176" t="s">
        <v>184</v>
      </c>
      <c r="E79" s="48"/>
      <c r="F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" s="31"/>
      <c r="H79" s="31"/>
      <c r="I79" s="1">
        <f>COUNTA(ProductInfo[[#This Row],[P1]:[P15]])</f>
        <v>0</v>
      </c>
      <c r="J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s="1" customFormat="1">
      <c r="A80" s="8" t="s">
        <v>185</v>
      </c>
      <c r="B80" s="8" t="s">
        <v>185</v>
      </c>
      <c r="C80" s="1" t="str">
        <f>RIGHT(ProductInfo[[#This Row],[Drawing No]],1)</f>
        <v>0</v>
      </c>
      <c r="D80" s="176" t="s">
        <v>186</v>
      </c>
      <c r="E80" s="30"/>
      <c r="F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" s="31"/>
      <c r="H80" s="31"/>
      <c r="I80" s="1">
        <f>COUNTA(ProductInfo[[#This Row],[P1]:[P15]])</f>
        <v>0</v>
      </c>
      <c r="J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s="1" customFormat="1">
      <c r="A81" s="8" t="s">
        <v>187</v>
      </c>
      <c r="B81" s="8" t="s">
        <v>187</v>
      </c>
      <c r="C81" s="1" t="str">
        <f>RIGHT(ProductInfo[[#This Row],[Drawing No]],1)</f>
        <v>2</v>
      </c>
      <c r="D81" s="176" t="s">
        <v>188</v>
      </c>
      <c r="E81" s="48"/>
      <c r="F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" s="31"/>
      <c r="H81" s="31"/>
      <c r="I81" s="1">
        <f>COUNTA(ProductInfo[[#This Row],[P1]:[P15]])</f>
        <v>0</v>
      </c>
      <c r="J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s="1" customFormat="1">
      <c r="A82" s="8" t="s">
        <v>189</v>
      </c>
      <c r="B82" s="8" t="s">
        <v>189</v>
      </c>
      <c r="C82" s="1" t="str">
        <f>RIGHT(ProductInfo[[#This Row],[Drawing No]],1)</f>
        <v>0</v>
      </c>
      <c r="D82" s="176" t="s">
        <v>190</v>
      </c>
      <c r="E82" s="48"/>
      <c r="F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" s="31"/>
      <c r="H82" s="31"/>
      <c r="I82" s="1">
        <f>COUNTA(ProductInfo[[#This Row],[P1]:[P15]])</f>
        <v>0</v>
      </c>
      <c r="J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s="1" customFormat="1">
      <c r="A83" s="8" t="s">
        <v>191</v>
      </c>
      <c r="B83" s="8" t="s">
        <v>191</v>
      </c>
      <c r="C83" s="1" t="str">
        <f>RIGHT(ProductInfo[[#This Row],[Drawing No]],1)</f>
        <v>0</v>
      </c>
      <c r="D83" s="176" t="s">
        <v>192</v>
      </c>
      <c r="E83" s="48"/>
      <c r="F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" s="31"/>
      <c r="H83" s="31"/>
      <c r="I83" s="1">
        <f>COUNTA(ProductInfo[[#This Row],[P1]:[P15]])</f>
        <v>0</v>
      </c>
      <c r="J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s="1" customFormat="1">
      <c r="A84" s="8" t="s">
        <v>193</v>
      </c>
      <c r="B84" s="8" t="s">
        <v>193</v>
      </c>
      <c r="C84" s="1" t="str">
        <f>RIGHT(ProductInfo[[#This Row],[Drawing No]],1)</f>
        <v>0</v>
      </c>
      <c r="D84" s="176" t="s">
        <v>194</v>
      </c>
      <c r="E84" s="48"/>
      <c r="F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4" s="31"/>
      <c r="H84" s="31"/>
      <c r="I84" s="1">
        <f>COUNTA(ProductInfo[[#This Row],[P1]:[P15]])</f>
        <v>0</v>
      </c>
      <c r="J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s="1" customFormat="1">
      <c r="A85" s="8" t="s">
        <v>195</v>
      </c>
      <c r="B85" s="8" t="s">
        <v>195</v>
      </c>
      <c r="C85" s="1" t="str">
        <f>RIGHT(ProductInfo[[#This Row],[Drawing No]],1)</f>
        <v>0</v>
      </c>
      <c r="D85" s="176" t="s">
        <v>196</v>
      </c>
      <c r="E85" s="48"/>
      <c r="F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5" s="31"/>
      <c r="H85" s="31"/>
      <c r="I85" s="1">
        <f>COUNTA(ProductInfo[[#This Row],[P1]:[P15]])</f>
        <v>0</v>
      </c>
      <c r="J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s="1" customFormat="1">
      <c r="A86" s="8" t="s">
        <v>197</v>
      </c>
      <c r="B86" s="8" t="s">
        <v>197</v>
      </c>
      <c r="C86" s="1" t="str">
        <f>RIGHT(ProductInfo[[#This Row],[Drawing No]],1)</f>
        <v>0</v>
      </c>
      <c r="D86" s="176" t="s">
        <v>198</v>
      </c>
      <c r="E86" s="30"/>
      <c r="F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6" s="31"/>
      <c r="H86" s="31"/>
      <c r="I86" s="1">
        <f>COUNTA(ProductInfo[[#This Row],[P1]:[P15]])</f>
        <v>0</v>
      </c>
      <c r="J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s="1" customFormat="1">
      <c r="A87" s="8" t="s">
        <v>199</v>
      </c>
      <c r="B87" s="8" t="s">
        <v>199</v>
      </c>
      <c r="C87" s="1" t="str">
        <f>RIGHT(ProductInfo[[#This Row],[Drawing No]],1)</f>
        <v>0</v>
      </c>
      <c r="D87" s="176" t="s">
        <v>200</v>
      </c>
      <c r="E87" s="48"/>
      <c r="F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7" s="31"/>
      <c r="H87" s="31"/>
      <c r="I87" s="1">
        <f>COUNTA(ProductInfo[[#This Row],[P1]:[P15]])</f>
        <v>0</v>
      </c>
      <c r="J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s="1" customFormat="1">
      <c r="A88" s="8" t="s">
        <v>201</v>
      </c>
      <c r="B88" s="8" t="s">
        <v>201</v>
      </c>
      <c r="C88" s="1" t="str">
        <f>RIGHT(ProductInfo[[#This Row],[Drawing No]],1)</f>
        <v>0</v>
      </c>
      <c r="D88" s="176" t="s">
        <v>202</v>
      </c>
      <c r="E88" s="30"/>
      <c r="F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" s="31"/>
      <c r="H88" s="31"/>
      <c r="I88" s="1">
        <f>COUNTA(ProductInfo[[#This Row],[P1]:[P15]])</f>
        <v>0</v>
      </c>
      <c r="J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s="1" customFormat="1">
      <c r="A89" s="8" t="s">
        <v>203</v>
      </c>
      <c r="B89" s="8" t="s">
        <v>203</v>
      </c>
      <c r="C89" s="1" t="str">
        <f>RIGHT(ProductInfo[[#This Row],[Drawing No]],1)</f>
        <v>0</v>
      </c>
      <c r="D89" s="176" t="s">
        <v>204</v>
      </c>
      <c r="E89" s="48"/>
      <c r="F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" s="31"/>
      <c r="H89" s="31"/>
      <c r="I89" s="1">
        <f>COUNTA(ProductInfo[[#This Row],[P1]:[P15]])</f>
        <v>0</v>
      </c>
      <c r="J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s="1" customFormat="1">
      <c r="A90" s="8" t="s">
        <v>205</v>
      </c>
      <c r="B90" s="8" t="s">
        <v>205</v>
      </c>
      <c r="C90" s="1" t="str">
        <f>RIGHT(ProductInfo[[#This Row],[Drawing No]],1)</f>
        <v>0</v>
      </c>
      <c r="D90" s="176" t="s">
        <v>206</v>
      </c>
      <c r="E90" s="30"/>
      <c r="F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" s="31"/>
      <c r="H90" s="31"/>
      <c r="I90" s="1">
        <f>COUNTA(ProductInfo[[#This Row],[P1]:[P15]])</f>
        <v>0</v>
      </c>
      <c r="J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s="1" customFormat="1">
      <c r="A91" s="8" t="s">
        <v>207</v>
      </c>
      <c r="B91" s="8" t="s">
        <v>207</v>
      </c>
      <c r="C91" s="1" t="str">
        <f>RIGHT(ProductInfo[[#This Row],[Drawing No]],1)</f>
        <v>2</v>
      </c>
      <c r="D91" s="176" t="s">
        <v>208</v>
      </c>
      <c r="E91" s="30"/>
      <c r="F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" s="31"/>
      <c r="H91" s="31"/>
      <c r="I91" s="1">
        <f>COUNTA(ProductInfo[[#This Row],[P1]:[P15]])</f>
        <v>0</v>
      </c>
      <c r="J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s="1" customFormat="1">
      <c r="A92" s="8" t="s">
        <v>209</v>
      </c>
      <c r="B92" s="8" t="s">
        <v>209</v>
      </c>
      <c r="C92" s="1" t="str">
        <f>RIGHT(ProductInfo[[#This Row],[Drawing No]],1)</f>
        <v>2</v>
      </c>
      <c r="D92" s="176" t="s">
        <v>210</v>
      </c>
      <c r="E92" s="30"/>
      <c r="F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" s="31"/>
      <c r="H92" s="31"/>
      <c r="I92" s="1">
        <f>COUNTA(ProductInfo[[#This Row],[P1]:[P15]])</f>
        <v>0</v>
      </c>
      <c r="J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s="1" customFormat="1">
      <c r="A93" s="8" t="s">
        <v>211</v>
      </c>
      <c r="B93" s="8" t="s">
        <v>211</v>
      </c>
      <c r="C93" s="1" t="str">
        <f>RIGHT(ProductInfo[[#This Row],[Drawing No]],1)</f>
        <v>2</v>
      </c>
      <c r="D93" s="176" t="s">
        <v>212</v>
      </c>
      <c r="E93" s="30"/>
      <c r="F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" s="31"/>
      <c r="H93" s="31"/>
      <c r="I93" s="1">
        <f>COUNTA(ProductInfo[[#This Row],[P1]:[P15]])</f>
        <v>0</v>
      </c>
      <c r="J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s="1" customFormat="1" ht="27.75" customHeight="1">
      <c r="A94" s="8" t="s">
        <v>213</v>
      </c>
      <c r="B94" s="8" t="s">
        <v>213</v>
      </c>
      <c r="C94" s="1" t="str">
        <f>RIGHT(ProductInfo[[#This Row],[Drawing No]],1)</f>
        <v>2</v>
      </c>
      <c r="D94" s="176" t="s">
        <v>214</v>
      </c>
      <c r="E94" s="30"/>
      <c r="F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" s="31"/>
      <c r="H94" s="31"/>
      <c r="I94" s="1">
        <f>COUNTA(ProductInfo[[#This Row],[P1]:[P15]])</f>
        <v>0</v>
      </c>
      <c r="J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s="1" customFormat="1">
      <c r="A95" s="8" t="s">
        <v>215</v>
      </c>
      <c r="B95" s="8" t="s">
        <v>215</v>
      </c>
      <c r="C95" s="1" t="str">
        <f>RIGHT(ProductInfo[[#This Row],[Drawing No]],1)</f>
        <v>2</v>
      </c>
      <c r="D95" s="176" t="s">
        <v>216</v>
      </c>
      <c r="E95" s="30"/>
      <c r="F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" s="31"/>
      <c r="H95" s="31"/>
      <c r="I95" s="1">
        <f>COUNTA(ProductInfo[[#This Row],[P1]:[P15]])</f>
        <v>0</v>
      </c>
      <c r="J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s="1" customFormat="1" ht="0.75" customHeight="1">
      <c r="A96" s="8" t="s">
        <v>217</v>
      </c>
      <c r="B96" s="8" t="s">
        <v>217</v>
      </c>
      <c r="C96" s="1" t="str">
        <f>RIGHT(ProductInfo[[#This Row],[Drawing No]],1)</f>
        <v>2</v>
      </c>
      <c r="D96" s="176" t="s">
        <v>218</v>
      </c>
      <c r="E96" s="30"/>
      <c r="F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" s="31"/>
      <c r="H96" s="31"/>
      <c r="I96" s="1">
        <f>COUNTA(ProductInfo[[#This Row],[P1]:[P15]])</f>
        <v>0</v>
      </c>
      <c r="J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s="1" customFormat="1">
      <c r="A97" s="8" t="s">
        <v>219</v>
      </c>
      <c r="B97" s="8" t="s">
        <v>219</v>
      </c>
      <c r="C97" s="1" t="str">
        <f>RIGHT(ProductInfo[[#This Row],[Drawing No]],1)</f>
        <v>2</v>
      </c>
      <c r="D97" s="176" t="s">
        <v>220</v>
      </c>
      <c r="E97" s="30"/>
      <c r="F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" s="31"/>
      <c r="H97" s="31"/>
      <c r="I97" s="1">
        <f>COUNTA(ProductInfo[[#This Row],[P1]:[P15]])</f>
        <v>0</v>
      </c>
      <c r="J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s="1" customFormat="1">
      <c r="A98" s="8" t="s">
        <v>221</v>
      </c>
      <c r="B98" s="8" t="s">
        <v>221</v>
      </c>
      <c r="C98" s="1" t="str">
        <f>RIGHT(ProductInfo[[#This Row],[Drawing No]],1)</f>
        <v>0</v>
      </c>
      <c r="D98" s="176" t="s">
        <v>222</v>
      </c>
      <c r="E98" s="48"/>
      <c r="F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8" s="31"/>
      <c r="H98" s="31"/>
      <c r="I98" s="1">
        <f>COUNTA(ProductInfo[[#This Row],[P1]:[P15]])</f>
        <v>0</v>
      </c>
      <c r="J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s="1" customFormat="1">
      <c r="A99" s="8" t="s">
        <v>223</v>
      </c>
      <c r="B99" s="8" t="s">
        <v>223</v>
      </c>
      <c r="C99" s="1" t="str">
        <f>RIGHT(ProductInfo[[#This Row],[Drawing No]],1)</f>
        <v>2</v>
      </c>
      <c r="D99" s="176" t="s">
        <v>224</v>
      </c>
      <c r="E99" s="48"/>
      <c r="F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" s="31"/>
      <c r="H99" s="31"/>
      <c r="I99" s="1">
        <f>COUNTA(ProductInfo[[#This Row],[P1]:[P15]])</f>
        <v>0</v>
      </c>
      <c r="J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s="1" customFormat="1">
      <c r="A100" s="8" t="s">
        <v>225</v>
      </c>
      <c r="B100" s="8" t="s">
        <v>225</v>
      </c>
      <c r="C100" s="1" t="str">
        <f>RIGHT(ProductInfo[[#This Row],[Drawing No]],1)</f>
        <v>0</v>
      </c>
      <c r="D100" s="176" t="s">
        <v>226</v>
      </c>
      <c r="E100" s="48"/>
      <c r="F1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" s="31"/>
      <c r="H100" s="31"/>
      <c r="I100" s="1">
        <f>COUNTA(ProductInfo[[#This Row],[P1]:[P15]])</f>
        <v>0</v>
      </c>
      <c r="J1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s="1" customFormat="1">
      <c r="A101" s="8" t="s">
        <v>227</v>
      </c>
      <c r="B101" s="8" t="s">
        <v>227</v>
      </c>
      <c r="C101" s="1" t="str">
        <f>RIGHT(ProductInfo[[#This Row],[Drawing No]],1)</f>
        <v>2</v>
      </c>
      <c r="D101" s="176" t="s">
        <v>228</v>
      </c>
      <c r="E101" s="48"/>
      <c r="F1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" s="31"/>
      <c r="H101" s="31"/>
      <c r="I101" s="1">
        <f>COUNTA(ProductInfo[[#This Row],[P1]:[P15]])</f>
        <v>0</v>
      </c>
      <c r="J1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s="1" customFormat="1">
      <c r="A102" s="8" t="s">
        <v>229</v>
      </c>
      <c r="B102" s="8" t="s">
        <v>229</v>
      </c>
      <c r="C102" s="1" t="str">
        <f>RIGHT(ProductInfo[[#This Row],[Drawing No]],1)</f>
        <v>2</v>
      </c>
      <c r="D102" s="176" t="s">
        <v>230</v>
      </c>
      <c r="E102" s="48"/>
      <c r="F1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" s="31"/>
      <c r="H102" s="31"/>
      <c r="I102" s="1">
        <f>COUNTA(ProductInfo[[#This Row],[P1]:[P15]])</f>
        <v>0</v>
      </c>
      <c r="J1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s="1" customFormat="1">
      <c r="A103" s="8" t="s">
        <v>231</v>
      </c>
      <c r="B103" s="8" t="s">
        <v>231</v>
      </c>
      <c r="C103" s="1" t="str">
        <f>RIGHT(ProductInfo[[#This Row],[Drawing No]],1)</f>
        <v>2</v>
      </c>
      <c r="D103" s="176" t="s">
        <v>232</v>
      </c>
      <c r="E103" s="48"/>
      <c r="F1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" s="31"/>
      <c r="H103" s="31"/>
      <c r="I103" s="1">
        <f>COUNTA(ProductInfo[[#This Row],[P1]:[P15]])</f>
        <v>0</v>
      </c>
      <c r="J1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s="1" customFormat="1">
      <c r="A104" s="8" t="s">
        <v>233</v>
      </c>
      <c r="B104" s="8" t="s">
        <v>233</v>
      </c>
      <c r="C104" s="1" t="str">
        <f>RIGHT(ProductInfo[[#This Row],[Drawing No]],1)</f>
        <v>2</v>
      </c>
      <c r="D104" s="176" t="s">
        <v>234</v>
      </c>
      <c r="E104" s="48"/>
      <c r="F1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" s="31"/>
      <c r="H104" s="31"/>
      <c r="I104" s="1">
        <f>COUNTA(ProductInfo[[#This Row],[P1]:[P15]])</f>
        <v>0</v>
      </c>
      <c r="J1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s="1" customFormat="1">
      <c r="A105" s="8" t="s">
        <v>235</v>
      </c>
      <c r="B105" s="8" t="s">
        <v>235</v>
      </c>
      <c r="C105" s="1" t="str">
        <f>RIGHT(ProductInfo[[#This Row],[Drawing No]],1)</f>
        <v>2</v>
      </c>
      <c r="D105" s="176" t="s">
        <v>236</v>
      </c>
      <c r="E105" s="48"/>
      <c r="F1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5" s="31"/>
      <c r="H105" s="31"/>
      <c r="I105" s="1">
        <f>COUNTA(ProductInfo[[#This Row],[P1]:[P15]])</f>
        <v>0</v>
      </c>
      <c r="J1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s="1" customFormat="1">
      <c r="A106" s="8" t="s">
        <v>237</v>
      </c>
      <c r="B106" s="8" t="s">
        <v>237</v>
      </c>
      <c r="C106" s="1" t="str">
        <f>RIGHT(ProductInfo[[#This Row],[Drawing No]],1)</f>
        <v>2</v>
      </c>
      <c r="D106" s="176" t="s">
        <v>238</v>
      </c>
      <c r="E106" s="51"/>
      <c r="F1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" s="31"/>
      <c r="H106" s="31"/>
      <c r="I106" s="1">
        <f>COUNTA(ProductInfo[[#This Row],[P1]:[P15]])</f>
        <v>0</v>
      </c>
      <c r="J1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s="1" customFormat="1">
      <c r="A107" s="8" t="s">
        <v>239</v>
      </c>
      <c r="B107" s="8" t="s">
        <v>239</v>
      </c>
      <c r="C107" s="1" t="str">
        <f>RIGHT(ProductInfo[[#This Row],[Drawing No]],1)</f>
        <v>2</v>
      </c>
      <c r="D107" s="176" t="s">
        <v>240</v>
      </c>
      <c r="E107" s="4"/>
      <c r="F1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" s="31"/>
      <c r="H107" s="31"/>
      <c r="I107" s="1">
        <f>COUNTA(ProductInfo[[#This Row],[P1]:[P15]])</f>
        <v>0</v>
      </c>
      <c r="J1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s="1" customFormat="1">
      <c r="A108" s="8" t="s">
        <v>241</v>
      </c>
      <c r="B108" s="8" t="s">
        <v>241</v>
      </c>
      <c r="C108" s="1" t="str">
        <f>RIGHT(ProductInfo[[#This Row],[Drawing No]],1)</f>
        <v>2</v>
      </c>
      <c r="D108" s="176" t="s">
        <v>242</v>
      </c>
      <c r="E108" s="16"/>
      <c r="F1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" s="31"/>
      <c r="H108" s="31"/>
      <c r="I108" s="1">
        <f>COUNTA(ProductInfo[[#This Row],[P1]:[P15]])</f>
        <v>0</v>
      </c>
      <c r="J1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s="1" customFormat="1">
      <c r="A109" s="8" t="s">
        <v>243</v>
      </c>
      <c r="B109" s="8" t="s">
        <v>243</v>
      </c>
      <c r="C109" s="1" t="str">
        <f>RIGHT(ProductInfo[[#This Row],[Drawing No]],1)</f>
        <v>2</v>
      </c>
      <c r="D109" s="176" t="s">
        <v>244</v>
      </c>
      <c r="E109" s="16"/>
      <c r="F1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" s="31"/>
      <c r="H109" s="31"/>
      <c r="I109" s="1">
        <f>COUNTA(ProductInfo[[#This Row],[P1]:[P15]])</f>
        <v>0</v>
      </c>
      <c r="J1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s="1" customFormat="1">
      <c r="A110" s="8" t="s">
        <v>245</v>
      </c>
      <c r="B110" s="8" t="s">
        <v>245</v>
      </c>
      <c r="C110" s="1" t="str">
        <f>RIGHT(ProductInfo[[#This Row],[Drawing No]],1)</f>
        <v>2</v>
      </c>
      <c r="D110" s="176" t="s">
        <v>246</v>
      </c>
      <c r="E110" s="16"/>
      <c r="F1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" s="31"/>
      <c r="H110" s="31"/>
      <c r="I110" s="1">
        <f>COUNTA(ProductInfo[[#This Row],[P1]:[P15]])</f>
        <v>0</v>
      </c>
      <c r="J1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s="1" customFormat="1">
      <c r="A111" s="8" t="s">
        <v>247</v>
      </c>
      <c r="B111" s="8" t="s">
        <v>247</v>
      </c>
      <c r="C111" s="1" t="str">
        <f>RIGHT(ProductInfo[[#This Row],[Drawing No]],1)</f>
        <v>2</v>
      </c>
      <c r="D111" s="176" t="s">
        <v>248</v>
      </c>
      <c r="E111" s="16"/>
      <c r="F1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" s="31"/>
      <c r="H111" s="31"/>
      <c r="I111" s="1">
        <f>COUNTA(ProductInfo[[#This Row],[P1]:[P15]])</f>
        <v>0</v>
      </c>
      <c r="J1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s="1" customFormat="1">
      <c r="A112" s="8" t="s">
        <v>249</v>
      </c>
      <c r="B112" s="8" t="s">
        <v>249</v>
      </c>
      <c r="C112" s="1" t="str">
        <f>RIGHT(ProductInfo[[#This Row],[Drawing No]],1)</f>
        <v>2</v>
      </c>
      <c r="D112" s="176" t="s">
        <v>250</v>
      </c>
      <c r="E112" s="16"/>
      <c r="F1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" s="31"/>
      <c r="H112" s="31"/>
      <c r="I112" s="1">
        <f>COUNTA(ProductInfo[[#This Row],[P1]:[P15]])</f>
        <v>0</v>
      </c>
      <c r="J1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s="1" customFormat="1">
      <c r="A113" s="8" t="s">
        <v>251</v>
      </c>
      <c r="B113" s="8" t="s">
        <v>251</v>
      </c>
      <c r="C113" s="1" t="str">
        <f>RIGHT(ProductInfo[[#This Row],[Drawing No]],1)</f>
        <v>2</v>
      </c>
      <c r="D113" s="176" t="s">
        <v>252</v>
      </c>
      <c r="E113" s="16"/>
      <c r="F1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" s="31"/>
      <c r="H113" s="31"/>
      <c r="I113" s="1">
        <f>COUNTA(ProductInfo[[#This Row],[P1]:[P15]])</f>
        <v>0</v>
      </c>
      <c r="J1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s="1" customFormat="1">
      <c r="A114" s="8" t="s">
        <v>253</v>
      </c>
      <c r="B114" s="8" t="s">
        <v>253</v>
      </c>
      <c r="C114" s="1" t="str">
        <f>RIGHT(ProductInfo[[#This Row],[Drawing No]],1)</f>
        <v>2</v>
      </c>
      <c r="D114" s="176" t="s">
        <v>254</v>
      </c>
      <c r="E114" s="16"/>
      <c r="F1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" s="31"/>
      <c r="H114" s="31"/>
      <c r="I114" s="1">
        <f>COUNTA(ProductInfo[[#This Row],[P1]:[P15]])</f>
        <v>0</v>
      </c>
      <c r="J1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s="1" customFormat="1">
      <c r="A115" s="8" t="s">
        <v>255</v>
      </c>
      <c r="B115" s="8" t="s">
        <v>255</v>
      </c>
      <c r="C115" s="1" t="str">
        <f>RIGHT(ProductInfo[[#This Row],[Drawing No]],1)</f>
        <v>2</v>
      </c>
      <c r="D115" s="176" t="s">
        <v>256</v>
      </c>
      <c r="E115" s="16"/>
      <c r="F1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" s="31"/>
      <c r="H115" s="31"/>
      <c r="I115" s="1">
        <f>COUNTA(ProductInfo[[#This Row],[P1]:[P15]])</f>
        <v>0</v>
      </c>
      <c r="J1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s="1" customFormat="1">
      <c r="A116" s="8" t="s">
        <v>257</v>
      </c>
      <c r="B116" s="8" t="s">
        <v>257</v>
      </c>
      <c r="C116" s="1" t="str">
        <f>RIGHT(ProductInfo[[#This Row],[Drawing No]],1)</f>
        <v>2</v>
      </c>
      <c r="D116" s="176" t="s">
        <v>258</v>
      </c>
      <c r="E116" s="16"/>
      <c r="F1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" s="31"/>
      <c r="H116" s="31"/>
      <c r="I116" s="1">
        <f>COUNTA(ProductInfo[[#This Row],[P1]:[P15]])</f>
        <v>0</v>
      </c>
      <c r="J1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s="1" customFormat="1">
      <c r="A117" s="8" t="s">
        <v>259</v>
      </c>
      <c r="B117" s="8" t="s">
        <v>259</v>
      </c>
      <c r="C117" s="1" t="str">
        <f>RIGHT(ProductInfo[[#This Row],[Drawing No]],1)</f>
        <v>2</v>
      </c>
      <c r="D117" s="176" t="s">
        <v>260</v>
      </c>
      <c r="E117" s="16"/>
      <c r="F1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" s="31"/>
      <c r="H117" s="31"/>
      <c r="I117" s="1">
        <f>COUNTA(ProductInfo[[#This Row],[P1]:[P15]])</f>
        <v>0</v>
      </c>
      <c r="J1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s="1" customFormat="1">
      <c r="A118" s="8" t="s">
        <v>261</v>
      </c>
      <c r="B118" s="8" t="s">
        <v>261</v>
      </c>
      <c r="C118" s="1" t="str">
        <f>RIGHT(ProductInfo[[#This Row],[Drawing No]],1)</f>
        <v>2</v>
      </c>
      <c r="D118" s="176" t="s">
        <v>262</v>
      </c>
      <c r="E118" s="16"/>
      <c r="F1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" s="31"/>
      <c r="H118" s="31"/>
      <c r="I118" s="1">
        <f>COUNTA(ProductInfo[[#This Row],[P1]:[P15]])</f>
        <v>0</v>
      </c>
      <c r="J1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s="1" customFormat="1">
      <c r="A119" s="8" t="s">
        <v>263</v>
      </c>
      <c r="B119" s="8" t="s">
        <v>263</v>
      </c>
      <c r="C119" s="1" t="str">
        <f>RIGHT(ProductInfo[[#This Row],[Drawing No]],1)</f>
        <v>0</v>
      </c>
      <c r="D119" s="176" t="s">
        <v>264</v>
      </c>
      <c r="E119" s="16"/>
      <c r="F1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" s="31"/>
      <c r="H119" s="31"/>
      <c r="I119" s="1">
        <f>COUNTA(ProductInfo[[#This Row],[P1]:[P15]])</f>
        <v>0</v>
      </c>
      <c r="J1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s="1" customFormat="1">
      <c r="A120" s="8" t="s">
        <v>265</v>
      </c>
      <c r="B120" s="8" t="s">
        <v>265</v>
      </c>
      <c r="C120" s="1" t="str">
        <f>RIGHT(ProductInfo[[#This Row],[Drawing No]],1)</f>
        <v>0</v>
      </c>
      <c r="D120" s="176" t="s">
        <v>266</v>
      </c>
      <c r="E120" s="16"/>
      <c r="F1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" s="31"/>
      <c r="H120" s="31"/>
      <c r="I120" s="1">
        <f>COUNTA(ProductInfo[[#This Row],[P1]:[P15]])</f>
        <v>0</v>
      </c>
      <c r="J1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s="1" customFormat="1">
      <c r="A121" s="8" t="s">
        <v>267</v>
      </c>
      <c r="B121" s="8" t="s">
        <v>267</v>
      </c>
      <c r="C121" s="1" t="str">
        <f>RIGHT(ProductInfo[[#This Row],[Drawing No]],1)</f>
        <v>2</v>
      </c>
      <c r="D121" s="176" t="s">
        <v>268</v>
      </c>
      <c r="E121" s="16"/>
      <c r="F1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" s="31"/>
      <c r="H121" s="31"/>
      <c r="I121" s="1">
        <f>COUNTA(ProductInfo[[#This Row],[P1]:[P15]])</f>
        <v>0</v>
      </c>
      <c r="J1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s="1" customFormat="1">
      <c r="A122" s="8" t="s">
        <v>269</v>
      </c>
      <c r="B122" s="8" t="s">
        <v>269</v>
      </c>
      <c r="C122" s="1" t="str">
        <f>RIGHT(ProductInfo[[#This Row],[Drawing No]],1)</f>
        <v>2</v>
      </c>
      <c r="D122" s="176" t="s">
        <v>270</v>
      </c>
      <c r="E122" s="16"/>
      <c r="F1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" s="31"/>
      <c r="H122" s="31"/>
      <c r="I122" s="1">
        <f>COUNTA(ProductInfo[[#This Row],[P1]:[P15]])</f>
        <v>0</v>
      </c>
      <c r="J1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s="1" customFormat="1">
      <c r="A123" s="8" t="s">
        <v>271</v>
      </c>
      <c r="B123" s="8" t="s">
        <v>271</v>
      </c>
      <c r="C123" s="1" t="str">
        <f>RIGHT(ProductInfo[[#This Row],[Drawing No]],1)</f>
        <v>0</v>
      </c>
      <c r="D123" s="176" t="s">
        <v>272</v>
      </c>
      <c r="E123" s="16"/>
      <c r="F1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" s="31"/>
      <c r="H123" s="31"/>
      <c r="I123" s="1">
        <f>COUNTA(ProductInfo[[#This Row],[P1]:[P15]])</f>
        <v>0</v>
      </c>
      <c r="J1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s="1" customFormat="1">
      <c r="A124" s="8" t="s">
        <v>273</v>
      </c>
      <c r="B124" s="8" t="s">
        <v>273</v>
      </c>
      <c r="C124" s="1" t="str">
        <f>RIGHT(ProductInfo[[#This Row],[Drawing No]],1)</f>
        <v>2</v>
      </c>
      <c r="D124" s="176" t="s">
        <v>274</v>
      </c>
      <c r="E124" s="16"/>
      <c r="F1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4" s="31"/>
      <c r="H124" s="31"/>
      <c r="I124" s="1">
        <f>COUNTA(ProductInfo[[#This Row],[P1]:[P15]])</f>
        <v>0</v>
      </c>
      <c r="J1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s="1" customFormat="1">
      <c r="A125" s="8" t="s">
        <v>275</v>
      </c>
      <c r="B125" s="8" t="s">
        <v>275</v>
      </c>
      <c r="C125" s="1" t="str">
        <f>RIGHT(ProductInfo[[#This Row],[Drawing No]],1)</f>
        <v>2</v>
      </c>
      <c r="D125" s="176" t="s">
        <v>276</v>
      </c>
      <c r="E125" s="16"/>
      <c r="F1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5" s="31"/>
      <c r="H125" s="31"/>
      <c r="I125" s="1">
        <f>COUNTA(ProductInfo[[#This Row],[P1]:[P15]])</f>
        <v>0</v>
      </c>
      <c r="J1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s="1" customFormat="1">
      <c r="A126" s="8" t="s">
        <v>277</v>
      </c>
      <c r="B126" s="8" t="s">
        <v>277</v>
      </c>
      <c r="C126" s="1" t="str">
        <f>RIGHT(ProductInfo[[#This Row],[Drawing No]],1)</f>
        <v>0</v>
      </c>
      <c r="D126" s="176" t="s">
        <v>278</v>
      </c>
      <c r="E126" s="16"/>
      <c r="F1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6" s="31"/>
      <c r="H126" s="31"/>
      <c r="I126" s="1">
        <f>COUNTA(ProductInfo[[#This Row],[P1]:[P15]])</f>
        <v>0</v>
      </c>
      <c r="J1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s="1" customFormat="1">
      <c r="A127" s="8" t="s">
        <v>279</v>
      </c>
      <c r="B127" s="8" t="s">
        <v>279</v>
      </c>
      <c r="C127" s="1" t="str">
        <f>RIGHT(ProductInfo[[#This Row],[Drawing No]],1)</f>
        <v>0</v>
      </c>
      <c r="D127" s="176" t="s">
        <v>280</v>
      </c>
      <c r="E127" s="16"/>
      <c r="F1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7" s="31"/>
      <c r="H127" s="31"/>
      <c r="I127" s="1">
        <f>COUNTA(ProductInfo[[#This Row],[P1]:[P15]])</f>
        <v>0</v>
      </c>
      <c r="J1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s="1" customFormat="1">
      <c r="A128" s="8" t="s">
        <v>281</v>
      </c>
      <c r="B128" s="8" t="s">
        <v>281</v>
      </c>
      <c r="C128" s="1" t="str">
        <f>RIGHT(ProductInfo[[#This Row],[Drawing No]],1)</f>
        <v>0</v>
      </c>
      <c r="D128" s="176" t="s">
        <v>282</v>
      </c>
      <c r="E128" s="16"/>
      <c r="F1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8" s="31"/>
      <c r="H128" s="31"/>
      <c r="I128" s="1">
        <f>COUNTA(ProductInfo[[#This Row],[P1]:[P15]])</f>
        <v>0</v>
      </c>
      <c r="J1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s="1" customFormat="1">
      <c r="A129" s="8" t="s">
        <v>283</v>
      </c>
      <c r="B129" s="8" t="s">
        <v>283</v>
      </c>
      <c r="C129" s="1" t="str">
        <f>RIGHT(ProductInfo[[#This Row],[Drawing No]],1)</f>
        <v>1</v>
      </c>
      <c r="D129" s="176" t="s">
        <v>284</v>
      </c>
      <c r="E129" s="16"/>
      <c r="F1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9" s="31"/>
      <c r="H129" s="31"/>
      <c r="I129" s="1">
        <f>COUNTA(ProductInfo[[#This Row],[P1]:[P15]])</f>
        <v>0</v>
      </c>
      <c r="J1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s="1" customFormat="1">
      <c r="A130" s="8" t="s">
        <v>285</v>
      </c>
      <c r="B130" s="8" t="s">
        <v>285</v>
      </c>
      <c r="C130" s="1" t="str">
        <f>RIGHT(ProductInfo[[#This Row],[Drawing No]],1)</f>
        <v>2</v>
      </c>
      <c r="D130" s="176" t="s">
        <v>286</v>
      </c>
      <c r="E130" s="16"/>
      <c r="F1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0" s="31"/>
      <c r="H130" s="31"/>
      <c r="I130" s="1">
        <f>COUNTA(ProductInfo[[#This Row],[P1]:[P15]])</f>
        <v>0</v>
      </c>
      <c r="J1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s="1" customFormat="1">
      <c r="A131" s="8" t="s">
        <v>287</v>
      </c>
      <c r="B131" s="8" t="s">
        <v>287</v>
      </c>
      <c r="C131" s="1" t="str">
        <f>RIGHT(ProductInfo[[#This Row],[Drawing No]],1)</f>
        <v>1</v>
      </c>
      <c r="D131" s="176" t="s">
        <v>288</v>
      </c>
      <c r="E131" s="16"/>
      <c r="F1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" s="31"/>
      <c r="H131" s="31"/>
      <c r="I131" s="1">
        <f>COUNTA(ProductInfo[[#This Row],[P1]:[P15]])</f>
        <v>0</v>
      </c>
      <c r="J1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s="1" customFormat="1">
      <c r="A132" s="8" t="s">
        <v>289</v>
      </c>
      <c r="B132" s="8" t="s">
        <v>289</v>
      </c>
      <c r="C132" s="1" t="str">
        <f>RIGHT(ProductInfo[[#This Row],[Drawing No]],1)</f>
        <v>0</v>
      </c>
      <c r="D132" s="176" t="s">
        <v>290</v>
      </c>
      <c r="E132" s="16"/>
      <c r="F1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" s="31"/>
      <c r="H132" s="31"/>
      <c r="I132" s="1">
        <f>COUNTA(ProductInfo[[#This Row],[P1]:[P15]])</f>
        <v>0</v>
      </c>
      <c r="J1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s="1" customFormat="1">
      <c r="A133" s="8" t="s">
        <v>291</v>
      </c>
      <c r="B133" s="8" t="s">
        <v>291</v>
      </c>
      <c r="C133" s="1" t="str">
        <f>RIGHT(ProductInfo[[#This Row],[Drawing No]],1)</f>
        <v>0</v>
      </c>
      <c r="D133" s="176" t="s">
        <v>292</v>
      </c>
      <c r="E133" s="16"/>
      <c r="F1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" s="31"/>
      <c r="H133" s="31"/>
      <c r="I133" s="1">
        <f>COUNTA(ProductInfo[[#This Row],[P1]:[P15]])</f>
        <v>0</v>
      </c>
      <c r="J1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s="1" customFormat="1">
      <c r="A134" s="8" t="s">
        <v>293</v>
      </c>
      <c r="B134" s="8" t="s">
        <v>293</v>
      </c>
      <c r="C134" s="1" t="str">
        <f>RIGHT(ProductInfo[[#This Row],[Drawing No]],1)</f>
        <v>0</v>
      </c>
      <c r="D134" s="176" t="s">
        <v>294</v>
      </c>
      <c r="E134" s="16"/>
      <c r="F1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" s="31"/>
      <c r="H134" s="31"/>
      <c r="I134" s="1">
        <f>COUNTA(ProductInfo[[#This Row],[P1]:[P15]])</f>
        <v>0</v>
      </c>
      <c r="J1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s="1" customFormat="1">
      <c r="A135" s="8" t="s">
        <v>295</v>
      </c>
      <c r="B135" s="8" t="s">
        <v>295</v>
      </c>
      <c r="C135" s="1" t="str">
        <f>RIGHT(ProductInfo[[#This Row],[Drawing No]],1)</f>
        <v>0</v>
      </c>
      <c r="D135" s="176" t="s">
        <v>296</v>
      </c>
      <c r="E135" s="16"/>
      <c r="F1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5" s="31"/>
      <c r="H135" s="31"/>
      <c r="I135" s="1">
        <f>COUNTA(ProductInfo[[#This Row],[P1]:[P15]])</f>
        <v>0</v>
      </c>
      <c r="J1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s="1" customFormat="1">
      <c r="A136" s="8" t="s">
        <v>297</v>
      </c>
      <c r="B136" s="8" t="s">
        <v>297</v>
      </c>
      <c r="C136" s="1" t="str">
        <f>RIGHT(ProductInfo[[#This Row],[Drawing No]],1)</f>
        <v>0</v>
      </c>
      <c r="D136" s="176" t="s">
        <v>298</v>
      </c>
      <c r="E136" s="16"/>
      <c r="F1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" s="31"/>
      <c r="H136" s="31"/>
      <c r="I136" s="1">
        <f>COUNTA(ProductInfo[[#This Row],[P1]:[P15]])</f>
        <v>0</v>
      </c>
      <c r="J1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s="1" customFormat="1">
      <c r="A137" s="8" t="s">
        <v>299</v>
      </c>
      <c r="B137" s="8" t="s">
        <v>299</v>
      </c>
      <c r="C137" s="1" t="str">
        <f>RIGHT(ProductInfo[[#This Row],[Drawing No]],1)</f>
        <v>2</v>
      </c>
      <c r="D137" s="178" t="s">
        <v>300</v>
      </c>
      <c r="E137" s="17"/>
      <c r="F137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" s="38"/>
      <c r="H137" s="38"/>
      <c r="I137" s="1">
        <f>COUNTA(ProductInfo[[#This Row],[P1]:[P15]])</f>
        <v>0</v>
      </c>
      <c r="J1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s="1" customFormat="1">
      <c r="A138" s="54" t="s">
        <v>301</v>
      </c>
      <c r="B138" s="8" t="s">
        <v>301</v>
      </c>
      <c r="C138" s="1" t="str">
        <f>RIGHT(ProductInfo[[#This Row],[Drawing No]],1)</f>
        <v>2</v>
      </c>
      <c r="D138" s="178" t="s">
        <v>302</v>
      </c>
      <c r="E138" s="17"/>
      <c r="F138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8" s="38"/>
      <c r="H138" s="38"/>
      <c r="I138" s="1">
        <f>COUNTA(ProductInfo[[#This Row],[P1]:[P15]])</f>
        <v>0</v>
      </c>
      <c r="J1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s="1" customFormat="1">
      <c r="A139" s="8" t="s">
        <v>303</v>
      </c>
      <c r="B139" s="8" t="s">
        <v>303</v>
      </c>
      <c r="C139" s="1" t="str">
        <f>RIGHT(ProductInfo[[#This Row],[Drawing No]],1)</f>
        <v>2</v>
      </c>
      <c r="D139" s="178" t="s">
        <v>304</v>
      </c>
      <c r="E139" s="17"/>
      <c r="F13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" s="38"/>
      <c r="H139" s="38"/>
      <c r="I139" s="1">
        <f>COUNTA(ProductInfo[[#This Row],[P1]:[P15]])</f>
        <v>0</v>
      </c>
      <c r="J1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s="1" customFormat="1">
      <c r="A140" s="8" t="s">
        <v>305</v>
      </c>
      <c r="B140" s="8" t="s">
        <v>305</v>
      </c>
      <c r="C140" s="1" t="str">
        <f>RIGHT(ProductInfo[[#This Row],[Drawing No]],1)</f>
        <v>2</v>
      </c>
      <c r="D140" s="178" t="s">
        <v>306</v>
      </c>
      <c r="E140" s="17"/>
      <c r="F14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" s="38"/>
      <c r="H140" s="38"/>
      <c r="I140" s="1">
        <f>COUNTA(ProductInfo[[#This Row],[P1]:[P15]])</f>
        <v>0</v>
      </c>
      <c r="J1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s="1" customFormat="1">
      <c r="A141" s="8" t="s">
        <v>307</v>
      </c>
      <c r="B141" s="8" t="s">
        <v>307</v>
      </c>
      <c r="C141" s="1" t="str">
        <f>RIGHT(ProductInfo[[#This Row],[Drawing No]],1)</f>
        <v>0</v>
      </c>
      <c r="D141" s="176" t="s">
        <v>308</v>
      </c>
      <c r="E141" s="16"/>
      <c r="F1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" s="31"/>
      <c r="H141" s="31"/>
      <c r="I141" s="1">
        <f>COUNTA(ProductInfo[[#This Row],[P1]:[P15]])</f>
        <v>0</v>
      </c>
      <c r="J1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s="1" customFormat="1">
      <c r="A142" s="8" t="s">
        <v>309</v>
      </c>
      <c r="B142" s="8" t="s">
        <v>309</v>
      </c>
      <c r="C142" s="1" t="str">
        <f>RIGHT(ProductInfo[[#This Row],[Drawing No]],1)</f>
        <v>0</v>
      </c>
      <c r="D142" s="176" t="s">
        <v>310</v>
      </c>
      <c r="E142" s="16"/>
      <c r="F1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" s="31"/>
      <c r="H142" s="31"/>
      <c r="I142" s="1">
        <f>COUNTA(ProductInfo[[#This Row],[P1]:[P15]])</f>
        <v>0</v>
      </c>
      <c r="J1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s="1" customFormat="1">
      <c r="A143" s="8" t="s">
        <v>311</v>
      </c>
      <c r="B143" s="8" t="s">
        <v>311</v>
      </c>
      <c r="C143" s="1" t="str">
        <f>RIGHT(ProductInfo[[#This Row],[Drawing No]],1)</f>
        <v>0</v>
      </c>
      <c r="D143" s="176" t="s">
        <v>312</v>
      </c>
      <c r="E143" s="16"/>
      <c r="F1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" s="31"/>
      <c r="H143" s="31"/>
      <c r="I143" s="1">
        <f>COUNTA(ProductInfo[[#This Row],[P1]:[P15]])</f>
        <v>0</v>
      </c>
      <c r="J1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s="1" customFormat="1">
      <c r="A144" s="8" t="s">
        <v>313</v>
      </c>
      <c r="B144" s="8" t="s">
        <v>313</v>
      </c>
      <c r="C144" s="1" t="str">
        <f>RIGHT(ProductInfo[[#This Row],[Drawing No]],1)</f>
        <v>0</v>
      </c>
      <c r="D144" s="176" t="s">
        <v>314</v>
      </c>
      <c r="E144" s="16"/>
      <c r="F1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" s="31"/>
      <c r="H144" s="31"/>
      <c r="I144" s="1">
        <f>COUNTA(ProductInfo[[#This Row],[P1]:[P15]])</f>
        <v>0</v>
      </c>
      <c r="J1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s="1" customFormat="1">
      <c r="A145" s="8" t="s">
        <v>315</v>
      </c>
      <c r="B145" s="8" t="s">
        <v>315</v>
      </c>
      <c r="C145" s="1" t="str">
        <f>RIGHT(ProductInfo[[#This Row],[Drawing No]],1)</f>
        <v>0</v>
      </c>
      <c r="D145" s="176" t="s">
        <v>316</v>
      </c>
      <c r="E145" s="16"/>
      <c r="F1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5" s="31"/>
      <c r="H145" s="31"/>
      <c r="I145" s="1">
        <f>COUNTA(ProductInfo[[#This Row],[P1]:[P15]])</f>
        <v>0</v>
      </c>
      <c r="J1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s="1" customFormat="1">
      <c r="A146" s="8" t="s">
        <v>317</v>
      </c>
      <c r="B146" s="8" t="s">
        <v>317</v>
      </c>
      <c r="C146" s="1" t="str">
        <f>RIGHT(ProductInfo[[#This Row],[Drawing No]],1)</f>
        <v>0</v>
      </c>
      <c r="D146" s="176" t="s">
        <v>318</v>
      </c>
      <c r="E146" s="16"/>
      <c r="F1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6" s="31"/>
      <c r="H146" s="31"/>
      <c r="I146" s="1">
        <f>COUNTA(ProductInfo[[#This Row],[P1]:[P15]])</f>
        <v>0</v>
      </c>
      <c r="J1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s="1" customFormat="1">
      <c r="A147" s="8" t="s">
        <v>319</v>
      </c>
      <c r="B147" s="8" t="s">
        <v>319</v>
      </c>
      <c r="C147" s="1" t="str">
        <f>RIGHT(ProductInfo[[#This Row],[Drawing No]],1)</f>
        <v>0</v>
      </c>
      <c r="D147" s="176" t="s">
        <v>320</v>
      </c>
      <c r="E147" s="16"/>
      <c r="F1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" s="31"/>
      <c r="H147" s="31"/>
      <c r="I147" s="1">
        <f>COUNTA(ProductInfo[[#This Row],[P1]:[P15]])</f>
        <v>0</v>
      </c>
      <c r="J1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s="1" customFormat="1">
      <c r="A148" s="8" t="s">
        <v>321</v>
      </c>
      <c r="B148" s="8" t="s">
        <v>321</v>
      </c>
      <c r="C148" s="1" t="str">
        <f>RIGHT(ProductInfo[[#This Row],[Drawing No]],1)</f>
        <v>0</v>
      </c>
      <c r="D148" s="176" t="s">
        <v>322</v>
      </c>
      <c r="E148" s="16"/>
      <c r="F1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" s="31"/>
      <c r="H148" s="31"/>
      <c r="I148" s="1">
        <f>COUNTA(ProductInfo[[#This Row],[P1]:[P15]])</f>
        <v>0</v>
      </c>
      <c r="J1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s="1" customFormat="1">
      <c r="A149" s="8" t="s">
        <v>323</v>
      </c>
      <c r="B149" s="8" t="s">
        <v>323</v>
      </c>
      <c r="C149" s="1" t="str">
        <f>RIGHT(ProductInfo[[#This Row],[Drawing No]],1)</f>
        <v>1</v>
      </c>
      <c r="D149" s="176" t="s">
        <v>324</v>
      </c>
      <c r="E149" s="16"/>
      <c r="F1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" s="31"/>
      <c r="H149" s="31"/>
      <c r="I149" s="1">
        <f>COUNTA(ProductInfo[[#This Row],[P1]:[P15]])</f>
        <v>0</v>
      </c>
      <c r="J1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s="1" customFormat="1">
      <c r="A150" s="8" t="s">
        <v>325</v>
      </c>
      <c r="B150" s="8" t="s">
        <v>325</v>
      </c>
      <c r="C150" s="1" t="str">
        <f>RIGHT(ProductInfo[[#This Row],[Drawing No]],1)</f>
        <v>0</v>
      </c>
      <c r="D150" s="176" t="s">
        <v>326</v>
      </c>
      <c r="E150" s="16"/>
      <c r="F1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" s="31"/>
      <c r="H150" s="31"/>
      <c r="I150" s="1">
        <f>COUNTA(ProductInfo[[#This Row],[P1]:[P15]])</f>
        <v>0</v>
      </c>
      <c r="J1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s="1" customFormat="1">
      <c r="A151" s="8" t="s">
        <v>327</v>
      </c>
      <c r="B151" s="8" t="s">
        <v>327</v>
      </c>
      <c r="C151" s="1" t="str">
        <f>RIGHT(ProductInfo[[#This Row],[Drawing No]],1)</f>
        <v>0</v>
      </c>
      <c r="D151" s="176" t="s">
        <v>328</v>
      </c>
      <c r="E151" s="16"/>
      <c r="F1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" s="31"/>
      <c r="H151" s="31"/>
      <c r="I151" s="1">
        <f>COUNTA(ProductInfo[[#This Row],[P1]:[P15]])</f>
        <v>0</v>
      </c>
      <c r="J1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s="1" customFormat="1">
      <c r="A152" s="8" t="s">
        <v>329</v>
      </c>
      <c r="B152" s="8" t="s">
        <v>329</v>
      </c>
      <c r="C152" s="1" t="str">
        <f>RIGHT(ProductInfo[[#This Row],[Drawing No]],1)</f>
        <v>0</v>
      </c>
      <c r="D152" s="176" t="s">
        <v>330</v>
      </c>
      <c r="E152" s="16"/>
      <c r="F1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" s="31"/>
      <c r="H152" s="31"/>
      <c r="I152" s="1">
        <f>COUNTA(ProductInfo[[#This Row],[P1]:[P15]])</f>
        <v>0</v>
      </c>
      <c r="J1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s="1" customFormat="1">
      <c r="A153" s="8" t="s">
        <v>331</v>
      </c>
      <c r="B153" s="8" t="s">
        <v>331</v>
      </c>
      <c r="C153" s="1" t="str">
        <f>RIGHT(ProductInfo[[#This Row],[Drawing No]],1)</f>
        <v>0</v>
      </c>
      <c r="D153" s="176" t="s">
        <v>332</v>
      </c>
      <c r="E153" s="16"/>
      <c r="F1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" s="31"/>
      <c r="H153" s="31"/>
      <c r="I153" s="1">
        <f>COUNTA(ProductInfo[[#This Row],[P1]:[P15]])</f>
        <v>0</v>
      </c>
      <c r="J1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s="1" customFormat="1">
      <c r="A154" s="8" t="s">
        <v>333</v>
      </c>
      <c r="B154" s="8" t="s">
        <v>333</v>
      </c>
      <c r="C154" s="1" t="str">
        <f>RIGHT(ProductInfo[[#This Row],[Drawing No]],1)</f>
        <v>0</v>
      </c>
      <c r="D154" s="176" t="s">
        <v>334</v>
      </c>
      <c r="E154" s="16"/>
      <c r="F1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" s="31"/>
      <c r="H154" s="31"/>
      <c r="I154" s="1">
        <f>COUNTA(ProductInfo[[#This Row],[P1]:[P15]])</f>
        <v>0</v>
      </c>
      <c r="J1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s="1" customFormat="1">
      <c r="A155" s="8" t="s">
        <v>335</v>
      </c>
      <c r="B155" s="8" t="s">
        <v>335</v>
      </c>
      <c r="C155" s="1" t="str">
        <f>RIGHT(ProductInfo[[#This Row],[Drawing No]],1)</f>
        <v>0</v>
      </c>
      <c r="D155" s="176" t="s">
        <v>336</v>
      </c>
      <c r="E155" s="16"/>
      <c r="F1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" s="31"/>
      <c r="H155" s="31"/>
      <c r="I155" s="1">
        <f>COUNTA(ProductInfo[[#This Row],[P1]:[P15]])</f>
        <v>0</v>
      </c>
      <c r="J1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s="1" customFormat="1">
      <c r="A156" s="8" t="s">
        <v>337</v>
      </c>
      <c r="B156" s="8" t="s">
        <v>337</v>
      </c>
      <c r="C156" s="1" t="str">
        <f>RIGHT(ProductInfo[[#This Row],[Drawing No]],1)</f>
        <v>1</v>
      </c>
      <c r="D156" s="176" t="s">
        <v>336</v>
      </c>
      <c r="E156" s="16"/>
      <c r="F1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" s="31"/>
      <c r="H156" s="31"/>
      <c r="I156" s="1">
        <f>COUNTA(ProductInfo[[#This Row],[P1]:[P15]])</f>
        <v>0</v>
      </c>
      <c r="J1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s="1" customFormat="1">
      <c r="A157" s="8" t="s">
        <v>338</v>
      </c>
      <c r="B157" s="8" t="s">
        <v>338</v>
      </c>
      <c r="C157" s="1" t="str">
        <f>RIGHT(ProductInfo[[#This Row],[Drawing No]],1)</f>
        <v>0</v>
      </c>
      <c r="D157" s="176" t="s">
        <v>339</v>
      </c>
      <c r="E157" s="16"/>
      <c r="F1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" s="31"/>
      <c r="H157" s="31"/>
      <c r="I157" s="1">
        <f>COUNTA(ProductInfo[[#This Row],[P1]:[P15]])</f>
        <v>0</v>
      </c>
      <c r="J1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s="1" customFormat="1">
      <c r="A158" s="8" t="s">
        <v>340</v>
      </c>
      <c r="B158" s="8" t="s">
        <v>340</v>
      </c>
      <c r="C158" s="1" t="str">
        <f>RIGHT(ProductInfo[[#This Row],[Drawing No]],1)</f>
        <v>0</v>
      </c>
      <c r="D158" s="176" t="s">
        <v>341</v>
      </c>
      <c r="E158" s="16"/>
      <c r="F1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" s="31"/>
      <c r="H158" s="31"/>
      <c r="I158" s="1">
        <f>COUNTA(ProductInfo[[#This Row],[P1]:[P15]])</f>
        <v>0</v>
      </c>
      <c r="J1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s="1" customFormat="1">
      <c r="A159" s="8" t="s">
        <v>342</v>
      </c>
      <c r="B159" s="8" t="s">
        <v>342</v>
      </c>
      <c r="C159" s="1" t="str">
        <f>RIGHT(ProductInfo[[#This Row],[Drawing No]],1)</f>
        <v>0</v>
      </c>
      <c r="D159" s="176" t="s">
        <v>343</v>
      </c>
      <c r="E159" s="16"/>
      <c r="F1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" s="31"/>
      <c r="H159" s="31"/>
      <c r="I159" s="1">
        <f>COUNTA(ProductInfo[[#This Row],[P1]:[P15]])</f>
        <v>0</v>
      </c>
      <c r="J1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s="1" customFormat="1">
      <c r="A160" s="8" t="s">
        <v>344</v>
      </c>
      <c r="B160" s="8" t="s">
        <v>344</v>
      </c>
      <c r="C160" s="1" t="str">
        <f>RIGHT(ProductInfo[[#This Row],[Drawing No]],1)</f>
        <v>0</v>
      </c>
      <c r="D160" s="176" t="s">
        <v>345</v>
      </c>
      <c r="E160" s="16"/>
      <c r="F1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" s="31"/>
      <c r="H160" s="31"/>
      <c r="I160" s="1">
        <f>COUNTA(ProductInfo[[#This Row],[P1]:[P15]])</f>
        <v>0</v>
      </c>
      <c r="J1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s="1" customFormat="1">
      <c r="A161" s="8" t="s">
        <v>346</v>
      </c>
      <c r="B161" s="8" t="s">
        <v>346</v>
      </c>
      <c r="C161" s="1" t="str">
        <f>RIGHT(ProductInfo[[#This Row],[Drawing No]],1)</f>
        <v>0</v>
      </c>
      <c r="D161" s="176" t="s">
        <v>347</v>
      </c>
      <c r="E161" s="16"/>
      <c r="F1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" s="31"/>
      <c r="H161" s="31"/>
      <c r="I161" s="1">
        <f>COUNTA(ProductInfo[[#This Row],[P1]:[P15]])</f>
        <v>0</v>
      </c>
      <c r="J1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s="1" customFormat="1">
      <c r="A162" s="8" t="s">
        <v>348</v>
      </c>
      <c r="B162" s="8" t="s">
        <v>348</v>
      </c>
      <c r="C162" s="1" t="str">
        <f>RIGHT(ProductInfo[[#This Row],[Drawing No]],1)</f>
        <v>0</v>
      </c>
      <c r="D162" s="176" t="s">
        <v>349</v>
      </c>
      <c r="E162" s="16"/>
      <c r="F1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" s="31"/>
      <c r="H162" s="31"/>
      <c r="I162" s="1">
        <f>COUNTA(ProductInfo[[#This Row],[P1]:[P15]])</f>
        <v>0</v>
      </c>
      <c r="J1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s="1" customFormat="1">
      <c r="A163" s="8" t="s">
        <v>350</v>
      </c>
      <c r="B163" s="8" t="s">
        <v>350</v>
      </c>
      <c r="C163" s="1" t="str">
        <f>RIGHT(ProductInfo[[#This Row],[Drawing No]],1)</f>
        <v>1</v>
      </c>
      <c r="D163" s="176" t="s">
        <v>349</v>
      </c>
      <c r="E163" s="16"/>
      <c r="F1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" s="31"/>
      <c r="H163" s="31"/>
      <c r="I163" s="1">
        <f>COUNTA(ProductInfo[[#This Row],[P1]:[P15]])</f>
        <v>0</v>
      </c>
      <c r="J1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s="1" customFormat="1">
      <c r="A164" s="8" t="s">
        <v>351</v>
      </c>
      <c r="B164" s="8" t="s">
        <v>351</v>
      </c>
      <c r="C164" s="1" t="str">
        <f>RIGHT(ProductInfo[[#This Row],[Drawing No]],1)</f>
        <v>0</v>
      </c>
      <c r="D164" s="176" t="s">
        <v>352</v>
      </c>
      <c r="E164" s="16"/>
      <c r="F1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" s="31"/>
      <c r="H164" s="31"/>
      <c r="I164" s="1">
        <f>COUNTA(ProductInfo[[#This Row],[P1]:[P15]])</f>
        <v>0</v>
      </c>
      <c r="J1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s="1" customFormat="1">
      <c r="A165" s="8" t="s">
        <v>353</v>
      </c>
      <c r="B165" s="8" t="s">
        <v>353</v>
      </c>
      <c r="C165" s="1" t="str">
        <f>RIGHT(ProductInfo[[#This Row],[Drawing No]],1)</f>
        <v>1</v>
      </c>
      <c r="D165" s="176" t="s">
        <v>352</v>
      </c>
      <c r="E165" s="16"/>
      <c r="F1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" s="31"/>
      <c r="H165" s="31"/>
      <c r="I165" s="1">
        <f>COUNTA(ProductInfo[[#This Row],[P1]:[P15]])</f>
        <v>0</v>
      </c>
      <c r="J1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s="1" customFormat="1">
      <c r="A166" s="8" t="s">
        <v>354</v>
      </c>
      <c r="B166" s="8" t="s">
        <v>354</v>
      </c>
      <c r="C166" s="1" t="str">
        <f>RIGHT(ProductInfo[[#This Row],[Drawing No]],1)</f>
        <v>0</v>
      </c>
      <c r="D166" s="176" t="s">
        <v>355</v>
      </c>
      <c r="E166" s="16"/>
      <c r="F1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6" s="31"/>
      <c r="H166" s="31"/>
      <c r="I166" s="1">
        <f>COUNTA(ProductInfo[[#This Row],[P1]:[P15]])</f>
        <v>0</v>
      </c>
      <c r="J1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s="1" customFormat="1">
      <c r="A167" s="8" t="s">
        <v>356</v>
      </c>
      <c r="B167" s="8" t="s">
        <v>356</v>
      </c>
      <c r="C167" s="1" t="str">
        <f>RIGHT(ProductInfo[[#This Row],[Drawing No]],1)</f>
        <v>0</v>
      </c>
      <c r="D167" s="176" t="s">
        <v>357</v>
      </c>
      <c r="E167" s="16"/>
      <c r="F1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7" s="31"/>
      <c r="H167" s="31"/>
      <c r="I167" s="1">
        <f>COUNTA(ProductInfo[[#This Row],[P1]:[P15]])</f>
        <v>0</v>
      </c>
      <c r="J1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s="1" customFormat="1">
      <c r="A168" s="8" t="s">
        <v>358</v>
      </c>
      <c r="B168" s="8" t="s">
        <v>358</v>
      </c>
      <c r="C168" s="1" t="str">
        <f>RIGHT(ProductInfo[[#This Row],[Drawing No]],1)</f>
        <v>0</v>
      </c>
      <c r="D168" s="176" t="s">
        <v>359</v>
      </c>
      <c r="E168" s="16"/>
      <c r="F1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" s="31"/>
      <c r="H168" s="31"/>
      <c r="I168" s="1">
        <f>COUNTA(ProductInfo[[#This Row],[P1]:[P15]])</f>
        <v>0</v>
      </c>
      <c r="J1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s="1" customFormat="1">
      <c r="A169" s="8" t="s">
        <v>360</v>
      </c>
      <c r="B169" s="8" t="s">
        <v>360</v>
      </c>
      <c r="C169" s="1" t="str">
        <f>RIGHT(ProductInfo[[#This Row],[Drawing No]],1)</f>
        <v>0</v>
      </c>
      <c r="D169" s="176" t="s">
        <v>361</v>
      </c>
      <c r="E169" s="16"/>
      <c r="F1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" s="31"/>
      <c r="H169" s="31"/>
      <c r="I169" s="1">
        <f>COUNTA(ProductInfo[[#This Row],[P1]:[P15]])</f>
        <v>0</v>
      </c>
      <c r="J1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s="1" customFormat="1">
      <c r="A170" s="8" t="s">
        <v>362</v>
      </c>
      <c r="B170" s="8" t="s">
        <v>362</v>
      </c>
      <c r="C170" s="1" t="str">
        <f>RIGHT(ProductInfo[[#This Row],[Drawing No]],1)</f>
        <v>0</v>
      </c>
      <c r="D170" s="176" t="s">
        <v>363</v>
      </c>
      <c r="E170" s="16"/>
      <c r="F1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" s="31"/>
      <c r="H170" s="31"/>
      <c r="I170" s="1">
        <f>COUNTA(ProductInfo[[#This Row],[P1]:[P15]])</f>
        <v>0</v>
      </c>
      <c r="J1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s="1" customFormat="1">
      <c r="A171" s="8" t="s">
        <v>364</v>
      </c>
      <c r="B171" s="8" t="s">
        <v>364</v>
      </c>
      <c r="C171" s="1" t="str">
        <f>RIGHT(ProductInfo[[#This Row],[Drawing No]],1)</f>
        <v>0</v>
      </c>
      <c r="D171" s="176" t="s">
        <v>365</v>
      </c>
      <c r="E171" s="16"/>
      <c r="F1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" s="31"/>
      <c r="H171" s="31"/>
      <c r="I171" s="1">
        <f>COUNTA(ProductInfo[[#This Row],[P1]:[P15]])</f>
        <v>0</v>
      </c>
      <c r="J1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s="1" customFormat="1">
      <c r="A172" s="8" t="s">
        <v>366</v>
      </c>
      <c r="B172" s="8" t="s">
        <v>366</v>
      </c>
      <c r="C172" s="1" t="str">
        <f>RIGHT(ProductInfo[[#This Row],[Drawing No]],1)</f>
        <v>0</v>
      </c>
      <c r="D172" s="176" t="s">
        <v>367</v>
      </c>
      <c r="E172" s="16"/>
      <c r="F1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" s="31"/>
      <c r="H172" s="31"/>
      <c r="I172" s="1">
        <f>COUNTA(ProductInfo[[#This Row],[P1]:[P15]])</f>
        <v>0</v>
      </c>
      <c r="J1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s="1" customFormat="1">
      <c r="A173" s="8" t="s">
        <v>368</v>
      </c>
      <c r="B173" s="8" t="s">
        <v>368</v>
      </c>
      <c r="C173" s="1" t="str">
        <f>RIGHT(ProductInfo[[#This Row],[Drawing No]],1)</f>
        <v>0</v>
      </c>
      <c r="D173" s="176" t="s">
        <v>369</v>
      </c>
      <c r="E173" s="16"/>
      <c r="F1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" s="31"/>
      <c r="H173" s="31"/>
      <c r="I173" s="1">
        <f>COUNTA(ProductInfo[[#This Row],[P1]:[P15]])</f>
        <v>0</v>
      </c>
      <c r="J1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s="1" customFormat="1">
      <c r="A174" s="8" t="s">
        <v>370</v>
      </c>
      <c r="B174" s="8" t="s">
        <v>370</v>
      </c>
      <c r="C174" s="1" t="str">
        <f>RIGHT(ProductInfo[[#This Row],[Drawing No]],1)</f>
        <v>0</v>
      </c>
      <c r="D174" s="176" t="s">
        <v>371</v>
      </c>
      <c r="E174" s="16"/>
      <c r="F1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" s="31"/>
      <c r="H174" s="31"/>
      <c r="I174" s="1">
        <f>COUNTA(ProductInfo[[#This Row],[P1]:[P15]])</f>
        <v>0</v>
      </c>
      <c r="J1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s="1" customFormat="1">
      <c r="A175" s="8" t="s">
        <v>372</v>
      </c>
      <c r="B175" s="8" t="s">
        <v>372</v>
      </c>
      <c r="C175" s="1" t="str">
        <f>RIGHT(ProductInfo[[#This Row],[Drawing No]],1)</f>
        <v>1</v>
      </c>
      <c r="D175" s="176" t="s">
        <v>373</v>
      </c>
      <c r="E175" s="16"/>
      <c r="F1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" s="31"/>
      <c r="H175" s="31"/>
      <c r="I175" s="1">
        <f>COUNTA(ProductInfo[[#This Row],[P1]:[P15]])</f>
        <v>0</v>
      </c>
      <c r="J1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s="1" customFormat="1">
      <c r="A176" s="8" t="s">
        <v>374</v>
      </c>
      <c r="B176" s="8" t="s">
        <v>374</v>
      </c>
      <c r="C176" s="1" t="str">
        <f>RIGHT(ProductInfo[[#This Row],[Drawing No]],1)</f>
        <v>0</v>
      </c>
      <c r="D176" s="176" t="s">
        <v>375</v>
      </c>
      <c r="E176" s="16"/>
      <c r="F1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" s="31"/>
      <c r="H176" s="31"/>
      <c r="I176" s="1">
        <f>COUNTA(ProductInfo[[#This Row],[P1]:[P15]])</f>
        <v>0</v>
      </c>
      <c r="J1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s="1" customFormat="1">
      <c r="A177" s="8" t="s">
        <v>376</v>
      </c>
      <c r="B177" s="8" t="s">
        <v>376</v>
      </c>
      <c r="C177" s="1" t="str">
        <f>RIGHT(ProductInfo[[#This Row],[Drawing No]],1)</f>
        <v>0</v>
      </c>
      <c r="D177" s="176" t="s">
        <v>377</v>
      </c>
      <c r="E177" s="16"/>
      <c r="F1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" s="31"/>
      <c r="H177" s="31"/>
      <c r="I177" s="1">
        <f>COUNTA(ProductInfo[[#This Row],[P1]:[P15]])</f>
        <v>0</v>
      </c>
      <c r="J1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s="1" customFormat="1">
      <c r="A178" s="8" t="s">
        <v>378</v>
      </c>
      <c r="B178" s="8" t="s">
        <v>378</v>
      </c>
      <c r="C178" s="1" t="str">
        <f>RIGHT(ProductInfo[[#This Row],[Drawing No]],1)</f>
        <v>0</v>
      </c>
      <c r="D178" s="176" t="s">
        <v>379</v>
      </c>
      <c r="E178" s="16"/>
      <c r="F1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" s="31"/>
      <c r="H178" s="31"/>
      <c r="I178" s="1">
        <f>COUNTA(ProductInfo[[#This Row],[P1]:[P15]])</f>
        <v>0</v>
      </c>
      <c r="J1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s="1" customFormat="1">
      <c r="A179" s="8" t="s">
        <v>380</v>
      </c>
      <c r="B179" s="8" t="s">
        <v>380</v>
      </c>
      <c r="C179" s="1" t="str">
        <f>RIGHT(ProductInfo[[#This Row],[Drawing No]],1)</f>
        <v>0</v>
      </c>
      <c r="D179" s="176" t="s">
        <v>381</v>
      </c>
      <c r="E179" s="16"/>
      <c r="F1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" s="31"/>
      <c r="H179" s="31"/>
      <c r="I179" s="1">
        <f>COUNTA(ProductInfo[[#This Row],[P1]:[P15]])</f>
        <v>0</v>
      </c>
      <c r="J1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s="1" customFormat="1">
      <c r="A180" s="8" t="s">
        <v>382</v>
      </c>
      <c r="B180" s="8" t="s">
        <v>382</v>
      </c>
      <c r="C180" s="1" t="str">
        <f>RIGHT(ProductInfo[[#This Row],[Drawing No]],1)</f>
        <v>0</v>
      </c>
      <c r="D180" s="176" t="s">
        <v>383</v>
      </c>
      <c r="E180" s="16"/>
      <c r="F1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" s="31"/>
      <c r="H180" s="31"/>
      <c r="I180" s="1">
        <f>COUNTA(ProductInfo[[#This Row],[P1]:[P15]])</f>
        <v>0</v>
      </c>
      <c r="J1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s="1" customFormat="1">
      <c r="A181" s="8" t="s">
        <v>384</v>
      </c>
      <c r="B181" s="8" t="s">
        <v>384</v>
      </c>
      <c r="C181" s="1" t="str">
        <f>RIGHT(ProductInfo[[#This Row],[Drawing No]],1)</f>
        <v>1</v>
      </c>
      <c r="D181" s="176" t="s">
        <v>385</v>
      </c>
      <c r="E181" s="16"/>
      <c r="F1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" s="31"/>
      <c r="H181" s="31"/>
      <c r="I181" s="1">
        <f>COUNTA(ProductInfo[[#This Row],[P1]:[P15]])</f>
        <v>0</v>
      </c>
      <c r="J1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s="1" customFormat="1">
      <c r="A182" s="8" t="s">
        <v>386</v>
      </c>
      <c r="B182" s="8" t="s">
        <v>386</v>
      </c>
      <c r="C182" s="1" t="str">
        <f>RIGHT(ProductInfo[[#This Row],[Drawing No]],1)</f>
        <v>1</v>
      </c>
      <c r="D182" s="176" t="s">
        <v>387</v>
      </c>
      <c r="E182" s="16"/>
      <c r="F1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" s="31"/>
      <c r="H182" s="31"/>
      <c r="I182" s="1">
        <f>COUNTA(ProductInfo[[#This Row],[P1]:[P15]])</f>
        <v>0</v>
      </c>
      <c r="J1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s="1" customFormat="1">
      <c r="A183" s="8" t="s">
        <v>388</v>
      </c>
      <c r="B183" s="8" t="s">
        <v>388</v>
      </c>
      <c r="C183" s="1" t="str">
        <f>RIGHT(ProductInfo[[#This Row],[Drawing No]],1)</f>
        <v>0</v>
      </c>
      <c r="D183" s="176" t="s">
        <v>389</v>
      </c>
      <c r="E183" s="16"/>
      <c r="F1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" s="31"/>
      <c r="H183" s="31"/>
      <c r="I183" s="1">
        <f>COUNTA(ProductInfo[[#This Row],[P1]:[P15]])</f>
        <v>0</v>
      </c>
      <c r="J1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s="1" customFormat="1">
      <c r="A184" s="8" t="s">
        <v>390</v>
      </c>
      <c r="B184" s="8" t="s">
        <v>390</v>
      </c>
      <c r="C184" s="1" t="str">
        <f>RIGHT(ProductInfo[[#This Row],[Drawing No]],1)</f>
        <v>1</v>
      </c>
      <c r="D184" s="178" t="s">
        <v>391</v>
      </c>
      <c r="E184" s="17"/>
      <c r="F18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" s="38"/>
      <c r="H184" s="38"/>
      <c r="I184" s="1">
        <f>COUNTA(ProductInfo[[#This Row],[P1]:[P15]])</f>
        <v>0</v>
      </c>
      <c r="J1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s="1" customFormat="1">
      <c r="A185" s="8" t="s">
        <v>392</v>
      </c>
      <c r="B185" s="8" t="s">
        <v>392</v>
      </c>
      <c r="C185" s="1" t="str">
        <f>RIGHT(ProductInfo[[#This Row],[Drawing No]],1)</f>
        <v>0</v>
      </c>
      <c r="D185" s="176" t="s">
        <v>393</v>
      </c>
      <c r="E185" s="16"/>
      <c r="F1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" s="31"/>
      <c r="H185" s="31"/>
      <c r="I185" s="1">
        <f>COUNTA(ProductInfo[[#This Row],[P1]:[P15]])</f>
        <v>0</v>
      </c>
      <c r="J1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s="1" customFormat="1">
      <c r="A186" s="8" t="s">
        <v>394</v>
      </c>
      <c r="B186" s="8" t="s">
        <v>394</v>
      </c>
      <c r="C186" s="1" t="str">
        <f>RIGHT(ProductInfo[[#This Row],[Drawing No]],1)</f>
        <v>1</v>
      </c>
      <c r="D186" s="176" t="s">
        <v>395</v>
      </c>
      <c r="E186" s="16"/>
      <c r="F1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" s="31"/>
      <c r="H186" s="31"/>
      <c r="I186" s="1">
        <f>COUNTA(ProductInfo[[#This Row],[P1]:[P15]])</f>
        <v>0</v>
      </c>
      <c r="J1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s="1" customFormat="1">
      <c r="A187" s="8" t="s">
        <v>396</v>
      </c>
      <c r="B187" s="8" t="s">
        <v>396</v>
      </c>
      <c r="C187" s="1" t="str">
        <f>RIGHT(ProductInfo[[#This Row],[Drawing No]],1)</f>
        <v>0</v>
      </c>
      <c r="D187" s="176" t="s">
        <v>397</v>
      </c>
      <c r="E187" s="16"/>
      <c r="F1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" s="31"/>
      <c r="H187" s="31"/>
      <c r="I187" s="1">
        <f>COUNTA(ProductInfo[[#This Row],[P1]:[P15]])</f>
        <v>0</v>
      </c>
      <c r="J1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s="1" customFormat="1">
      <c r="A188" s="8" t="s">
        <v>398</v>
      </c>
      <c r="B188" s="8" t="s">
        <v>398</v>
      </c>
      <c r="C188" s="1" t="str">
        <f>RIGHT(ProductInfo[[#This Row],[Drawing No]],1)</f>
        <v>0</v>
      </c>
      <c r="D188" s="176" t="s">
        <v>399</v>
      </c>
      <c r="E188" s="16"/>
      <c r="F1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" s="31"/>
      <c r="H188" s="31"/>
      <c r="I188" s="1">
        <f>COUNTA(ProductInfo[[#This Row],[P1]:[P15]])</f>
        <v>0</v>
      </c>
      <c r="J1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s="1" customFormat="1">
      <c r="A189" s="8" t="s">
        <v>400</v>
      </c>
      <c r="B189" s="8" t="s">
        <v>400</v>
      </c>
      <c r="C189" s="1" t="str">
        <f>RIGHT(ProductInfo[[#This Row],[Drawing No]],1)</f>
        <v>0</v>
      </c>
      <c r="D189" s="176" t="s">
        <v>401</v>
      </c>
      <c r="E189" s="16"/>
      <c r="F1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" s="31"/>
      <c r="H189" s="31"/>
      <c r="I189" s="1">
        <f>COUNTA(ProductInfo[[#This Row],[P1]:[P15]])</f>
        <v>0</v>
      </c>
      <c r="J1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s="1" customFormat="1">
      <c r="A190" s="8" t="s">
        <v>402</v>
      </c>
      <c r="B190" s="8" t="s">
        <v>402</v>
      </c>
      <c r="C190" s="1" t="str">
        <f>RIGHT(ProductInfo[[#This Row],[Drawing No]],1)</f>
        <v>1</v>
      </c>
      <c r="D190" s="176" t="s">
        <v>403</v>
      </c>
      <c r="E190" s="16"/>
      <c r="F1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" s="31"/>
      <c r="H190" s="31"/>
      <c r="I190" s="1">
        <f>COUNTA(ProductInfo[[#This Row],[P1]:[P15]])</f>
        <v>0</v>
      </c>
      <c r="J1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s="1" customFormat="1">
      <c r="A191" s="8" t="s">
        <v>404</v>
      </c>
      <c r="B191" s="8" t="s">
        <v>404</v>
      </c>
      <c r="C191" s="1" t="str">
        <f>RIGHT(ProductInfo[[#This Row],[Drawing No]],1)</f>
        <v>2</v>
      </c>
      <c r="D191" s="176" t="s">
        <v>405</v>
      </c>
      <c r="E191" s="16"/>
      <c r="F1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" s="31"/>
      <c r="H191" s="31"/>
      <c r="I191" s="1">
        <f>COUNTA(ProductInfo[[#This Row],[P1]:[P15]])</f>
        <v>0</v>
      </c>
      <c r="J1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s="1" customFormat="1">
      <c r="A192" s="8" t="s">
        <v>406</v>
      </c>
      <c r="B192" s="8" t="s">
        <v>406</v>
      </c>
      <c r="C192" s="1" t="str">
        <f>RIGHT(ProductInfo[[#This Row],[Drawing No]],1)</f>
        <v>3</v>
      </c>
      <c r="D192" s="176" t="s">
        <v>405</v>
      </c>
      <c r="E192" s="16"/>
      <c r="F1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2" s="31"/>
      <c r="H192" s="31"/>
      <c r="I192" s="1">
        <f>COUNTA(ProductInfo[[#This Row],[P1]:[P15]])</f>
        <v>0</v>
      </c>
      <c r="J1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s="1" customFormat="1">
      <c r="A193" s="8" t="s">
        <v>407</v>
      </c>
      <c r="B193" s="8" t="s">
        <v>407</v>
      </c>
      <c r="C193" s="1" t="str">
        <f>RIGHT(ProductInfo[[#This Row],[Drawing No]],1)</f>
        <v>4</v>
      </c>
      <c r="D193" s="176" t="s">
        <v>405</v>
      </c>
      <c r="E193" s="16"/>
      <c r="F1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" s="31"/>
      <c r="H193" s="31"/>
      <c r="I193" s="1">
        <f>COUNTA(ProductInfo[[#This Row],[P1]:[P15]])</f>
        <v>0</v>
      </c>
      <c r="J1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s="1" customFormat="1">
      <c r="A194" s="8" t="s">
        <v>408</v>
      </c>
      <c r="B194" s="8" t="s">
        <v>408</v>
      </c>
      <c r="C194" s="1" t="str">
        <f>RIGHT(ProductInfo[[#This Row],[Drawing No]],1)</f>
        <v>1</v>
      </c>
      <c r="D194" s="176" t="s">
        <v>409</v>
      </c>
      <c r="E194" s="16"/>
      <c r="F1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" s="31"/>
      <c r="H194" s="31"/>
      <c r="I194" s="1">
        <f>COUNTA(ProductInfo[[#This Row],[P1]:[P15]])</f>
        <v>0</v>
      </c>
      <c r="J1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s="1" customFormat="1">
      <c r="A195" s="8" t="s">
        <v>410</v>
      </c>
      <c r="B195" s="8" t="s">
        <v>410</v>
      </c>
      <c r="C195" s="1" t="str">
        <f>RIGHT(ProductInfo[[#This Row],[Drawing No]],1)</f>
        <v>2</v>
      </c>
      <c r="D195" s="176" t="s">
        <v>411</v>
      </c>
      <c r="E195" s="16"/>
      <c r="F1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" s="31"/>
      <c r="H195" s="31"/>
      <c r="I195" s="1">
        <f>COUNTA(ProductInfo[[#This Row],[P1]:[P15]])</f>
        <v>0</v>
      </c>
      <c r="J1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s="1" customFormat="1">
      <c r="A196" s="8" t="s">
        <v>412</v>
      </c>
      <c r="B196" s="8" t="s">
        <v>412</v>
      </c>
      <c r="C196" s="1" t="str">
        <f>RIGHT(ProductInfo[[#This Row],[Drawing No]],1)</f>
        <v>0</v>
      </c>
      <c r="D196" s="176" t="s">
        <v>413</v>
      </c>
      <c r="E196" s="16"/>
      <c r="F1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" s="31"/>
      <c r="H196" s="31"/>
      <c r="I196" s="1">
        <f>COUNTA(ProductInfo[[#This Row],[P1]:[P15]])</f>
        <v>0</v>
      </c>
      <c r="J1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s="1" customFormat="1">
      <c r="A197" s="8" t="s">
        <v>414</v>
      </c>
      <c r="B197" s="8" t="s">
        <v>414</v>
      </c>
      <c r="C197" s="1" t="str">
        <f>RIGHT(ProductInfo[[#This Row],[Drawing No]],1)</f>
        <v>0</v>
      </c>
      <c r="D197" s="176" t="s">
        <v>415</v>
      </c>
      <c r="E197" s="16"/>
      <c r="F1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7" s="31"/>
      <c r="H197" s="31"/>
      <c r="I197" s="1">
        <f>COUNTA(ProductInfo[[#This Row],[P1]:[P15]])</f>
        <v>0</v>
      </c>
      <c r="J1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s="1" customFormat="1">
      <c r="A198" s="8" t="s">
        <v>416</v>
      </c>
      <c r="B198" s="8" t="s">
        <v>416</v>
      </c>
      <c r="C198" s="1" t="str">
        <f>RIGHT(ProductInfo[[#This Row],[Drawing No]],1)</f>
        <v>0</v>
      </c>
      <c r="D198" s="176" t="s">
        <v>417</v>
      </c>
      <c r="E198" s="16"/>
      <c r="F1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" s="31"/>
      <c r="H198" s="31"/>
      <c r="I198" s="1">
        <f>COUNTA(ProductInfo[[#This Row],[P1]:[P15]])</f>
        <v>0</v>
      </c>
      <c r="J1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s="1" customFormat="1">
      <c r="A199" s="8" t="s">
        <v>418</v>
      </c>
      <c r="B199" s="8" t="s">
        <v>418</v>
      </c>
      <c r="C199" s="1" t="str">
        <f>RIGHT(ProductInfo[[#This Row],[Drawing No]],1)</f>
        <v>0</v>
      </c>
      <c r="D199" s="176" t="s">
        <v>419</v>
      </c>
      <c r="E199" s="16"/>
      <c r="F1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" s="31"/>
      <c r="H199" s="31"/>
      <c r="I199" s="1">
        <f>COUNTA(ProductInfo[[#This Row],[P1]:[P15]])</f>
        <v>0</v>
      </c>
      <c r="J1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s="1" customFormat="1">
      <c r="A200" s="8" t="s">
        <v>420</v>
      </c>
      <c r="B200" s="8" t="s">
        <v>420</v>
      </c>
      <c r="C200" s="1" t="str">
        <f>RIGHT(ProductInfo[[#This Row],[Drawing No]],1)</f>
        <v>0</v>
      </c>
      <c r="D200" s="176" t="s">
        <v>421</v>
      </c>
      <c r="E200" s="16"/>
      <c r="F2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" s="31"/>
      <c r="H200" s="31"/>
      <c r="I200" s="1">
        <f>COUNTA(ProductInfo[[#This Row],[P1]:[P15]])</f>
        <v>0</v>
      </c>
      <c r="J2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s="1" customFormat="1">
      <c r="A201" s="8" t="s">
        <v>422</v>
      </c>
      <c r="B201" s="8" t="s">
        <v>422</v>
      </c>
      <c r="C201" s="1" t="str">
        <f>RIGHT(ProductInfo[[#This Row],[Drawing No]],1)</f>
        <v>0</v>
      </c>
      <c r="D201" s="176" t="s">
        <v>423</v>
      </c>
      <c r="E201" s="16"/>
      <c r="F2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" s="31"/>
      <c r="H201" s="31"/>
      <c r="I201" s="1">
        <f>COUNTA(ProductInfo[[#This Row],[P1]:[P15]])</f>
        <v>0</v>
      </c>
      <c r="J2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s="1" customFormat="1">
      <c r="A202" s="8" t="s">
        <v>424</v>
      </c>
      <c r="B202" s="8" t="s">
        <v>424</v>
      </c>
      <c r="C202" s="1" t="str">
        <f>RIGHT(ProductInfo[[#This Row],[Drawing No]],1)</f>
        <v>0</v>
      </c>
      <c r="D202" s="176" t="s">
        <v>425</v>
      </c>
      <c r="E202" s="16"/>
      <c r="F2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2" s="31"/>
      <c r="H202" s="31"/>
      <c r="I202" s="1">
        <f>COUNTA(ProductInfo[[#This Row],[P1]:[P15]])</f>
        <v>0</v>
      </c>
      <c r="J2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s="1" customFormat="1">
      <c r="A203" s="8" t="s">
        <v>426</v>
      </c>
      <c r="B203" s="8" t="s">
        <v>426</v>
      </c>
      <c r="C203" s="1" t="str">
        <f>RIGHT(ProductInfo[[#This Row],[Drawing No]],1)</f>
        <v>0</v>
      </c>
      <c r="D203" s="176" t="s">
        <v>427</v>
      </c>
      <c r="E203" s="16"/>
      <c r="F2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3" s="31"/>
      <c r="H203" s="31"/>
      <c r="I203" s="1">
        <f>COUNTA(ProductInfo[[#This Row],[P1]:[P15]])</f>
        <v>0</v>
      </c>
      <c r="J2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s="1" customFormat="1">
      <c r="A204" s="8" t="s">
        <v>428</v>
      </c>
      <c r="B204" s="8" t="s">
        <v>428</v>
      </c>
      <c r="C204" s="1" t="str">
        <f>RIGHT(ProductInfo[[#This Row],[Drawing No]],1)</f>
        <v>2</v>
      </c>
      <c r="D204" s="176" t="s">
        <v>429</v>
      </c>
      <c r="E204" s="16"/>
      <c r="F2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" s="31"/>
      <c r="H204" s="31"/>
      <c r="I204" s="1">
        <f>COUNTA(ProductInfo[[#This Row],[P1]:[P15]])</f>
        <v>0</v>
      </c>
      <c r="J2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s="1" customFormat="1">
      <c r="A205" s="8" t="s">
        <v>430</v>
      </c>
      <c r="B205" s="8" t="s">
        <v>430</v>
      </c>
      <c r="C205" s="1" t="str">
        <f>RIGHT(ProductInfo[[#This Row],[Drawing No]],1)</f>
        <v>1</v>
      </c>
      <c r="D205" s="176" t="s">
        <v>431</v>
      </c>
      <c r="E205" s="16"/>
      <c r="F2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5" s="31"/>
      <c r="H205" s="31"/>
      <c r="I205" s="1">
        <f>COUNTA(ProductInfo[[#This Row],[P1]:[P15]])</f>
        <v>0</v>
      </c>
      <c r="J2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s="1" customFormat="1">
      <c r="A206" s="8" t="s">
        <v>432</v>
      </c>
      <c r="B206" s="8" t="s">
        <v>432</v>
      </c>
      <c r="C206" s="1" t="str">
        <f>RIGHT(ProductInfo[[#This Row],[Drawing No]],1)</f>
        <v>2</v>
      </c>
      <c r="D206" s="176" t="s">
        <v>431</v>
      </c>
      <c r="E206" s="16"/>
      <c r="F2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6" s="31"/>
      <c r="H206" s="31"/>
      <c r="I206" s="1">
        <f>COUNTA(ProductInfo[[#This Row],[P1]:[P15]])</f>
        <v>0</v>
      </c>
      <c r="J2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s="1" customFormat="1">
      <c r="A207" s="8" t="s">
        <v>433</v>
      </c>
      <c r="B207" s="8" t="s">
        <v>433</v>
      </c>
      <c r="C207" s="1" t="str">
        <f>RIGHT(ProductInfo[[#This Row],[Drawing No]],1)</f>
        <v>0</v>
      </c>
      <c r="D207" s="176" t="s">
        <v>434</v>
      </c>
      <c r="E207" s="16"/>
      <c r="F2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7" s="31"/>
      <c r="H207" s="31"/>
      <c r="I207" s="1">
        <f>COUNTA(ProductInfo[[#This Row],[P1]:[P15]])</f>
        <v>0</v>
      </c>
      <c r="J2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s="1" customFormat="1">
      <c r="A208" s="8" t="s">
        <v>435</v>
      </c>
      <c r="B208" s="8" t="s">
        <v>435</v>
      </c>
      <c r="C208" s="1" t="str">
        <f>RIGHT(ProductInfo[[#This Row],[Drawing No]],1)</f>
        <v>1</v>
      </c>
      <c r="D208" s="176" t="s">
        <v>436</v>
      </c>
      <c r="E208" s="16"/>
      <c r="F2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8" s="31"/>
      <c r="H208" s="31"/>
      <c r="I208" s="1">
        <f>COUNTA(ProductInfo[[#This Row],[P1]:[P15]])</f>
        <v>0</v>
      </c>
      <c r="J2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s="1" customFormat="1">
      <c r="A209" s="8" t="s">
        <v>437</v>
      </c>
      <c r="B209" s="8" t="s">
        <v>437</v>
      </c>
      <c r="C209" s="1" t="str">
        <f>RIGHT(ProductInfo[[#This Row],[Drawing No]],1)</f>
        <v>1</v>
      </c>
      <c r="D209" s="176" t="s">
        <v>438</v>
      </c>
      <c r="E209" s="16"/>
      <c r="F2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" s="31"/>
      <c r="H209" s="31"/>
      <c r="I209" s="1">
        <f>COUNTA(ProductInfo[[#This Row],[P1]:[P15]])</f>
        <v>0</v>
      </c>
      <c r="J2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s="1" customFormat="1">
      <c r="A210" s="8" t="s">
        <v>439</v>
      </c>
      <c r="B210" s="8" t="s">
        <v>439</v>
      </c>
      <c r="C210" s="1" t="str">
        <f>RIGHT(ProductInfo[[#This Row],[Drawing No]],1)</f>
        <v>1</v>
      </c>
      <c r="D210" s="176" t="s">
        <v>440</v>
      </c>
      <c r="E210" s="16"/>
      <c r="F2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" s="31"/>
      <c r="H210" s="31"/>
      <c r="I210" s="1">
        <f>COUNTA(ProductInfo[[#This Row],[P1]:[P15]])</f>
        <v>0</v>
      </c>
      <c r="J2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s="1" customFormat="1">
      <c r="A211" s="8" t="s">
        <v>441</v>
      </c>
      <c r="B211" s="8" t="s">
        <v>441</v>
      </c>
      <c r="C211" s="1" t="str">
        <f>RIGHT(ProductInfo[[#This Row],[Drawing No]],1)</f>
        <v>1</v>
      </c>
      <c r="D211" s="176" t="s">
        <v>442</v>
      </c>
      <c r="E211" s="16"/>
      <c r="F2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" s="31"/>
      <c r="H211" s="31"/>
      <c r="I211" s="1">
        <f>COUNTA(ProductInfo[[#This Row],[P1]:[P15]])</f>
        <v>0</v>
      </c>
      <c r="J2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s="1" customFormat="1">
      <c r="A212" s="8" t="s">
        <v>443</v>
      </c>
      <c r="B212" s="8" t="s">
        <v>443</v>
      </c>
      <c r="C212" s="1" t="str">
        <f>RIGHT(ProductInfo[[#This Row],[Drawing No]],1)</f>
        <v>0</v>
      </c>
      <c r="D212" s="176" t="s">
        <v>444</v>
      </c>
      <c r="E212" s="16"/>
      <c r="F2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" s="31"/>
      <c r="H212" s="31"/>
      <c r="I212" s="1">
        <f>COUNTA(ProductInfo[[#This Row],[P1]:[P15]])</f>
        <v>0</v>
      </c>
      <c r="J2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s="1" customFormat="1">
      <c r="A213" s="8" t="s">
        <v>445</v>
      </c>
      <c r="B213" s="8" t="s">
        <v>445</v>
      </c>
      <c r="C213" s="1" t="str">
        <f>RIGHT(ProductInfo[[#This Row],[Drawing No]],1)</f>
        <v>1</v>
      </c>
      <c r="D213" s="176" t="s">
        <v>446</v>
      </c>
      <c r="E213" s="16"/>
      <c r="F2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" s="31"/>
      <c r="H213" s="31"/>
      <c r="I213" s="1">
        <f>COUNTA(ProductInfo[[#This Row],[P1]:[P15]])</f>
        <v>0</v>
      </c>
      <c r="J2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s="1" customFormat="1">
      <c r="A214" s="8" t="s">
        <v>447</v>
      </c>
      <c r="B214" s="8" t="s">
        <v>447</v>
      </c>
      <c r="C214" s="1" t="str">
        <f>RIGHT(ProductInfo[[#This Row],[Drawing No]],1)</f>
        <v>0</v>
      </c>
      <c r="D214" s="176" t="s">
        <v>448</v>
      </c>
      <c r="E214" s="16"/>
      <c r="F2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" s="31"/>
      <c r="H214" s="31"/>
      <c r="I214" s="1">
        <f>COUNTA(ProductInfo[[#This Row],[P1]:[P15]])</f>
        <v>0</v>
      </c>
      <c r="J2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s="1" customFormat="1">
      <c r="A215" s="8" t="s">
        <v>449</v>
      </c>
      <c r="B215" s="8" t="s">
        <v>449</v>
      </c>
      <c r="C215" s="1" t="str">
        <f>RIGHT(ProductInfo[[#This Row],[Drawing No]],1)</f>
        <v>0</v>
      </c>
      <c r="D215" s="176" t="s">
        <v>450</v>
      </c>
      <c r="E215" s="16"/>
      <c r="F2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5" s="31"/>
      <c r="H215" s="31"/>
      <c r="I215" s="1">
        <f>COUNTA(ProductInfo[[#This Row],[P1]:[P15]])</f>
        <v>0</v>
      </c>
      <c r="J2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s="1" customFormat="1">
      <c r="A216" s="8" t="s">
        <v>451</v>
      </c>
      <c r="B216" s="8" t="s">
        <v>451</v>
      </c>
      <c r="C216" s="1" t="str">
        <f>RIGHT(ProductInfo[[#This Row],[Drawing No]],1)</f>
        <v>0</v>
      </c>
      <c r="D216" s="176" t="s">
        <v>452</v>
      </c>
      <c r="E216" s="16"/>
      <c r="F2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6" s="31"/>
      <c r="H216" s="31"/>
      <c r="I216" s="1">
        <f>COUNTA(ProductInfo[[#This Row],[P1]:[P15]])</f>
        <v>0</v>
      </c>
      <c r="J2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s="1" customFormat="1">
      <c r="A217" s="8" t="s">
        <v>453</v>
      </c>
      <c r="B217" s="8" t="s">
        <v>453</v>
      </c>
      <c r="C217" s="1" t="str">
        <f>RIGHT(ProductInfo[[#This Row],[Drawing No]],1)</f>
        <v>0</v>
      </c>
      <c r="D217" s="176" t="s">
        <v>454</v>
      </c>
      <c r="E217" s="16"/>
      <c r="F2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7" s="31"/>
      <c r="H217" s="31"/>
      <c r="I217" s="1">
        <f>COUNTA(ProductInfo[[#This Row],[P1]:[P15]])</f>
        <v>0</v>
      </c>
      <c r="J2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s="1" customFormat="1" ht="27" customHeight="1">
      <c r="A218" s="8" t="s">
        <v>455</v>
      </c>
      <c r="B218" s="8" t="s">
        <v>455</v>
      </c>
      <c r="C218" s="1" t="str">
        <f>RIGHT(ProductInfo[[#This Row],[Drawing No]],1)</f>
        <v>1</v>
      </c>
      <c r="D218" s="176" t="s">
        <v>454</v>
      </c>
      <c r="E218" s="16"/>
      <c r="F2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" s="31"/>
      <c r="H218" s="31"/>
      <c r="I218" s="1">
        <f>COUNTA(ProductInfo[[#This Row],[P1]:[P15]])</f>
        <v>0</v>
      </c>
      <c r="J2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s="1" customFormat="1" ht="25.5" customHeight="1">
      <c r="A219" s="8" t="s">
        <v>456</v>
      </c>
      <c r="B219" s="8" t="s">
        <v>3586</v>
      </c>
      <c r="C219" s="1" t="str">
        <f>RIGHT(ProductInfo[[#This Row],[Drawing No]],1)</f>
        <v>0</v>
      </c>
      <c r="D219" s="176" t="s">
        <v>457</v>
      </c>
      <c r="E219" s="16" t="s">
        <v>3457</v>
      </c>
      <c r="F219" s="16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19" s="31"/>
      <c r="H219" s="31"/>
      <c r="I219" s="1">
        <f>COUNTA(ProductInfo[[#This Row],[P1]:[P15]])</f>
        <v>3</v>
      </c>
      <c r="J2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" s="7" t="s">
        <v>12</v>
      </c>
      <c r="M219" s="7" t="s">
        <v>13</v>
      </c>
      <c r="N219" s="7" t="s">
        <v>3105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s="1" customFormat="1" ht="15" customHeight="1">
      <c r="A220" s="8" t="s">
        <v>458</v>
      </c>
      <c r="B220" s="8" t="s">
        <v>3587</v>
      </c>
      <c r="C220" s="1" t="str">
        <f>RIGHT(ProductInfo[[#This Row],[Drawing No]],1)</f>
        <v>0</v>
      </c>
      <c r="D220" s="176" t="s">
        <v>459</v>
      </c>
      <c r="E220" s="16" t="s">
        <v>3457</v>
      </c>
      <c r="F220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20" s="31"/>
      <c r="H220" s="31"/>
      <c r="I220" s="1">
        <f>COUNTA(ProductInfo[[#This Row],[P1]:[P15]])</f>
        <v>2</v>
      </c>
      <c r="J2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" s="7" t="s">
        <v>12</v>
      </c>
      <c r="M220" s="7" t="s">
        <v>13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s="1" customFormat="1">
      <c r="A221" s="8" t="s">
        <v>5611</v>
      </c>
      <c r="B221" s="8" t="s">
        <v>5610</v>
      </c>
      <c r="C221" s="2" t="str">
        <f>RIGHT(ProductInfo[[#This Row],[Drawing No]],1)</f>
        <v>0</v>
      </c>
      <c r="D221" s="176" t="s">
        <v>5612</v>
      </c>
      <c r="E221" s="16"/>
      <c r="F2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" s="31"/>
      <c r="H221" s="31"/>
      <c r="I221" s="1">
        <f>COUNTA(ProductInfo[[#This Row],[P1]:[P15]])</f>
        <v>0</v>
      </c>
      <c r="J2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" s="7"/>
      <c r="M221" s="7"/>
      <c r="N221" s="4"/>
      <c r="O221" s="4"/>
      <c r="P221" s="4"/>
      <c r="Q221" s="4"/>
      <c r="R221" s="7"/>
      <c r="S221" s="4"/>
      <c r="T221" s="4"/>
      <c r="U221" s="4"/>
      <c r="V221" s="4"/>
      <c r="W221" s="4"/>
      <c r="X221" s="4"/>
      <c r="Y221" s="4"/>
      <c r="Z221" s="4"/>
    </row>
    <row r="222" spans="1:26" s="1" customFormat="1">
      <c r="A222" s="8" t="s">
        <v>5642</v>
      </c>
      <c r="B222" s="8" t="s">
        <v>5641</v>
      </c>
      <c r="C222" s="2" t="str">
        <f>RIGHT(ProductInfo[[#This Row],[Drawing No]],1)</f>
        <v>0</v>
      </c>
      <c r="D222" s="176" t="s">
        <v>5612</v>
      </c>
      <c r="E222" s="16"/>
      <c r="F2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" s="31"/>
      <c r="H222" s="31"/>
      <c r="I222" s="1">
        <f>COUNTA(ProductInfo[[#This Row],[P1]:[P15]])</f>
        <v>5</v>
      </c>
      <c r="J2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5</v>
      </c>
      <c r="K2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" s="7" t="s">
        <v>12</v>
      </c>
      <c r="M222" s="7" t="s">
        <v>13</v>
      </c>
      <c r="N222" s="7" t="s">
        <v>14</v>
      </c>
      <c r="O222" s="4" t="s">
        <v>3105</v>
      </c>
      <c r="P222" s="4" t="s">
        <v>4609</v>
      </c>
      <c r="Q222" s="4"/>
      <c r="R222" s="7"/>
      <c r="S222" s="4"/>
      <c r="T222" s="4"/>
      <c r="U222" s="4"/>
      <c r="V222" s="4"/>
      <c r="W222" s="4"/>
      <c r="X222" s="4"/>
      <c r="Y222" s="4"/>
      <c r="Z222" s="4"/>
    </row>
    <row r="223" spans="1:26" s="1" customFormat="1">
      <c r="A223" s="8" t="s">
        <v>5523</v>
      </c>
      <c r="B223" s="8" t="s">
        <v>5522</v>
      </c>
      <c r="C223" s="2" t="str">
        <f>RIGHT(ProductInfo[[#This Row],[Drawing No]],1)</f>
        <v>0</v>
      </c>
      <c r="D223" s="176" t="s">
        <v>5524</v>
      </c>
      <c r="E223" s="16" t="s">
        <v>4607</v>
      </c>
      <c r="F223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23" s="59">
        <v>455</v>
      </c>
      <c r="H223" s="59">
        <v>20</v>
      </c>
      <c r="I223" s="1">
        <f>COUNTA(ProductInfo[[#This Row],[P1]:[P15]])</f>
        <v>4</v>
      </c>
      <c r="J2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" s="4" t="s">
        <v>13</v>
      </c>
      <c r="M223" s="4" t="s">
        <v>14</v>
      </c>
      <c r="N223" s="4" t="s">
        <v>3105</v>
      </c>
      <c r="O223" s="4" t="s">
        <v>4609</v>
      </c>
      <c r="P223" s="7"/>
      <c r="Q223" s="7"/>
      <c r="R223" s="7"/>
      <c r="S223" s="4"/>
      <c r="T223" s="4"/>
      <c r="U223" s="4"/>
      <c r="V223" s="4"/>
      <c r="W223" s="4"/>
      <c r="X223" s="4"/>
      <c r="Y223" s="4"/>
      <c r="Z223" s="4"/>
    </row>
    <row r="224" spans="1:26" s="1" customFormat="1">
      <c r="A224" s="8" t="s">
        <v>5644</v>
      </c>
      <c r="B224" s="8" t="s">
        <v>5643</v>
      </c>
      <c r="C224" s="2" t="str">
        <f>RIGHT(ProductInfo[[#This Row],[Drawing No]],1)</f>
        <v>0</v>
      </c>
      <c r="D224" s="176" t="s">
        <v>5524</v>
      </c>
      <c r="E224" s="16" t="s">
        <v>4607</v>
      </c>
      <c r="F224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24" s="59">
        <v>455</v>
      </c>
      <c r="H224" s="59">
        <v>20</v>
      </c>
      <c r="I224" s="1">
        <f>COUNTA(ProductInfo[[#This Row],[P1]:[P15]])</f>
        <v>4</v>
      </c>
      <c r="J2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" s="4" t="s">
        <v>13</v>
      </c>
      <c r="M224" s="4" t="s">
        <v>14</v>
      </c>
      <c r="N224" s="4" t="s">
        <v>3105</v>
      </c>
      <c r="O224" s="4" t="s">
        <v>4609</v>
      </c>
      <c r="P224" s="7"/>
      <c r="Q224" s="7"/>
      <c r="R224" s="7"/>
      <c r="S224" s="4"/>
      <c r="T224" s="4"/>
      <c r="U224" s="4"/>
      <c r="V224" s="4"/>
      <c r="W224" s="4"/>
      <c r="X224" s="4"/>
      <c r="Y224" s="4"/>
      <c r="Z224" s="4"/>
    </row>
    <row r="225" spans="1:26" s="1" customFormat="1">
      <c r="A225" s="8" t="s">
        <v>4370</v>
      </c>
      <c r="B225" s="8" t="s">
        <v>4369</v>
      </c>
      <c r="C225" s="2" t="str">
        <f>RIGHT(ProductInfo[[#This Row],[Drawing No]],1)</f>
        <v>0</v>
      </c>
      <c r="D225" s="176" t="s">
        <v>4368</v>
      </c>
      <c r="E225" s="16" t="s">
        <v>4607</v>
      </c>
      <c r="F225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25" s="59">
        <v>465</v>
      </c>
      <c r="H225" s="59">
        <v>15</v>
      </c>
      <c r="I225" s="1">
        <f>COUNTA(ProductInfo[[#This Row],[P1]:[P15]])</f>
        <v>6</v>
      </c>
      <c r="J2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6</v>
      </c>
      <c r="K2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" s="4" t="s">
        <v>12</v>
      </c>
      <c r="M225" s="4" t="s">
        <v>13</v>
      </c>
      <c r="N225" s="4" t="s">
        <v>3105</v>
      </c>
      <c r="O225" s="4" t="s">
        <v>4609</v>
      </c>
      <c r="P225" s="4" t="s">
        <v>4610</v>
      </c>
      <c r="Q225" s="4" t="s">
        <v>4611</v>
      </c>
      <c r="R225" s="7"/>
      <c r="S225" s="4"/>
      <c r="T225" s="4"/>
      <c r="U225" s="4"/>
      <c r="V225" s="4"/>
      <c r="W225" s="4"/>
      <c r="X225" s="4"/>
      <c r="Y225" s="4"/>
      <c r="Z225" s="4"/>
    </row>
    <row r="226" spans="1:26" s="1" customFormat="1">
      <c r="A226" s="8" t="s">
        <v>4593</v>
      </c>
      <c r="B226" s="8" t="s">
        <v>4592</v>
      </c>
      <c r="C226" s="2" t="str">
        <f>RIGHT(ProductInfo[[#This Row],[Drawing No]],1)</f>
        <v>0</v>
      </c>
      <c r="D226" s="176" t="s">
        <v>4594</v>
      </c>
      <c r="E226" s="16" t="s">
        <v>4607</v>
      </c>
      <c r="F226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26" s="31" t="s">
        <v>4645</v>
      </c>
      <c r="H226" s="31" t="s">
        <v>4646</v>
      </c>
      <c r="I226" s="1">
        <f>COUNTA(ProductInfo[[#This Row],[P1]:[P15]])</f>
        <v>2</v>
      </c>
      <c r="J2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" s="4" t="s">
        <v>13</v>
      </c>
      <c r="M226" s="4"/>
      <c r="N226" s="4"/>
      <c r="O226" s="4"/>
      <c r="P226" s="4" t="s">
        <v>14</v>
      </c>
      <c r="Q226" s="4"/>
      <c r="R226" s="7"/>
      <c r="S226" s="4"/>
      <c r="T226" s="4"/>
      <c r="U226" s="4"/>
      <c r="V226" s="4"/>
      <c r="W226" s="4"/>
      <c r="X226" s="4"/>
      <c r="Y226" s="4"/>
      <c r="Z226" s="4"/>
    </row>
    <row r="227" spans="1:26" s="1" customFormat="1">
      <c r="A227" s="8" t="s">
        <v>4814</v>
      </c>
      <c r="B227" s="8" t="s">
        <v>4813</v>
      </c>
      <c r="C227" s="2" t="str">
        <f>RIGHT(ProductInfo[[#This Row],[Drawing No]],1)</f>
        <v>0</v>
      </c>
      <c r="D227" s="176" t="s">
        <v>4815</v>
      </c>
      <c r="E227" s="16"/>
      <c r="F2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7" s="31"/>
      <c r="H227" s="31"/>
      <c r="I227" s="1">
        <f>COUNTA(ProductInfo[[#This Row],[P1]:[P15]])</f>
        <v>0</v>
      </c>
      <c r="J2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7" s="4"/>
      <c r="M227" s="4"/>
      <c r="N227" s="4"/>
      <c r="O227" s="4"/>
      <c r="P227" s="4"/>
      <c r="Q227" s="4"/>
      <c r="R227" s="7"/>
      <c r="S227" s="4"/>
      <c r="T227" s="4"/>
      <c r="U227" s="4"/>
      <c r="V227" s="4"/>
      <c r="W227" s="4"/>
      <c r="X227" s="4"/>
      <c r="Y227" s="4"/>
      <c r="Z227" s="4"/>
    </row>
    <row r="228" spans="1:26" s="1" customFormat="1">
      <c r="A228" s="8" t="s">
        <v>4874</v>
      </c>
      <c r="B228" s="8" t="s">
        <v>4873</v>
      </c>
      <c r="C228" s="2" t="str">
        <f>RIGHT(ProductInfo[[#This Row],[Drawing No]],1)</f>
        <v>0</v>
      </c>
      <c r="D228" s="176" t="s">
        <v>4815</v>
      </c>
      <c r="E228" s="16"/>
      <c r="F2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" s="31"/>
      <c r="H228" s="31"/>
      <c r="I228" s="1">
        <f>COUNTA(ProductInfo[[#This Row],[P1]:[P15]])</f>
        <v>0</v>
      </c>
      <c r="J2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" s="7"/>
      <c r="M228" s="4"/>
      <c r="N228" s="4"/>
      <c r="O228" s="4"/>
      <c r="P228" s="7"/>
      <c r="Q228" s="7"/>
      <c r="R228" s="7"/>
      <c r="S228" s="7"/>
      <c r="T228" s="4"/>
      <c r="U228" s="4"/>
      <c r="V228" s="4"/>
      <c r="W228" s="4"/>
      <c r="X228" s="4"/>
      <c r="Y228" s="4"/>
      <c r="Z228" s="4"/>
    </row>
    <row r="229" spans="1:26" s="1" customFormat="1">
      <c r="A229" s="8" t="s">
        <v>5510</v>
      </c>
      <c r="B229" s="8" t="s">
        <v>5509</v>
      </c>
      <c r="C229" s="2" t="str">
        <f>RIGHT(ProductInfo[[#This Row],[Drawing No]],1)</f>
        <v>0</v>
      </c>
      <c r="D229" s="176" t="s">
        <v>5035</v>
      </c>
      <c r="E229" s="16" t="s">
        <v>3457</v>
      </c>
      <c r="F229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29" s="59">
        <v>542</v>
      </c>
      <c r="H229" s="59">
        <v>20</v>
      </c>
      <c r="I229" s="1">
        <f>COUNTA(ProductInfo[[#This Row],[P1]:[P15]])</f>
        <v>5</v>
      </c>
      <c r="J2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5</v>
      </c>
      <c r="K2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" s="7" t="s">
        <v>6541</v>
      </c>
      <c r="M229" s="4" t="s">
        <v>13</v>
      </c>
      <c r="N229" s="4" t="s">
        <v>14</v>
      </c>
      <c r="O229" s="4" t="s">
        <v>3105</v>
      </c>
      <c r="P229" s="4" t="s">
        <v>4609</v>
      </c>
      <c r="Q229" s="7"/>
      <c r="R229" s="7"/>
      <c r="S229" s="4"/>
      <c r="T229" s="4"/>
      <c r="U229" s="4"/>
      <c r="V229" s="4"/>
      <c r="W229" s="4"/>
      <c r="X229" s="4"/>
      <c r="Y229" s="4"/>
      <c r="Z229" s="4"/>
    </row>
    <row r="230" spans="1:26" s="1" customFormat="1" ht="28.8">
      <c r="A230" s="8" t="s">
        <v>460</v>
      </c>
      <c r="B230" s="8" t="s">
        <v>4039</v>
      </c>
      <c r="C230" s="1" t="str">
        <f>RIGHT(ProductInfo[[#This Row],[Drawing No]],1)</f>
        <v>0</v>
      </c>
      <c r="D230" s="179" t="s">
        <v>2334</v>
      </c>
      <c r="E230" s="18" t="s">
        <v>3469</v>
      </c>
      <c r="F230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0" s="32" t="s">
        <v>6211</v>
      </c>
      <c r="H230" s="3">
        <v>100</v>
      </c>
      <c r="I230" s="1">
        <f>COUNTA(ProductInfo[[#This Row],[P1]:[P15]])</f>
        <v>2</v>
      </c>
      <c r="J2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" s="7" t="s">
        <v>12</v>
      </c>
      <c r="M230" s="7" t="s">
        <v>13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s="1" customFormat="1" ht="28.8">
      <c r="A231" s="8" t="s">
        <v>461</v>
      </c>
      <c r="B231" s="8" t="s">
        <v>4039</v>
      </c>
      <c r="C231" s="1" t="str">
        <f>RIGHT(ProductInfo[[#This Row],[Drawing No]],1)</f>
        <v>0</v>
      </c>
      <c r="D231" s="179" t="s">
        <v>2335</v>
      </c>
      <c r="E231" s="18" t="s">
        <v>3469</v>
      </c>
      <c r="F231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1" s="3">
        <v>127</v>
      </c>
      <c r="H231" s="3">
        <v>100</v>
      </c>
      <c r="I231" s="1">
        <f>COUNTA(ProductInfo[[#This Row],[P1]:[P15]])</f>
        <v>2</v>
      </c>
      <c r="J2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" s="7" t="s">
        <v>12</v>
      </c>
      <c r="M231" s="7" t="s">
        <v>13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s="1" customFormat="1" ht="28.8">
      <c r="A232" s="8" t="s">
        <v>462</v>
      </c>
      <c r="B232" s="8" t="s">
        <v>4039</v>
      </c>
      <c r="C232" s="1" t="str">
        <f>RIGHT(ProductInfo[[#This Row],[Drawing No]],1)</f>
        <v>0</v>
      </c>
      <c r="D232" s="179" t="s">
        <v>2336</v>
      </c>
      <c r="E232" s="18" t="s">
        <v>3469</v>
      </c>
      <c r="F232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2" s="3">
        <v>132</v>
      </c>
      <c r="H232" s="3">
        <v>100</v>
      </c>
      <c r="I232" s="1">
        <f>COUNTA(ProductInfo[[#This Row],[P1]:[P15]])</f>
        <v>2</v>
      </c>
      <c r="J2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" s="7" t="s">
        <v>12</v>
      </c>
      <c r="M232" s="7" t="s">
        <v>13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s="1" customFormat="1" ht="28.8">
      <c r="A233" s="8" t="s">
        <v>463</v>
      </c>
      <c r="B233" s="8" t="s">
        <v>4039</v>
      </c>
      <c r="C233" s="1" t="str">
        <f>RIGHT(ProductInfo[[#This Row],[Drawing No]],1)</f>
        <v>0</v>
      </c>
      <c r="D233" s="179" t="s">
        <v>2337</v>
      </c>
      <c r="E233" s="18" t="s">
        <v>3469</v>
      </c>
      <c r="F233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3" s="32" t="s">
        <v>6199</v>
      </c>
      <c r="H233" s="3">
        <v>100</v>
      </c>
      <c r="I233" s="1">
        <f>COUNTA(ProductInfo[[#This Row],[P1]:[P15]])</f>
        <v>2</v>
      </c>
      <c r="J2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3" s="7" t="s">
        <v>12</v>
      </c>
      <c r="M233" s="7" t="s">
        <v>13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s="1" customFormat="1" ht="28.8">
      <c r="A234" s="8" t="s">
        <v>464</v>
      </c>
      <c r="B234" s="8" t="s">
        <v>4039</v>
      </c>
      <c r="C234" s="1" t="str">
        <f>RIGHT(ProductInfo[[#This Row],[Drawing No]],1)</f>
        <v>0</v>
      </c>
      <c r="D234" s="179" t="s">
        <v>2338</v>
      </c>
      <c r="E234" s="18" t="s">
        <v>3469</v>
      </c>
      <c r="F234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4" s="3">
        <v>142</v>
      </c>
      <c r="H234" s="3">
        <v>100</v>
      </c>
      <c r="I234" s="1">
        <f>COUNTA(ProductInfo[[#This Row],[P1]:[P15]])</f>
        <v>2</v>
      </c>
      <c r="J2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" s="7" t="s">
        <v>12</v>
      </c>
      <c r="M234" s="7" t="s">
        <v>13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s="1" customFormat="1" ht="28.8">
      <c r="A235" s="8" t="s">
        <v>465</v>
      </c>
      <c r="B235" s="8" t="s">
        <v>4039</v>
      </c>
      <c r="C235" s="1" t="str">
        <f>RIGHT(ProductInfo[[#This Row],[Drawing No]],1)</f>
        <v>0</v>
      </c>
      <c r="D235" s="179" t="s">
        <v>2339</v>
      </c>
      <c r="E235" s="18" t="s">
        <v>3469</v>
      </c>
      <c r="F235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5" s="32" t="s">
        <v>6212</v>
      </c>
      <c r="H235" s="3">
        <v>100</v>
      </c>
      <c r="I235" s="1">
        <f>COUNTA(ProductInfo[[#This Row],[P1]:[P15]])</f>
        <v>2</v>
      </c>
      <c r="J2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5" s="7" t="s">
        <v>12</v>
      </c>
      <c r="M235" s="7" t="s">
        <v>13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s="1" customFormat="1" ht="28.8">
      <c r="A236" s="8" t="s">
        <v>466</v>
      </c>
      <c r="B236" s="8" t="s">
        <v>4039</v>
      </c>
      <c r="C236" s="1" t="str">
        <f>RIGHT(ProductInfo[[#This Row],[Drawing No]],1)</f>
        <v>0</v>
      </c>
      <c r="D236" s="179" t="s">
        <v>2340</v>
      </c>
      <c r="E236" s="18" t="s">
        <v>3469</v>
      </c>
      <c r="F236" s="26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6" s="32" t="s">
        <v>6213</v>
      </c>
      <c r="H236" s="3">
        <v>100</v>
      </c>
      <c r="I236" s="1">
        <f>COUNTA(ProductInfo[[#This Row],[P1]:[P15]])</f>
        <v>2</v>
      </c>
      <c r="J2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6" s="7" t="s">
        <v>12</v>
      </c>
      <c r="M236" s="7" t="s">
        <v>13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s="1" customFormat="1">
      <c r="A237" s="8" t="s">
        <v>467</v>
      </c>
      <c r="B237" s="8" t="s">
        <v>4244</v>
      </c>
      <c r="C237" s="1" t="str">
        <f>RIGHT(ProductInfo[[#This Row],[Drawing No]],1)</f>
        <v xml:space="preserve"> </v>
      </c>
      <c r="D237" s="176" t="s">
        <v>2341</v>
      </c>
      <c r="E237" s="18" t="s">
        <v>3471</v>
      </c>
      <c r="F237" s="23" t="str">
        <f>IFERROR(INDEX(MaterialCode[รายละเอียด],MATCH(ProductInfo[[#This Row],[Material Code]],MaterialCode[Material Code],0)),"ไม่พบวัตถุดิบ")</f>
        <v>ท่ออลูมีเนียมโต 51.5 มม.xรูใน 44.8 มม</v>
      </c>
      <c r="G237" s="31"/>
      <c r="H237" s="3">
        <v>100</v>
      </c>
      <c r="I237" s="1">
        <f>COUNTA(ProductInfo[[#This Row],[P1]:[P15]])</f>
        <v>1</v>
      </c>
      <c r="J2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7" s="7" t="s">
        <v>13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s="1" customFormat="1">
      <c r="A238" s="8" t="s">
        <v>468</v>
      </c>
      <c r="B238" s="8" t="s">
        <v>3597</v>
      </c>
      <c r="C238" s="1" t="str">
        <f>RIGHT(ProductInfo[[#This Row],[Drawing No]],1)</f>
        <v>0</v>
      </c>
      <c r="D238" s="176" t="s">
        <v>2342</v>
      </c>
      <c r="E238" s="16" t="s">
        <v>3469</v>
      </c>
      <c r="F238" s="23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38" s="59">
        <v>182</v>
      </c>
      <c r="H238" s="3">
        <v>100</v>
      </c>
      <c r="I238" s="1">
        <f>COUNTA(ProductInfo[[#This Row],[P1]:[P15]])</f>
        <v>4</v>
      </c>
      <c r="J2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" s="7" t="s">
        <v>12</v>
      </c>
      <c r="M238" s="7" t="s">
        <v>13</v>
      </c>
      <c r="N238" s="7" t="s">
        <v>14</v>
      </c>
      <c r="O238" s="7" t="s">
        <v>3105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s="1" customFormat="1">
      <c r="A239" s="8" t="s">
        <v>5125</v>
      </c>
      <c r="B239" s="8" t="s">
        <v>5124</v>
      </c>
      <c r="C239" s="2" t="str">
        <f>RIGHT(ProductInfo[[#This Row],[Drawing No]],1)</f>
        <v>0</v>
      </c>
      <c r="D239" s="176" t="s">
        <v>4895</v>
      </c>
      <c r="E239" s="16" t="s">
        <v>3457</v>
      </c>
      <c r="F239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39" s="31" t="s">
        <v>6396</v>
      </c>
      <c r="H239" s="31" t="s">
        <v>6208</v>
      </c>
      <c r="I239" s="1">
        <f>COUNTA(ProductInfo[[#This Row],[P1]:[P15]])</f>
        <v>4</v>
      </c>
      <c r="J2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9" s="7" t="s">
        <v>12</v>
      </c>
      <c r="M239" s="4" t="s">
        <v>13</v>
      </c>
      <c r="N239" s="4" t="s">
        <v>14</v>
      </c>
      <c r="O239" s="7" t="s">
        <v>3105</v>
      </c>
      <c r="P239" s="7"/>
      <c r="Q239" s="4"/>
      <c r="R239" s="7"/>
      <c r="S239" s="4"/>
      <c r="T239" s="4"/>
      <c r="U239" s="4"/>
      <c r="V239" s="4"/>
      <c r="W239" s="4"/>
      <c r="X239" s="4"/>
      <c r="Y239" s="4"/>
      <c r="Z239" s="4"/>
    </row>
    <row r="240" spans="1:26" s="1" customFormat="1">
      <c r="A240" s="8" t="s">
        <v>469</v>
      </c>
      <c r="B240" s="8" t="s">
        <v>469</v>
      </c>
      <c r="C240" s="1" t="str">
        <f>RIGHT(ProductInfo[[#This Row],[Drawing No]],1)</f>
        <v>0</v>
      </c>
      <c r="D240" s="176" t="s">
        <v>2343</v>
      </c>
      <c r="E240" s="16"/>
      <c r="F2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0" s="31"/>
      <c r="H240" s="31"/>
      <c r="I240" s="1">
        <f>COUNTA(ProductInfo[[#This Row],[P1]:[P15]])</f>
        <v>0</v>
      </c>
      <c r="J2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s="1" customFormat="1">
      <c r="A241" s="8" t="s">
        <v>470</v>
      </c>
      <c r="B241" s="8" t="s">
        <v>470</v>
      </c>
      <c r="C241" s="1" t="str">
        <f>RIGHT(ProductInfo[[#This Row],[Drawing No]],1)</f>
        <v>3</v>
      </c>
      <c r="D241" s="176" t="s">
        <v>471</v>
      </c>
      <c r="E241" s="16"/>
      <c r="F2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1" s="31"/>
      <c r="H241" s="31"/>
      <c r="I241" s="1">
        <f>COUNTA(ProductInfo[[#This Row],[P1]:[P15]])</f>
        <v>0</v>
      </c>
      <c r="J2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s="1" customFormat="1">
      <c r="A242" s="8" t="s">
        <v>472</v>
      </c>
      <c r="B242" s="8" t="s">
        <v>3339</v>
      </c>
      <c r="C242" s="1" t="str">
        <f>RIGHT(ProductInfo[[#This Row],[Drawing No]],1)</f>
        <v>A</v>
      </c>
      <c r="D242" s="179" t="s">
        <v>3217</v>
      </c>
      <c r="E242" s="18" t="s">
        <v>3559</v>
      </c>
      <c r="F24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2" s="3">
        <v>112</v>
      </c>
      <c r="H242" s="3">
        <v>100</v>
      </c>
      <c r="I242" s="1">
        <f>COUNTA(ProductInfo[[#This Row],[P1]:[P15]])</f>
        <v>2</v>
      </c>
      <c r="J2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" s="7" t="s">
        <v>12</v>
      </c>
      <c r="M242" s="7" t="s">
        <v>13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s="1" customFormat="1">
      <c r="A243" s="8" t="s">
        <v>4347</v>
      </c>
      <c r="B243" s="8" t="s">
        <v>4346</v>
      </c>
      <c r="C243" s="2" t="str">
        <f>RIGHT(ProductInfo[[#This Row],[Drawing No]],1)</f>
        <v>0</v>
      </c>
      <c r="D243" s="176" t="s">
        <v>5737</v>
      </c>
      <c r="E243" s="18" t="s">
        <v>3559</v>
      </c>
      <c r="F243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3" s="59">
        <v>112</v>
      </c>
      <c r="H243" s="3">
        <v>100</v>
      </c>
      <c r="I243" s="1">
        <f>COUNTA(ProductInfo[[#This Row],[P1]:[P15]])</f>
        <v>2</v>
      </c>
      <c r="J2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" s="7" t="s">
        <v>12</v>
      </c>
      <c r="M243" s="7" t="s">
        <v>13</v>
      </c>
      <c r="N243" s="7"/>
      <c r="O243" s="7"/>
      <c r="P243" s="7"/>
      <c r="Q243" s="7"/>
      <c r="R243" s="7"/>
      <c r="S243" s="7"/>
      <c r="T243" s="4"/>
      <c r="U243" s="4"/>
      <c r="V243" s="4"/>
      <c r="W243" s="4"/>
      <c r="X243" s="4"/>
      <c r="Y243" s="4"/>
      <c r="Z243" s="4"/>
    </row>
    <row r="244" spans="1:26" s="1" customFormat="1">
      <c r="A244" s="8" t="s">
        <v>473</v>
      </c>
      <c r="B244" s="8" t="s">
        <v>3339</v>
      </c>
      <c r="C244" s="1" t="str">
        <f>RIGHT(ProductInfo[[#This Row],[Drawing No]],1)</f>
        <v>A</v>
      </c>
      <c r="D244" s="179" t="s">
        <v>474</v>
      </c>
      <c r="E244" s="18" t="s">
        <v>3559</v>
      </c>
      <c r="F24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4" s="3">
        <v>117</v>
      </c>
      <c r="H244" s="3">
        <v>100</v>
      </c>
      <c r="I244" s="1">
        <f>COUNTA(ProductInfo[[#This Row],[P1]:[P15]])</f>
        <v>2</v>
      </c>
      <c r="J2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" s="7" t="s">
        <v>12</v>
      </c>
      <c r="M244" s="7" t="s">
        <v>12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s="1" customFormat="1">
      <c r="A245" s="8" t="s">
        <v>4348</v>
      </c>
      <c r="B245" s="8" t="s">
        <v>4346</v>
      </c>
      <c r="C245" s="2" t="str">
        <f>RIGHT(ProductInfo[[#This Row],[Drawing No]],1)</f>
        <v>0</v>
      </c>
      <c r="D245" s="176" t="s">
        <v>5738</v>
      </c>
      <c r="E245" s="18" t="s">
        <v>3559</v>
      </c>
      <c r="F24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5" s="59">
        <v>117</v>
      </c>
      <c r="H245" s="3">
        <v>100</v>
      </c>
      <c r="I245" s="1">
        <f>COUNTA(ProductInfo[[#This Row],[P1]:[P15]])</f>
        <v>2</v>
      </c>
      <c r="J2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" s="7" t="s">
        <v>12</v>
      </c>
      <c r="M245" s="7" t="s">
        <v>13</v>
      </c>
      <c r="N245" s="7"/>
      <c r="O245" s="7"/>
      <c r="P245" s="7"/>
      <c r="Q245" s="7"/>
      <c r="R245" s="7"/>
      <c r="S245" s="7"/>
      <c r="T245" s="4"/>
      <c r="U245" s="4"/>
      <c r="V245" s="4"/>
      <c r="W245" s="4"/>
      <c r="X245" s="4"/>
      <c r="Y245" s="4"/>
      <c r="Z245" s="4"/>
    </row>
    <row r="246" spans="1:26" s="1" customFormat="1">
      <c r="A246" s="8" t="s">
        <v>475</v>
      </c>
      <c r="B246" s="8" t="s">
        <v>3339</v>
      </c>
      <c r="C246" s="1" t="str">
        <f>RIGHT(ProductInfo[[#This Row],[Drawing No]],1)</f>
        <v>A</v>
      </c>
      <c r="D246" s="179" t="s">
        <v>3218</v>
      </c>
      <c r="E246" s="18" t="s">
        <v>3559</v>
      </c>
      <c r="F24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6" s="3">
        <v>122</v>
      </c>
      <c r="H246" s="3">
        <v>100</v>
      </c>
      <c r="I246" s="1">
        <f>COUNTA(ProductInfo[[#This Row],[P1]:[P15]])</f>
        <v>2</v>
      </c>
      <c r="J2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6" s="7" t="s">
        <v>12</v>
      </c>
      <c r="M246" s="7" t="s">
        <v>12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s="1" customFormat="1">
      <c r="A247" s="8" t="s">
        <v>4349</v>
      </c>
      <c r="B247" s="8" t="s">
        <v>4346</v>
      </c>
      <c r="C247" s="2" t="str">
        <f>RIGHT(ProductInfo[[#This Row],[Drawing No]],1)</f>
        <v>0</v>
      </c>
      <c r="D247" s="176" t="s">
        <v>5739</v>
      </c>
      <c r="E247" s="18" t="s">
        <v>3559</v>
      </c>
      <c r="F24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7" s="59">
        <v>122</v>
      </c>
      <c r="H247" s="3">
        <v>100</v>
      </c>
      <c r="I247" s="1">
        <f>COUNTA(ProductInfo[[#This Row],[P1]:[P15]])</f>
        <v>2</v>
      </c>
      <c r="J2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7" s="7" t="s">
        <v>12</v>
      </c>
      <c r="M247" s="7" t="s">
        <v>13</v>
      </c>
      <c r="N247" s="7"/>
      <c r="O247" s="7"/>
      <c r="P247" s="7"/>
      <c r="Q247" s="7"/>
      <c r="R247" s="7"/>
      <c r="S247" s="7"/>
      <c r="T247" s="4"/>
      <c r="U247" s="4"/>
      <c r="V247" s="4"/>
      <c r="W247" s="4"/>
      <c r="X247" s="4"/>
      <c r="Y247" s="4"/>
      <c r="Z247" s="4"/>
    </row>
    <row r="248" spans="1:26" s="1" customFormat="1">
      <c r="A248" s="8" t="s">
        <v>476</v>
      </c>
      <c r="B248" s="8" t="s">
        <v>3339</v>
      </c>
      <c r="C248" s="1" t="str">
        <f>RIGHT(ProductInfo[[#This Row],[Drawing No]],1)</f>
        <v>A</v>
      </c>
      <c r="D248" s="179" t="s">
        <v>3219</v>
      </c>
      <c r="E248" s="18" t="s">
        <v>3559</v>
      </c>
      <c r="F24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8" s="3">
        <v>127</v>
      </c>
      <c r="H248" s="3">
        <v>100</v>
      </c>
      <c r="I248" s="1">
        <f>COUNTA(ProductInfo[[#This Row],[P1]:[P15]])</f>
        <v>2</v>
      </c>
      <c r="J2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8" s="7" t="s">
        <v>12</v>
      </c>
      <c r="M248" s="7" t="s">
        <v>12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s="1" customFormat="1">
      <c r="A249" s="8" t="s">
        <v>4350</v>
      </c>
      <c r="B249" s="8" t="s">
        <v>4346</v>
      </c>
      <c r="C249" s="2" t="str">
        <f>RIGHT(ProductInfo[[#This Row],[Drawing No]],1)</f>
        <v>0</v>
      </c>
      <c r="D249" s="176" t="s">
        <v>5740</v>
      </c>
      <c r="E249" s="18" t="s">
        <v>3559</v>
      </c>
      <c r="F24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9" s="59">
        <v>127</v>
      </c>
      <c r="H249" s="3">
        <v>100</v>
      </c>
      <c r="I249" s="1">
        <f>COUNTA(ProductInfo[[#This Row],[P1]:[P15]])</f>
        <v>2</v>
      </c>
      <c r="J2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" s="7" t="s">
        <v>12</v>
      </c>
      <c r="M249" s="7" t="s">
        <v>13</v>
      </c>
      <c r="N249" s="7"/>
      <c r="O249" s="7"/>
      <c r="P249" s="7"/>
      <c r="Q249" s="7"/>
      <c r="R249" s="7"/>
      <c r="S249" s="7"/>
      <c r="T249" s="4"/>
      <c r="U249" s="4"/>
      <c r="V249" s="4"/>
      <c r="W249" s="4"/>
      <c r="X249" s="4"/>
      <c r="Y249" s="4"/>
      <c r="Z249" s="4"/>
    </row>
    <row r="250" spans="1:26" s="1" customFormat="1">
      <c r="A250" s="8" t="s">
        <v>477</v>
      </c>
      <c r="B250" s="8" t="s">
        <v>3339</v>
      </c>
      <c r="C250" s="1" t="str">
        <f>RIGHT(ProductInfo[[#This Row],[Drawing No]],1)</f>
        <v>A</v>
      </c>
      <c r="D250" s="179" t="s">
        <v>3220</v>
      </c>
      <c r="E250" s="18" t="s">
        <v>3559</v>
      </c>
      <c r="F25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0" s="3">
        <v>132</v>
      </c>
      <c r="H250" s="3">
        <v>100</v>
      </c>
      <c r="I250" s="1">
        <f>COUNTA(ProductInfo[[#This Row],[P1]:[P15]])</f>
        <v>2</v>
      </c>
      <c r="J2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" s="7" t="s">
        <v>12</v>
      </c>
      <c r="M250" s="7" t="s">
        <v>12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s="1" customFormat="1">
      <c r="A251" s="8" t="s">
        <v>4351</v>
      </c>
      <c r="B251" s="8" t="s">
        <v>4346</v>
      </c>
      <c r="C251" s="2" t="str">
        <f>RIGHT(ProductInfo[[#This Row],[Drawing No]],1)</f>
        <v>0</v>
      </c>
      <c r="D251" s="176" t="s">
        <v>5741</v>
      </c>
      <c r="E251" s="18" t="s">
        <v>3559</v>
      </c>
      <c r="F25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1" s="59">
        <v>132</v>
      </c>
      <c r="H251" s="3">
        <v>100</v>
      </c>
      <c r="I251" s="1">
        <f>COUNTA(ProductInfo[[#This Row],[P1]:[P15]])</f>
        <v>2</v>
      </c>
      <c r="J2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" s="7" t="s">
        <v>12</v>
      </c>
      <c r="M251" s="7" t="s">
        <v>13</v>
      </c>
      <c r="N251" s="7"/>
      <c r="O251" s="7"/>
      <c r="P251" s="7"/>
      <c r="Q251" s="7"/>
      <c r="R251" s="7"/>
      <c r="S251" s="7"/>
      <c r="T251" s="4"/>
      <c r="U251" s="4"/>
      <c r="V251" s="4"/>
      <c r="W251" s="4"/>
      <c r="X251" s="4"/>
      <c r="Y251" s="4"/>
      <c r="Z251" s="4"/>
    </row>
    <row r="252" spans="1:26" s="1" customFormat="1">
      <c r="A252" s="8" t="s">
        <v>478</v>
      </c>
      <c r="B252" s="8" t="s">
        <v>3339</v>
      </c>
      <c r="C252" s="1" t="str">
        <f>RIGHT(ProductInfo[[#This Row],[Drawing No]],1)</f>
        <v>A</v>
      </c>
      <c r="D252" s="179" t="s">
        <v>3221</v>
      </c>
      <c r="E252" s="18" t="s">
        <v>3559</v>
      </c>
      <c r="F25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2" s="3">
        <v>137</v>
      </c>
      <c r="H252" s="3">
        <v>100</v>
      </c>
      <c r="I252" s="1">
        <f>COUNTA(ProductInfo[[#This Row],[P1]:[P15]])</f>
        <v>2</v>
      </c>
      <c r="J2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2" s="7" t="s">
        <v>12</v>
      </c>
      <c r="M252" s="7" t="s">
        <v>13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s="1" customFormat="1">
      <c r="A253" s="8" t="s">
        <v>4352</v>
      </c>
      <c r="B253" s="8" t="s">
        <v>4346</v>
      </c>
      <c r="C253" s="2" t="str">
        <f>RIGHT(ProductInfo[[#This Row],[Drawing No]],1)</f>
        <v>0</v>
      </c>
      <c r="D253" s="176" t="s">
        <v>5742</v>
      </c>
      <c r="E253" s="18" t="s">
        <v>3559</v>
      </c>
      <c r="F253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3" s="59">
        <v>137</v>
      </c>
      <c r="H253" s="3">
        <v>100</v>
      </c>
      <c r="I253" s="1">
        <f>COUNTA(ProductInfo[[#This Row],[P1]:[P15]])</f>
        <v>2</v>
      </c>
      <c r="J2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3" s="7" t="s">
        <v>12</v>
      </c>
      <c r="M253" s="7" t="s">
        <v>13</v>
      </c>
      <c r="N253" s="7"/>
      <c r="O253" s="7"/>
      <c r="P253" s="7"/>
      <c r="Q253" s="7"/>
      <c r="R253" s="7"/>
      <c r="S253" s="7"/>
      <c r="T253" s="4"/>
      <c r="U253" s="4"/>
      <c r="V253" s="4"/>
      <c r="W253" s="4"/>
      <c r="X253" s="4"/>
      <c r="Y253" s="4"/>
      <c r="Z253" s="4"/>
    </row>
    <row r="254" spans="1:26" s="1" customFormat="1">
      <c r="A254" s="8" t="s">
        <v>479</v>
      </c>
      <c r="B254" s="8" t="s">
        <v>3339</v>
      </c>
      <c r="C254" s="1" t="str">
        <f>RIGHT(ProductInfo[[#This Row],[Drawing No]],1)</f>
        <v>A</v>
      </c>
      <c r="D254" s="179" t="s">
        <v>3222</v>
      </c>
      <c r="E254" s="18" t="s">
        <v>3559</v>
      </c>
      <c r="F25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4" s="3">
        <v>142</v>
      </c>
      <c r="H254" s="3">
        <v>100</v>
      </c>
      <c r="I254" s="1">
        <f>COUNTA(ProductInfo[[#This Row],[P1]:[P15]])</f>
        <v>2</v>
      </c>
      <c r="J2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4" s="7" t="s">
        <v>12</v>
      </c>
      <c r="M254" s="7" t="s">
        <v>13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s="1" customFormat="1">
      <c r="A255" s="8" t="s">
        <v>4353</v>
      </c>
      <c r="B255" s="8" t="s">
        <v>4346</v>
      </c>
      <c r="C255" s="2" t="str">
        <f>RIGHT(ProductInfo[[#This Row],[Drawing No]],1)</f>
        <v>0</v>
      </c>
      <c r="D255" s="176" t="s">
        <v>5743</v>
      </c>
      <c r="E255" s="18" t="s">
        <v>3559</v>
      </c>
      <c r="F25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5" s="59">
        <v>142</v>
      </c>
      <c r="H255" s="3">
        <v>100</v>
      </c>
      <c r="I255" s="1">
        <f>COUNTA(ProductInfo[[#This Row],[P1]:[P15]])</f>
        <v>2</v>
      </c>
      <c r="J2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5" s="7" t="s">
        <v>12</v>
      </c>
      <c r="M255" s="7" t="s">
        <v>13</v>
      </c>
      <c r="N255" s="7"/>
      <c r="O255" s="7"/>
      <c r="P255" s="7"/>
      <c r="Q255" s="7"/>
      <c r="R255" s="7"/>
      <c r="S255" s="7"/>
      <c r="T255" s="4"/>
      <c r="U255" s="4"/>
      <c r="V255" s="4"/>
      <c r="W255" s="4"/>
      <c r="X255" s="4"/>
      <c r="Y255" s="4"/>
      <c r="Z255" s="4"/>
    </row>
    <row r="256" spans="1:26" s="1" customFormat="1">
      <c r="A256" s="8" t="s">
        <v>480</v>
      </c>
      <c r="B256" s="8" t="s">
        <v>3339</v>
      </c>
      <c r="C256" s="1" t="str">
        <f>RIGHT(ProductInfo[[#This Row],[Drawing No]],1)</f>
        <v>A</v>
      </c>
      <c r="D256" s="179" t="s">
        <v>3223</v>
      </c>
      <c r="E256" s="18" t="s">
        <v>3559</v>
      </c>
      <c r="F25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6" s="3">
        <v>147</v>
      </c>
      <c r="H256" s="3">
        <v>100</v>
      </c>
      <c r="I256" s="1">
        <f>COUNTA(ProductInfo[[#This Row],[P1]:[P15]])</f>
        <v>2</v>
      </c>
      <c r="J2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6" s="7" t="s">
        <v>12</v>
      </c>
      <c r="M256" s="7" t="s">
        <v>13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s="1" customFormat="1">
      <c r="A257" s="8" t="s">
        <v>4354</v>
      </c>
      <c r="B257" s="8" t="s">
        <v>4346</v>
      </c>
      <c r="C257" s="2" t="str">
        <f>RIGHT(ProductInfo[[#This Row],[Drawing No]],1)</f>
        <v>0</v>
      </c>
      <c r="D257" s="176" t="s">
        <v>5744</v>
      </c>
      <c r="E257" s="18" t="s">
        <v>3559</v>
      </c>
      <c r="F25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7" s="59">
        <v>147</v>
      </c>
      <c r="H257" s="3">
        <v>100</v>
      </c>
      <c r="I257" s="1">
        <f>COUNTA(ProductInfo[[#This Row],[P1]:[P15]])</f>
        <v>2</v>
      </c>
      <c r="J2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" s="7" t="s">
        <v>12</v>
      </c>
      <c r="M257" s="7" t="s">
        <v>13</v>
      </c>
      <c r="N257" s="7"/>
      <c r="O257" s="7"/>
      <c r="P257" s="7"/>
      <c r="Q257" s="7"/>
      <c r="R257" s="7"/>
      <c r="S257" s="7"/>
      <c r="T257" s="4"/>
      <c r="U257" s="4"/>
      <c r="V257" s="4"/>
      <c r="W257" s="4"/>
      <c r="X257" s="4"/>
      <c r="Y257" s="4"/>
      <c r="Z257" s="4"/>
    </row>
    <row r="258" spans="1:26" s="1" customFormat="1">
      <c r="A258" s="8" t="s">
        <v>481</v>
      </c>
      <c r="B258" s="8" t="s">
        <v>3339</v>
      </c>
      <c r="C258" s="1" t="str">
        <f>RIGHT(ProductInfo[[#This Row],[Drawing No]],1)</f>
        <v>A</v>
      </c>
      <c r="D258" s="179" t="s">
        <v>3216</v>
      </c>
      <c r="E258" s="18" t="s">
        <v>3559</v>
      </c>
      <c r="F25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8" s="3">
        <v>152</v>
      </c>
      <c r="H258" s="3">
        <v>100</v>
      </c>
      <c r="I258" s="1">
        <f>COUNTA(ProductInfo[[#This Row],[P1]:[P15]])</f>
        <v>2</v>
      </c>
      <c r="J2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" s="7" t="s">
        <v>12</v>
      </c>
      <c r="M258" s="7" t="s">
        <v>12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s="1" customFormat="1">
      <c r="A259" s="8" t="s">
        <v>4355</v>
      </c>
      <c r="B259" s="8" t="s">
        <v>4346</v>
      </c>
      <c r="C259" s="2" t="str">
        <f>RIGHT(ProductInfo[[#This Row],[Drawing No]],1)</f>
        <v>0</v>
      </c>
      <c r="D259" s="176" t="s">
        <v>5745</v>
      </c>
      <c r="E259" s="18" t="s">
        <v>3559</v>
      </c>
      <c r="F25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9" s="59">
        <v>152</v>
      </c>
      <c r="H259" s="3">
        <v>100</v>
      </c>
      <c r="I259" s="1">
        <f>COUNTA(ProductInfo[[#This Row],[P1]:[P15]])</f>
        <v>2</v>
      </c>
      <c r="J2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" s="7" t="s">
        <v>12</v>
      </c>
      <c r="M259" s="7" t="s">
        <v>13</v>
      </c>
      <c r="N259" s="7"/>
      <c r="O259" s="7"/>
      <c r="P259" s="7"/>
      <c r="Q259" s="7"/>
      <c r="R259" s="7"/>
      <c r="S259" s="7"/>
      <c r="T259" s="4"/>
      <c r="U259" s="4"/>
      <c r="V259" s="4"/>
      <c r="W259" s="4"/>
      <c r="X259" s="4"/>
      <c r="Y259" s="4"/>
      <c r="Z259" s="4"/>
    </row>
    <row r="260" spans="1:26" s="1" customFormat="1">
      <c r="A260" s="8" t="s">
        <v>482</v>
      </c>
      <c r="B260" s="8" t="s">
        <v>3339</v>
      </c>
      <c r="C260" s="1" t="str">
        <f>RIGHT(ProductInfo[[#This Row],[Drawing No]],1)</f>
        <v>A</v>
      </c>
      <c r="D260" s="179" t="s">
        <v>3224</v>
      </c>
      <c r="E260" s="18" t="s">
        <v>3559</v>
      </c>
      <c r="F26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0" s="3">
        <v>157</v>
      </c>
      <c r="H260" s="3">
        <v>100</v>
      </c>
      <c r="I260" s="1">
        <f>COUNTA(ProductInfo[[#This Row],[P1]:[P15]])</f>
        <v>2</v>
      </c>
      <c r="J2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" s="7" t="s">
        <v>12</v>
      </c>
      <c r="M260" s="7" t="s">
        <v>12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s="1" customFormat="1">
      <c r="A261" s="8" t="s">
        <v>4356</v>
      </c>
      <c r="B261" s="8" t="s">
        <v>4346</v>
      </c>
      <c r="C261" s="2" t="str">
        <f>RIGHT(ProductInfo[[#This Row],[Drawing No]],1)</f>
        <v>0</v>
      </c>
      <c r="D261" s="176" t="s">
        <v>5746</v>
      </c>
      <c r="E261" s="18" t="s">
        <v>3559</v>
      </c>
      <c r="F26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1" s="59">
        <v>157</v>
      </c>
      <c r="H261" s="3">
        <v>100</v>
      </c>
      <c r="I261" s="1">
        <f>COUNTA(ProductInfo[[#This Row],[P1]:[P15]])</f>
        <v>2</v>
      </c>
      <c r="J2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" s="7" t="s">
        <v>12</v>
      </c>
      <c r="M261" s="7" t="s">
        <v>13</v>
      </c>
      <c r="N261" s="7"/>
      <c r="O261" s="7"/>
      <c r="P261" s="7"/>
      <c r="Q261" s="7"/>
      <c r="R261" s="7"/>
      <c r="S261" s="7"/>
      <c r="T261" s="4"/>
      <c r="U261" s="4"/>
      <c r="V261" s="4"/>
      <c r="W261" s="4"/>
      <c r="X261" s="4"/>
      <c r="Y261" s="4"/>
      <c r="Z261" s="4"/>
    </row>
    <row r="262" spans="1:26" s="1" customFormat="1">
      <c r="A262" s="8" t="s">
        <v>483</v>
      </c>
      <c r="B262" s="8" t="s">
        <v>483</v>
      </c>
      <c r="C262" s="1" t="str">
        <f>RIGHT(ProductInfo[[#This Row],[Drawing No]],1)</f>
        <v>6</v>
      </c>
      <c r="D262" s="179" t="s">
        <v>3225</v>
      </c>
      <c r="E262" s="18" t="s">
        <v>3559</v>
      </c>
      <c r="F26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2" s="3">
        <v>162</v>
      </c>
      <c r="H262" s="3">
        <v>100</v>
      </c>
      <c r="I262" s="1">
        <f>COUNTA(ProductInfo[[#This Row],[P1]:[P15]])</f>
        <v>2</v>
      </c>
      <c r="J2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2" s="7" t="s">
        <v>12</v>
      </c>
      <c r="M262" s="7" t="s">
        <v>13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s="1" customFormat="1">
      <c r="A263" s="8" t="s">
        <v>4499</v>
      </c>
      <c r="B263" s="8" t="s">
        <v>4346</v>
      </c>
      <c r="C263" s="1" t="str">
        <f>RIGHT(ProductInfo[[#This Row],[Drawing No]],1)</f>
        <v>0</v>
      </c>
      <c r="D263" s="179" t="s">
        <v>5747</v>
      </c>
      <c r="E263" s="18" t="s">
        <v>3559</v>
      </c>
      <c r="F263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3" s="3">
        <v>162</v>
      </c>
      <c r="H263" s="3">
        <v>100</v>
      </c>
      <c r="I263" s="1">
        <f>COUNTA(ProductInfo[[#This Row],[P1]:[P15]])</f>
        <v>2</v>
      </c>
      <c r="J2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" s="7" t="s">
        <v>12</v>
      </c>
      <c r="M263" s="7" t="s">
        <v>13</v>
      </c>
      <c r="N263" s="7"/>
      <c r="O263" s="7"/>
      <c r="P263" s="7"/>
      <c r="Q263" s="7"/>
      <c r="R263" s="7"/>
      <c r="S263" s="7"/>
      <c r="T263" s="4"/>
      <c r="U263" s="4"/>
      <c r="V263" s="4"/>
      <c r="W263" s="4"/>
      <c r="X263" s="4"/>
      <c r="Y263" s="4"/>
      <c r="Z263" s="4"/>
    </row>
    <row r="264" spans="1:26" s="1" customFormat="1">
      <c r="A264" s="8" t="s">
        <v>484</v>
      </c>
      <c r="B264" s="8" t="s">
        <v>484</v>
      </c>
      <c r="C264" s="1" t="str">
        <f>RIGHT(ProductInfo[[#This Row],[Drawing No]],1)</f>
        <v>6</v>
      </c>
      <c r="D264" s="179" t="s">
        <v>3226</v>
      </c>
      <c r="E264" s="18" t="s">
        <v>3559</v>
      </c>
      <c r="F26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4" s="3">
        <v>167</v>
      </c>
      <c r="H264" s="3">
        <v>100</v>
      </c>
      <c r="I264" s="1">
        <f>COUNTA(ProductInfo[[#This Row],[P1]:[P15]])</f>
        <v>2</v>
      </c>
      <c r="J2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" s="7" t="s">
        <v>12</v>
      </c>
      <c r="M264" s="7" t="s">
        <v>13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s="1" customFormat="1">
      <c r="A265" s="8" t="s">
        <v>4614</v>
      </c>
      <c r="B265" s="8" t="s">
        <v>4346</v>
      </c>
      <c r="C265" s="2" t="str">
        <f>RIGHT(ProductInfo[[#This Row],[Drawing No]],1)</f>
        <v>0</v>
      </c>
      <c r="D265" s="179" t="s">
        <v>5748</v>
      </c>
      <c r="E265" s="18" t="s">
        <v>3559</v>
      </c>
      <c r="F26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5" s="59">
        <v>167</v>
      </c>
      <c r="H265" s="3">
        <v>100</v>
      </c>
      <c r="I265" s="1">
        <f>COUNTA(ProductInfo[[#This Row],[P1]:[P15]])</f>
        <v>2</v>
      </c>
      <c r="J2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" s="7" t="s">
        <v>12</v>
      </c>
      <c r="M265" s="7" t="s">
        <v>13</v>
      </c>
      <c r="N265" s="4"/>
      <c r="O265" s="4"/>
      <c r="P265" s="7"/>
      <c r="Q265" s="7"/>
      <c r="R265" s="7"/>
      <c r="S265" s="4"/>
      <c r="T265" s="4"/>
      <c r="U265" s="4"/>
      <c r="V265" s="4"/>
      <c r="W265" s="4"/>
      <c r="X265" s="4"/>
      <c r="Y265" s="4"/>
      <c r="Z265" s="4"/>
    </row>
    <row r="266" spans="1:26" s="1" customFormat="1">
      <c r="A266" s="8" t="s">
        <v>485</v>
      </c>
      <c r="B266" s="8" t="s">
        <v>485</v>
      </c>
      <c r="C266" s="1" t="str">
        <f>RIGHT(ProductInfo[[#This Row],[Drawing No]],1)</f>
        <v>6</v>
      </c>
      <c r="D266" s="179" t="s">
        <v>3227</v>
      </c>
      <c r="E266" s="18" t="s">
        <v>3559</v>
      </c>
      <c r="F26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6" s="3">
        <v>172</v>
      </c>
      <c r="H266" s="3">
        <v>100</v>
      </c>
      <c r="I266" s="1">
        <f>COUNTA(ProductInfo[[#This Row],[P1]:[P15]])</f>
        <v>2</v>
      </c>
      <c r="J2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" s="7" t="s">
        <v>12</v>
      </c>
      <c r="M266" s="7" t="s">
        <v>13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s="1" customFormat="1">
      <c r="A267" s="8" t="s">
        <v>486</v>
      </c>
      <c r="B267" s="8" t="s">
        <v>486</v>
      </c>
      <c r="C267" s="1" t="str">
        <f>RIGHT(ProductInfo[[#This Row],[Drawing No]],1)</f>
        <v>6</v>
      </c>
      <c r="D267" s="179" t="s">
        <v>3228</v>
      </c>
      <c r="E267" s="18" t="s">
        <v>3559</v>
      </c>
      <c r="F26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7" s="3">
        <v>177</v>
      </c>
      <c r="H267" s="3">
        <v>100</v>
      </c>
      <c r="I267" s="1">
        <f>COUNTA(ProductInfo[[#This Row],[P1]:[P15]])</f>
        <v>1</v>
      </c>
      <c r="J2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7" s="7"/>
      <c r="M267" s="7" t="s">
        <v>13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s="1" customFormat="1">
      <c r="A268" s="8" t="s">
        <v>4511</v>
      </c>
      <c r="B268" s="8" t="s">
        <v>4346</v>
      </c>
      <c r="C268" s="1" t="str">
        <f>RIGHT(ProductInfo[[#This Row],[Drawing No]],1)</f>
        <v>0</v>
      </c>
      <c r="D268" s="179" t="s">
        <v>5749</v>
      </c>
      <c r="E268" s="18" t="s">
        <v>3559</v>
      </c>
      <c r="F26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8" s="3">
        <v>177</v>
      </c>
      <c r="H268" s="3">
        <v>100</v>
      </c>
      <c r="I268" s="1">
        <f>COUNTA(ProductInfo[[#This Row],[P1]:[P15]])</f>
        <v>2</v>
      </c>
      <c r="J2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8" s="7" t="s">
        <v>12</v>
      </c>
      <c r="M268" s="7" t="s">
        <v>13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s="1" customFormat="1">
      <c r="A269" s="8" t="s">
        <v>487</v>
      </c>
      <c r="B269" s="8" t="s">
        <v>487</v>
      </c>
      <c r="C269" s="1" t="str">
        <f>RIGHT(ProductInfo[[#This Row],[Drawing No]],1)</f>
        <v>6</v>
      </c>
      <c r="D269" s="179" t="s">
        <v>3229</v>
      </c>
      <c r="E269" s="18" t="s">
        <v>3559</v>
      </c>
      <c r="F26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69" s="3">
        <v>182</v>
      </c>
      <c r="H269" s="3">
        <v>100</v>
      </c>
      <c r="I269" s="1">
        <f>COUNTA(ProductInfo[[#This Row],[P1]:[P15]])</f>
        <v>2</v>
      </c>
      <c r="J2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9" s="7" t="s">
        <v>12</v>
      </c>
      <c r="M269" s="7" t="s">
        <v>13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s="1" customFormat="1">
      <c r="A270" s="8" t="s">
        <v>4497</v>
      </c>
      <c r="B270" s="8" t="s">
        <v>4346</v>
      </c>
      <c r="C270" s="2" t="str">
        <f>RIGHT(ProductInfo[[#This Row],[Drawing No]],1)</f>
        <v>0</v>
      </c>
      <c r="D270" s="176" t="s">
        <v>5750</v>
      </c>
      <c r="E270" s="18" t="s">
        <v>3559</v>
      </c>
      <c r="F27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0" s="59">
        <v>182</v>
      </c>
      <c r="H270" s="3">
        <v>100</v>
      </c>
      <c r="I270" s="1">
        <f>COUNTA(ProductInfo[[#This Row],[P1]:[P15]])</f>
        <v>2</v>
      </c>
      <c r="J2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0" s="7" t="s">
        <v>12</v>
      </c>
      <c r="M270" s="7" t="s">
        <v>13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s="1" customFormat="1">
      <c r="A271" s="8" t="s">
        <v>488</v>
      </c>
      <c r="B271" s="8" t="s">
        <v>488</v>
      </c>
      <c r="C271" s="1" t="str">
        <f>RIGHT(ProductInfo[[#This Row],[Drawing No]],1)</f>
        <v>6</v>
      </c>
      <c r="D271" s="179" t="s">
        <v>3230</v>
      </c>
      <c r="E271" s="18" t="s">
        <v>3559</v>
      </c>
      <c r="F27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1" s="3">
        <v>187</v>
      </c>
      <c r="H271" s="3">
        <v>100</v>
      </c>
      <c r="I271" s="1">
        <f>COUNTA(ProductInfo[[#This Row],[P1]:[P15]])</f>
        <v>2</v>
      </c>
      <c r="J2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1" s="7" t="s">
        <v>12</v>
      </c>
      <c r="M271" s="7" t="s">
        <v>13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s="1" customFormat="1">
      <c r="A272" s="8" t="s">
        <v>489</v>
      </c>
      <c r="B272" s="8" t="s">
        <v>489</v>
      </c>
      <c r="C272" s="1" t="str">
        <f>RIGHT(ProductInfo[[#This Row],[Drawing No]],1)</f>
        <v>6</v>
      </c>
      <c r="D272" s="179" t="s">
        <v>3231</v>
      </c>
      <c r="E272" s="18" t="s">
        <v>3559</v>
      </c>
      <c r="F27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2" s="3">
        <v>192</v>
      </c>
      <c r="H272" s="3">
        <v>100</v>
      </c>
      <c r="I272" s="1">
        <f>COUNTA(ProductInfo[[#This Row],[P1]:[P15]])</f>
        <v>1</v>
      </c>
      <c r="J2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2" s="7"/>
      <c r="M272" s="7" t="s">
        <v>13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s="1" customFormat="1">
      <c r="A273" s="8" t="s">
        <v>490</v>
      </c>
      <c r="B273" s="8" t="s">
        <v>490</v>
      </c>
      <c r="C273" s="1" t="str">
        <f>RIGHT(ProductInfo[[#This Row],[Drawing No]],1)</f>
        <v>6</v>
      </c>
      <c r="D273" s="176" t="s">
        <v>3232</v>
      </c>
      <c r="E273" s="18" t="s">
        <v>3559</v>
      </c>
      <c r="F27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3" s="59">
        <v>197</v>
      </c>
      <c r="H273" s="3">
        <v>100</v>
      </c>
      <c r="I273" s="1">
        <f>COUNTA(ProductInfo[[#This Row],[P1]:[P15]])</f>
        <v>1</v>
      </c>
      <c r="J2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3" s="7"/>
      <c r="M273" s="7" t="s">
        <v>13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s="1" customFormat="1">
      <c r="A274" s="8" t="s">
        <v>4498</v>
      </c>
      <c r="B274" s="8" t="s">
        <v>4346</v>
      </c>
      <c r="C274" s="2" t="str">
        <f>RIGHT(ProductInfo[[#This Row],[Drawing No]],1)</f>
        <v>0</v>
      </c>
      <c r="D274" s="176" t="s">
        <v>5751</v>
      </c>
      <c r="E274" s="18" t="s">
        <v>3559</v>
      </c>
      <c r="F27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4" s="59">
        <v>197</v>
      </c>
      <c r="H274" s="3">
        <v>100</v>
      </c>
      <c r="I274" s="1">
        <f>COUNTA(ProductInfo[[#This Row],[P1]:[P15]])</f>
        <v>2</v>
      </c>
      <c r="J2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4" s="7" t="s">
        <v>12</v>
      </c>
      <c r="M274" s="7" t="s">
        <v>13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s="1" customFormat="1">
      <c r="A275" s="8" t="s">
        <v>491</v>
      </c>
      <c r="B275" s="8" t="s">
        <v>491</v>
      </c>
      <c r="C275" s="1" t="str">
        <f>RIGHT(ProductInfo[[#This Row],[Drawing No]],1)</f>
        <v>6</v>
      </c>
      <c r="D275" s="179" t="s">
        <v>3233</v>
      </c>
      <c r="E275" s="18" t="s">
        <v>3559</v>
      </c>
      <c r="F27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5" s="3">
        <v>202</v>
      </c>
      <c r="H275" s="3">
        <v>100</v>
      </c>
      <c r="I275" s="1">
        <f>COUNTA(ProductInfo[[#This Row],[P1]:[P15]])</f>
        <v>2</v>
      </c>
      <c r="J2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5" s="7" t="s">
        <v>12</v>
      </c>
      <c r="M275" s="7" t="s">
        <v>13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s="1" customFormat="1">
      <c r="A276" s="8" t="s">
        <v>4513</v>
      </c>
      <c r="B276" s="8" t="s">
        <v>4346</v>
      </c>
      <c r="C276" s="1" t="str">
        <f>RIGHT(ProductInfo[[#This Row],[Drawing No]],1)</f>
        <v>0</v>
      </c>
      <c r="D276" s="179" t="s">
        <v>5752</v>
      </c>
      <c r="E276" s="18" t="s">
        <v>3559</v>
      </c>
      <c r="F27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6" s="3">
        <v>202</v>
      </c>
      <c r="H276" s="3">
        <v>100</v>
      </c>
      <c r="I276" s="1">
        <f>COUNTA(ProductInfo[[#This Row],[P1]:[P15]])</f>
        <v>2</v>
      </c>
      <c r="J2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6" s="7" t="s">
        <v>12</v>
      </c>
      <c r="M276" s="7" t="s">
        <v>13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s="1" customFormat="1">
      <c r="A277" s="8" t="s">
        <v>492</v>
      </c>
      <c r="B277" s="8" t="s">
        <v>492</v>
      </c>
      <c r="C277" s="1" t="str">
        <f>RIGHT(ProductInfo[[#This Row],[Drawing No]],1)</f>
        <v>0</v>
      </c>
      <c r="D277" s="179" t="s">
        <v>3234</v>
      </c>
      <c r="E277" s="18" t="s">
        <v>3559</v>
      </c>
      <c r="F27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7" s="3">
        <v>207</v>
      </c>
      <c r="H277" s="3">
        <v>100</v>
      </c>
      <c r="I277" s="1">
        <f>COUNTA(ProductInfo[[#This Row],[P1]:[P15]])</f>
        <v>2</v>
      </c>
      <c r="J2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7" s="7" t="s">
        <v>12</v>
      </c>
      <c r="M277" s="7" t="s">
        <v>13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s="1" customFormat="1">
      <c r="A278" s="8" t="s">
        <v>4510</v>
      </c>
      <c r="B278" s="8" t="s">
        <v>4346</v>
      </c>
      <c r="C278" s="1" t="str">
        <f>RIGHT(ProductInfo[[#This Row],[Drawing No]],1)</f>
        <v>0</v>
      </c>
      <c r="D278" s="179" t="s">
        <v>5753</v>
      </c>
      <c r="E278" s="18" t="s">
        <v>3559</v>
      </c>
      <c r="F27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8" s="3">
        <v>207</v>
      </c>
      <c r="H278" s="3">
        <v>100</v>
      </c>
      <c r="I278" s="1">
        <f>COUNTA(ProductInfo[[#This Row],[P1]:[P15]])</f>
        <v>2</v>
      </c>
      <c r="J2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8" s="7" t="s">
        <v>12</v>
      </c>
      <c r="M278" s="7" t="s">
        <v>13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s="1" customFormat="1">
      <c r="A279" s="8" t="s">
        <v>493</v>
      </c>
      <c r="B279" s="8" t="s">
        <v>493</v>
      </c>
      <c r="C279" s="1" t="str">
        <f>RIGHT(ProductInfo[[#This Row],[Drawing No]],1)</f>
        <v>0</v>
      </c>
      <c r="D279" s="179" t="s">
        <v>3235</v>
      </c>
      <c r="E279" s="18" t="s">
        <v>3559</v>
      </c>
      <c r="F27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79" s="3">
        <v>212</v>
      </c>
      <c r="H279" s="3">
        <v>100</v>
      </c>
      <c r="I279" s="1">
        <f>COUNTA(ProductInfo[[#This Row],[P1]:[P15]])</f>
        <v>1</v>
      </c>
      <c r="J2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79" s="7" t="s">
        <v>12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s="1" customFormat="1">
      <c r="A280" s="8" t="s">
        <v>4865</v>
      </c>
      <c r="B280" s="8" t="s">
        <v>4346</v>
      </c>
      <c r="C280" s="1" t="str">
        <f>RIGHT(ProductInfo[[#This Row],[Drawing No]],1)</f>
        <v>0</v>
      </c>
      <c r="D280" s="179" t="s">
        <v>5756</v>
      </c>
      <c r="E280" s="18" t="s">
        <v>3559</v>
      </c>
      <c r="F28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0" s="59">
        <v>212</v>
      </c>
      <c r="H280" s="3">
        <v>100</v>
      </c>
      <c r="I280" s="1">
        <f>COUNTA(ProductInfo[[#This Row],[P1]:[P15]])</f>
        <v>2</v>
      </c>
      <c r="J2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0" s="7" t="s">
        <v>12</v>
      </c>
      <c r="M280" s="7" t="s">
        <v>13</v>
      </c>
      <c r="N280" s="4"/>
      <c r="O280" s="7"/>
      <c r="P280" s="7"/>
      <c r="Q280" s="7"/>
      <c r="R280" s="7"/>
      <c r="S280" s="7"/>
      <c r="T280" s="4"/>
      <c r="U280" s="4"/>
      <c r="V280" s="4"/>
      <c r="W280" s="4"/>
      <c r="X280" s="4"/>
      <c r="Y280" s="4"/>
      <c r="Z280" s="4"/>
    </row>
    <row r="281" spans="1:26" s="1" customFormat="1">
      <c r="A281" s="8" t="s">
        <v>494</v>
      </c>
      <c r="B281" s="8" t="s">
        <v>494</v>
      </c>
      <c r="C281" s="1" t="str">
        <f>RIGHT(ProductInfo[[#This Row],[Drawing No]],1)</f>
        <v>0</v>
      </c>
      <c r="D281" s="179" t="s">
        <v>3236</v>
      </c>
      <c r="E281" s="18" t="s">
        <v>3559</v>
      </c>
      <c r="F28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1" s="59">
        <v>217</v>
      </c>
      <c r="H281" s="3">
        <v>100</v>
      </c>
      <c r="I281" s="1">
        <f>COUNTA(ProductInfo[[#This Row],[P1]:[P15]])</f>
        <v>1</v>
      </c>
      <c r="J2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1" s="7" t="s">
        <v>12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s="1" customFormat="1">
      <c r="A282" s="8" t="s">
        <v>4500</v>
      </c>
      <c r="B282" s="8" t="s">
        <v>4346</v>
      </c>
      <c r="C282" s="1" t="str">
        <f>RIGHT(ProductInfo[[#This Row],[Drawing No]],1)</f>
        <v>0</v>
      </c>
      <c r="D282" s="179" t="s">
        <v>5754</v>
      </c>
      <c r="E282" s="18" t="s">
        <v>3559</v>
      </c>
      <c r="F28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2" s="59">
        <v>217</v>
      </c>
      <c r="H282" s="3">
        <v>100</v>
      </c>
      <c r="I282" s="1">
        <f>COUNTA(ProductInfo[[#This Row],[P1]:[P15]])</f>
        <v>2</v>
      </c>
      <c r="J2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2" s="7" t="s">
        <v>12</v>
      </c>
      <c r="M282" s="7" t="s">
        <v>13</v>
      </c>
      <c r="N282" s="7"/>
      <c r="O282" s="7"/>
      <c r="P282" s="7"/>
      <c r="Q282" s="7"/>
      <c r="R282" s="7"/>
      <c r="S282" s="7"/>
      <c r="T282" s="4"/>
      <c r="U282" s="4"/>
      <c r="V282" s="4"/>
      <c r="W282" s="4"/>
      <c r="X282" s="4"/>
      <c r="Y282" s="4"/>
      <c r="Z282" s="4"/>
    </row>
    <row r="283" spans="1:26" s="1" customFormat="1" ht="14.25" customHeight="1">
      <c r="A283" s="8" t="s">
        <v>495</v>
      </c>
      <c r="B283" s="8" t="s">
        <v>495</v>
      </c>
      <c r="C283" s="1" t="str">
        <f>RIGHT(ProductInfo[[#This Row],[Drawing No]],1)</f>
        <v>0</v>
      </c>
      <c r="D283" s="179" t="s">
        <v>3237</v>
      </c>
      <c r="E283" s="18" t="s">
        <v>3559</v>
      </c>
      <c r="F283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3" s="3">
        <v>222</v>
      </c>
      <c r="H283" s="3"/>
      <c r="I283" s="1">
        <f>COUNTA(ProductInfo[[#This Row],[P1]:[P15]])</f>
        <v>1</v>
      </c>
      <c r="J2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3" s="7" t="s">
        <v>12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s="1" customFormat="1">
      <c r="A284" s="8" t="s">
        <v>4516</v>
      </c>
      <c r="B284" s="8" t="s">
        <v>4346</v>
      </c>
      <c r="C284" s="1" t="str">
        <f>RIGHT(ProductInfo[[#This Row],[Drawing No]],1)</f>
        <v>0</v>
      </c>
      <c r="D284" s="179" t="s">
        <v>5755</v>
      </c>
      <c r="E284" s="18" t="s">
        <v>3559</v>
      </c>
      <c r="F28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4" s="3">
        <v>222</v>
      </c>
      <c r="H284" s="3">
        <v>100</v>
      </c>
      <c r="I284" s="1">
        <f>COUNTA(ProductInfo[[#This Row],[P1]:[P15]])</f>
        <v>2</v>
      </c>
      <c r="J2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4" s="7" t="s">
        <v>12</v>
      </c>
      <c r="M284" s="7" t="s">
        <v>13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s="1" customFormat="1">
      <c r="A285" s="8" t="s">
        <v>496</v>
      </c>
      <c r="B285" s="8" t="s">
        <v>496</v>
      </c>
      <c r="C285" s="1" t="str">
        <f>RIGHT(ProductInfo[[#This Row],[Drawing No]],1)</f>
        <v>0</v>
      </c>
      <c r="D285" s="179" t="s">
        <v>3238</v>
      </c>
      <c r="E285" s="18" t="s">
        <v>3559</v>
      </c>
      <c r="F28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5" s="3">
        <v>227</v>
      </c>
      <c r="H285" s="3">
        <v>100</v>
      </c>
      <c r="I285" s="1">
        <f>COUNTA(ProductInfo[[#This Row],[P1]:[P15]])</f>
        <v>1</v>
      </c>
      <c r="J2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5" s="7" t="s">
        <v>13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s="1" customFormat="1">
      <c r="A286" s="8" t="s">
        <v>497</v>
      </c>
      <c r="B286" s="8" t="s">
        <v>497</v>
      </c>
      <c r="C286" s="1" t="str">
        <f>RIGHT(ProductInfo[[#This Row],[Drawing No]],1)</f>
        <v>0</v>
      </c>
      <c r="D286" s="179" t="s">
        <v>3239</v>
      </c>
      <c r="E286" s="18" t="s">
        <v>3559</v>
      </c>
      <c r="F28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6" s="3">
        <v>237</v>
      </c>
      <c r="H286" s="3">
        <v>100</v>
      </c>
      <c r="I286" s="1">
        <f>COUNTA(ProductInfo[[#This Row],[P1]:[P15]])</f>
        <v>1</v>
      </c>
      <c r="J2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6" s="7" t="s">
        <v>13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s="1" customFormat="1">
      <c r="A287" s="8" t="s">
        <v>498</v>
      </c>
      <c r="B287" s="8" t="s">
        <v>498</v>
      </c>
      <c r="C287" s="1" t="str">
        <f>RIGHT(ProductInfo[[#This Row],[Drawing No]],1)</f>
        <v>0</v>
      </c>
      <c r="D287" s="179" t="s">
        <v>3240</v>
      </c>
      <c r="E287" s="18" t="s">
        <v>3559</v>
      </c>
      <c r="F28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7" s="3">
        <v>242</v>
      </c>
      <c r="H287" s="3">
        <v>100</v>
      </c>
      <c r="I287" s="1">
        <f>COUNTA(ProductInfo[[#This Row],[P1]:[P15]])</f>
        <v>1</v>
      </c>
      <c r="J2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7" s="7" t="s">
        <v>13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s="1" customFormat="1">
      <c r="A288" s="8" t="s">
        <v>499</v>
      </c>
      <c r="B288" s="8" t="s">
        <v>499</v>
      </c>
      <c r="C288" s="1" t="str">
        <f>RIGHT(ProductInfo[[#This Row],[Drawing No]],1)</f>
        <v>0</v>
      </c>
      <c r="D288" s="179" t="s">
        <v>3241</v>
      </c>
      <c r="E288" s="18" t="s">
        <v>3559</v>
      </c>
      <c r="F28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8" s="3">
        <v>247</v>
      </c>
      <c r="H288" s="3">
        <v>100</v>
      </c>
      <c r="I288" s="1">
        <f>COUNTA(ProductInfo[[#This Row],[P1]:[P15]])</f>
        <v>1</v>
      </c>
      <c r="J2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8" s="7" t="s">
        <v>13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s="1" customFormat="1">
      <c r="A289" s="8" t="s">
        <v>500</v>
      </c>
      <c r="B289" s="8" t="s">
        <v>500</v>
      </c>
      <c r="C289" s="1" t="str">
        <f>RIGHT(ProductInfo[[#This Row],[Drawing No]],1)</f>
        <v>0</v>
      </c>
      <c r="D289" s="179" t="s">
        <v>3242</v>
      </c>
      <c r="E289" s="18" t="s">
        <v>3559</v>
      </c>
      <c r="F28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89" s="3">
        <v>252</v>
      </c>
      <c r="H289" s="3">
        <v>100</v>
      </c>
      <c r="I289" s="1">
        <f>COUNTA(ProductInfo[[#This Row],[P1]:[P15]])</f>
        <v>1</v>
      </c>
      <c r="J2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89" s="7" t="s">
        <v>13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s="1" customFormat="1">
      <c r="A290" s="8" t="s">
        <v>501</v>
      </c>
      <c r="B290" s="8" t="s">
        <v>501</v>
      </c>
      <c r="C290" s="1" t="str">
        <f>RIGHT(ProductInfo[[#This Row],[Drawing No]],1)</f>
        <v>0</v>
      </c>
      <c r="D290" s="176" t="s">
        <v>2344</v>
      </c>
      <c r="E290" s="18" t="s">
        <v>3559</v>
      </c>
      <c r="F29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0" s="31"/>
      <c r="H290" s="31"/>
      <c r="I290" s="1">
        <f>COUNTA(ProductInfo[[#This Row],[P1]:[P15]])</f>
        <v>0</v>
      </c>
      <c r="J2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s="1" customFormat="1">
      <c r="A291" s="8" t="s">
        <v>502</v>
      </c>
      <c r="B291" s="8" t="s">
        <v>3600</v>
      </c>
      <c r="C291" s="1" t="str">
        <f>RIGHT(ProductInfo[[#This Row],[Drawing No]],1)</f>
        <v>2</v>
      </c>
      <c r="D291" s="176" t="s">
        <v>2345</v>
      </c>
      <c r="E291" s="18" t="s">
        <v>3559</v>
      </c>
      <c r="F29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1" s="59">
        <v>310</v>
      </c>
      <c r="H291" s="59"/>
      <c r="I291" s="1">
        <f>COUNTA(ProductInfo[[#This Row],[P1]:[P15]])</f>
        <v>2</v>
      </c>
      <c r="J2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1" s="7" t="s">
        <v>12</v>
      </c>
      <c r="M291" s="7" t="s">
        <v>13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s="1" customFormat="1">
      <c r="A292" s="8" t="s">
        <v>4580</v>
      </c>
      <c r="B292" s="8" t="s">
        <v>4579</v>
      </c>
      <c r="C292" s="2" t="str">
        <f>RIGHT(ProductInfo[[#This Row],[Drawing No]],1)</f>
        <v>3</v>
      </c>
      <c r="D292" s="176" t="s">
        <v>5760</v>
      </c>
      <c r="E292" s="18" t="s">
        <v>3559</v>
      </c>
      <c r="F29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2" s="59">
        <v>107</v>
      </c>
      <c r="H292" s="3">
        <v>100</v>
      </c>
      <c r="I292" s="1">
        <f>COUNTA(ProductInfo[[#This Row],[P1]:[P15]])</f>
        <v>2</v>
      </c>
      <c r="J2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2" s="7" t="s">
        <v>12</v>
      </c>
      <c r="M292" s="7" t="s">
        <v>13</v>
      </c>
      <c r="N292" s="4"/>
      <c r="O292" s="4"/>
      <c r="P292" s="7"/>
      <c r="Q292" s="4"/>
      <c r="R292" s="7"/>
      <c r="S292" s="4"/>
      <c r="T292" s="4"/>
      <c r="U292" s="4"/>
      <c r="V292" s="4"/>
      <c r="W292" s="4"/>
      <c r="X292" s="4"/>
      <c r="Y292" s="4"/>
      <c r="Z292" s="4"/>
    </row>
    <row r="293" spans="1:26" s="1" customFormat="1">
      <c r="A293" s="8" t="s">
        <v>4436</v>
      </c>
      <c r="B293" s="8" t="s">
        <v>4579</v>
      </c>
      <c r="C293" s="2" t="str">
        <f>RIGHT(ProductInfo[[#This Row],[Drawing No]],1)</f>
        <v>3</v>
      </c>
      <c r="D293" s="176" t="s">
        <v>5757</v>
      </c>
      <c r="E293" s="18" t="s">
        <v>3559</v>
      </c>
      <c r="F29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3" s="59">
        <v>117</v>
      </c>
      <c r="H293" s="3">
        <v>100</v>
      </c>
      <c r="I293" s="1">
        <f>COUNTA(ProductInfo[[#This Row],[P1]:[P15]])</f>
        <v>2</v>
      </c>
      <c r="J2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3" s="7" t="s">
        <v>12</v>
      </c>
      <c r="M293" s="7" t="s">
        <v>13</v>
      </c>
      <c r="N293" s="4"/>
      <c r="O293" s="4"/>
      <c r="P293" s="7"/>
      <c r="Q293" s="4"/>
      <c r="R293" s="7"/>
      <c r="S293" s="4"/>
      <c r="T293" s="4"/>
      <c r="U293" s="4"/>
      <c r="V293" s="4"/>
      <c r="W293" s="4"/>
      <c r="X293" s="4"/>
      <c r="Y293" s="4"/>
      <c r="Z293" s="4"/>
    </row>
    <row r="294" spans="1:26" s="1" customFormat="1">
      <c r="A294" s="8" t="s">
        <v>4557</v>
      </c>
      <c r="B294" s="8" t="s">
        <v>4579</v>
      </c>
      <c r="C294" s="2" t="str">
        <f>RIGHT(ProductInfo[[#This Row],[Drawing No]],1)</f>
        <v>3</v>
      </c>
      <c r="D294" s="176" t="s">
        <v>5758</v>
      </c>
      <c r="E294" s="18" t="s">
        <v>3559</v>
      </c>
      <c r="F29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4" s="59">
        <v>122</v>
      </c>
      <c r="H294" s="3">
        <v>100</v>
      </c>
      <c r="I294" s="1">
        <f>COUNTA(ProductInfo[[#This Row],[P1]:[P15]])</f>
        <v>2</v>
      </c>
      <c r="J2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4" s="7" t="s">
        <v>12</v>
      </c>
      <c r="M294" s="7" t="s">
        <v>13</v>
      </c>
      <c r="N294" s="4"/>
      <c r="O294" s="4"/>
      <c r="P294" s="7"/>
      <c r="Q294" s="4"/>
      <c r="R294" s="7"/>
      <c r="S294" s="4"/>
      <c r="T294" s="4"/>
      <c r="U294" s="4"/>
      <c r="V294" s="4"/>
      <c r="W294" s="4"/>
      <c r="X294" s="4"/>
      <c r="Y294" s="4"/>
      <c r="Z294" s="4"/>
    </row>
    <row r="295" spans="1:26" s="1" customFormat="1">
      <c r="A295" s="8" t="s">
        <v>4437</v>
      </c>
      <c r="B295" s="8" t="s">
        <v>4579</v>
      </c>
      <c r="C295" s="2" t="str">
        <f>RIGHT(ProductInfo[[#This Row],[Drawing No]],1)</f>
        <v>3</v>
      </c>
      <c r="D295" s="176" t="s">
        <v>5759</v>
      </c>
      <c r="E295" s="18" t="s">
        <v>3559</v>
      </c>
      <c r="F29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5" s="59">
        <v>162</v>
      </c>
      <c r="H295" s="3">
        <v>100</v>
      </c>
      <c r="I295" s="1">
        <f>COUNTA(ProductInfo[[#This Row],[P1]:[P15]])</f>
        <v>2</v>
      </c>
      <c r="J2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5" s="7" t="s">
        <v>12</v>
      </c>
      <c r="M295" s="7" t="s">
        <v>13</v>
      </c>
      <c r="N295" s="4"/>
      <c r="O295" s="4"/>
      <c r="P295" s="7"/>
      <c r="Q295" s="4"/>
      <c r="R295" s="7"/>
      <c r="S295" s="4"/>
      <c r="T295" s="4"/>
      <c r="U295" s="4"/>
      <c r="V295" s="4"/>
      <c r="W295" s="4"/>
      <c r="X295" s="4"/>
      <c r="Y295" s="4"/>
      <c r="Z295" s="4"/>
    </row>
    <row r="296" spans="1:26" s="1" customFormat="1">
      <c r="A296" s="8" t="s">
        <v>503</v>
      </c>
      <c r="B296" s="8" t="s">
        <v>3310</v>
      </c>
      <c r="C296" s="1" t="str">
        <f>RIGHT(ProductInfo[[#This Row],[Drawing No]],1)</f>
        <v>0</v>
      </c>
      <c r="D296" s="179" t="s">
        <v>5762</v>
      </c>
      <c r="E296" s="18" t="s">
        <v>3559</v>
      </c>
      <c r="F29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6" s="3">
        <v>142</v>
      </c>
      <c r="H296" s="3">
        <v>100</v>
      </c>
      <c r="I296" s="1">
        <f>COUNTA(ProductInfo[[#This Row],[P1]:[P15]])</f>
        <v>2</v>
      </c>
      <c r="J2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6" s="7" t="s">
        <v>12</v>
      </c>
      <c r="M296" s="7" t="s">
        <v>13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s="1" customFormat="1">
      <c r="A297" s="8" t="s">
        <v>505</v>
      </c>
      <c r="B297" s="8" t="s">
        <v>3310</v>
      </c>
      <c r="C297" s="1" t="str">
        <f>RIGHT(ProductInfo[[#This Row],[Drawing No]],1)</f>
        <v>0</v>
      </c>
      <c r="D297" s="175" t="s">
        <v>5763</v>
      </c>
      <c r="E297" s="18" t="s">
        <v>3559</v>
      </c>
      <c r="F297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7" s="2">
        <v>147</v>
      </c>
      <c r="H297" s="3">
        <v>100</v>
      </c>
      <c r="I297" s="1">
        <f>COUNTA(ProductInfo[[#This Row],[P1]:[P15]])</f>
        <v>2</v>
      </c>
      <c r="J2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7" s="7" t="s">
        <v>12</v>
      </c>
      <c r="M297" s="7" t="s">
        <v>13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s="1" customFormat="1">
      <c r="A298" s="8" t="s">
        <v>506</v>
      </c>
      <c r="B298" s="8" t="s">
        <v>3310</v>
      </c>
      <c r="C298" s="1" t="str">
        <f>RIGHT(ProductInfo[[#This Row],[Drawing No]],1)</f>
        <v>0</v>
      </c>
      <c r="D298" s="179" t="s">
        <v>5764</v>
      </c>
      <c r="E298" s="18" t="s">
        <v>3559</v>
      </c>
      <c r="F29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8" s="3">
        <v>152</v>
      </c>
      <c r="H298" s="3">
        <v>100</v>
      </c>
      <c r="I298" s="1">
        <f>COUNTA(ProductInfo[[#This Row],[P1]:[P15]])</f>
        <v>2</v>
      </c>
      <c r="J2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8" s="7" t="s">
        <v>12</v>
      </c>
      <c r="M298" s="7" t="s">
        <v>13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s="1" customFormat="1">
      <c r="A299" s="8" t="s">
        <v>508</v>
      </c>
      <c r="B299" s="8" t="s">
        <v>3310</v>
      </c>
      <c r="C299" s="1" t="str">
        <f>RIGHT(ProductInfo[[#This Row],[Drawing No]],1)</f>
        <v>0</v>
      </c>
      <c r="D299" s="179" t="s">
        <v>5765</v>
      </c>
      <c r="E299" s="18" t="s">
        <v>3559</v>
      </c>
      <c r="F299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99" s="3">
        <v>157</v>
      </c>
      <c r="H299" s="3">
        <v>100</v>
      </c>
      <c r="I299" s="1">
        <f>COUNTA(ProductInfo[[#This Row],[P1]:[P15]])</f>
        <v>2</v>
      </c>
      <c r="J2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99" s="7" t="s">
        <v>12</v>
      </c>
      <c r="M299" s="7" t="s">
        <v>13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s="1" customFormat="1">
      <c r="A300" s="8" t="s">
        <v>510</v>
      </c>
      <c r="B300" s="8" t="s">
        <v>3310</v>
      </c>
      <c r="C300" s="1" t="str">
        <f>RIGHT(ProductInfo[[#This Row],[Drawing No]],1)</f>
        <v>0</v>
      </c>
      <c r="D300" s="179" t="s">
        <v>5766</v>
      </c>
      <c r="E300" s="18" t="s">
        <v>3559</v>
      </c>
      <c r="F30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0" s="3">
        <v>162</v>
      </c>
      <c r="H300" s="3">
        <v>100</v>
      </c>
      <c r="I300" s="1">
        <f>COUNTA(ProductInfo[[#This Row],[P1]:[P15]])</f>
        <v>2</v>
      </c>
      <c r="J3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0" s="7" t="s">
        <v>12</v>
      </c>
      <c r="M300" s="7" t="s">
        <v>13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s="1" customFormat="1">
      <c r="A301" s="8" t="s">
        <v>512</v>
      </c>
      <c r="B301" s="8" t="s">
        <v>3310</v>
      </c>
      <c r="C301" s="1" t="str">
        <f>RIGHT(ProductInfo[[#This Row],[Drawing No]],1)</f>
        <v>0</v>
      </c>
      <c r="D301" s="179" t="s">
        <v>5767</v>
      </c>
      <c r="E301" s="18" t="s">
        <v>3559</v>
      </c>
      <c r="F30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1" s="3">
        <v>167</v>
      </c>
      <c r="H301" s="3">
        <v>100</v>
      </c>
      <c r="I301" s="1">
        <f>COUNTA(ProductInfo[[#This Row],[P1]:[P15]])</f>
        <v>2</v>
      </c>
      <c r="J3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1" s="7" t="s">
        <v>12</v>
      </c>
      <c r="M301" s="7" t="s">
        <v>13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s="1" customFormat="1">
      <c r="A302" s="8" t="s">
        <v>514</v>
      </c>
      <c r="B302" s="8" t="s">
        <v>3310</v>
      </c>
      <c r="C302" s="1" t="str">
        <f>RIGHT(ProductInfo[[#This Row],[Drawing No]],1)</f>
        <v>0</v>
      </c>
      <c r="D302" s="179" t="s">
        <v>5768</v>
      </c>
      <c r="E302" s="18" t="s">
        <v>3559</v>
      </c>
      <c r="F302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2" s="3">
        <v>172</v>
      </c>
      <c r="H302" s="3">
        <v>100</v>
      </c>
      <c r="I302" s="1">
        <f>COUNTA(ProductInfo[[#This Row],[P1]:[P15]])</f>
        <v>2</v>
      </c>
      <c r="J3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2" s="7" t="s">
        <v>12</v>
      </c>
      <c r="M302" s="7" t="s">
        <v>13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s="1" customFormat="1">
      <c r="A303" s="8" t="s">
        <v>516</v>
      </c>
      <c r="B303" s="8" t="s">
        <v>3310</v>
      </c>
      <c r="C303" s="1" t="str">
        <f>RIGHT(ProductInfo[[#This Row],[Drawing No]],1)</f>
        <v>0</v>
      </c>
      <c r="D303" s="179" t="s">
        <v>5769</v>
      </c>
      <c r="E303" s="18" t="s">
        <v>3559</v>
      </c>
      <c r="F303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3" s="3">
        <v>177</v>
      </c>
      <c r="H303" s="3">
        <v>100</v>
      </c>
      <c r="I303" s="1">
        <f>COUNTA(ProductInfo[[#This Row],[P1]:[P15]])</f>
        <v>2</v>
      </c>
      <c r="J3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3" s="7" t="s">
        <v>12</v>
      </c>
      <c r="M303" s="7" t="s">
        <v>13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s="1" customFormat="1">
      <c r="A304" s="8" t="s">
        <v>518</v>
      </c>
      <c r="B304" s="8" t="s">
        <v>3310</v>
      </c>
      <c r="C304" s="1" t="str">
        <f>RIGHT(ProductInfo[[#This Row],[Drawing No]],1)</f>
        <v>0</v>
      </c>
      <c r="D304" s="179" t="s">
        <v>5770</v>
      </c>
      <c r="E304" s="18" t="s">
        <v>3559</v>
      </c>
      <c r="F30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4" s="3">
        <v>182</v>
      </c>
      <c r="H304" s="3">
        <v>100</v>
      </c>
      <c r="I304" s="1">
        <f>COUNTA(ProductInfo[[#This Row],[P1]:[P15]])</f>
        <v>2</v>
      </c>
      <c r="J3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4" s="7" t="s">
        <v>12</v>
      </c>
      <c r="M304" s="7" t="s">
        <v>13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s="1" customFormat="1">
      <c r="A305" s="8" t="s">
        <v>520</v>
      </c>
      <c r="B305" s="8" t="s">
        <v>3310</v>
      </c>
      <c r="C305" s="1" t="str">
        <f>RIGHT(ProductInfo[[#This Row],[Drawing No]],1)</f>
        <v>0</v>
      </c>
      <c r="D305" s="179" t="s">
        <v>5771</v>
      </c>
      <c r="E305" s="18" t="s">
        <v>3559</v>
      </c>
      <c r="F30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5" s="3">
        <v>202</v>
      </c>
      <c r="H305" s="3">
        <v>100</v>
      </c>
      <c r="I305" s="1">
        <f>COUNTA(ProductInfo[[#This Row],[P1]:[P15]])</f>
        <v>2</v>
      </c>
      <c r="J3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5" s="7" t="s">
        <v>12</v>
      </c>
      <c r="M305" s="7" t="s">
        <v>13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s="1" customFormat="1">
      <c r="A306" s="8" t="s">
        <v>522</v>
      </c>
      <c r="B306" s="8" t="s">
        <v>3310</v>
      </c>
      <c r="C306" s="2" t="str">
        <f>RIGHT(ProductInfo[[#This Row],[Drawing No]],1)</f>
        <v>0</v>
      </c>
      <c r="D306" s="179" t="s">
        <v>5761</v>
      </c>
      <c r="E306" s="18" t="s">
        <v>3559</v>
      </c>
      <c r="F30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6" s="2">
        <v>207</v>
      </c>
      <c r="H306" s="3">
        <v>100</v>
      </c>
      <c r="I306" s="1">
        <f>COUNTA(ProductInfo[[#This Row],[P1]:[P15]])</f>
        <v>2</v>
      </c>
      <c r="J3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6" s="7" t="s">
        <v>12</v>
      </c>
      <c r="M306" s="7" t="s">
        <v>13</v>
      </c>
      <c r="N306" s="4"/>
      <c r="O306" s="4"/>
      <c r="P306" s="7"/>
      <c r="Q306" s="7"/>
      <c r="R306" s="7"/>
      <c r="S306" s="4"/>
      <c r="T306" s="4"/>
      <c r="U306" s="4"/>
      <c r="V306" s="4"/>
      <c r="W306" s="4"/>
      <c r="X306" s="4"/>
      <c r="Y306" s="4"/>
      <c r="Z306" s="4"/>
    </row>
    <row r="307" spans="1:26" s="1" customFormat="1">
      <c r="A307" s="8" t="s">
        <v>523</v>
      </c>
      <c r="B307" s="8" t="s">
        <v>3802</v>
      </c>
      <c r="C307" s="1" t="str">
        <f>RIGHT(ProductInfo[[#This Row],[Drawing No]],1)</f>
        <v>2</v>
      </c>
      <c r="D307" s="179" t="s">
        <v>524</v>
      </c>
      <c r="E307" s="18" t="s">
        <v>3559</v>
      </c>
      <c r="F307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7" s="3">
        <v>147</v>
      </c>
      <c r="H307" s="3">
        <v>100</v>
      </c>
      <c r="I307" s="1">
        <f>COUNTA(ProductInfo[[#This Row],[P1]:[P15]])</f>
        <v>1</v>
      </c>
      <c r="J3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3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7" s="7" t="s">
        <v>13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s="1" customFormat="1">
      <c r="A308" s="8" t="s">
        <v>4878</v>
      </c>
      <c r="B308" s="8" t="s">
        <v>4877</v>
      </c>
      <c r="C308" s="1" t="str">
        <f>RIGHT(ProductInfo[[#This Row],[Drawing No]],1)</f>
        <v>0</v>
      </c>
      <c r="D308" s="179" t="s">
        <v>5772</v>
      </c>
      <c r="E308" s="18" t="s">
        <v>3559</v>
      </c>
      <c r="F308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8" s="3">
        <v>147</v>
      </c>
      <c r="H308" s="3">
        <v>100</v>
      </c>
      <c r="I308" s="1">
        <f>COUNTA(ProductInfo[[#This Row],[P1]:[P15]])</f>
        <v>1</v>
      </c>
      <c r="J3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3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8" s="7" t="s">
        <v>13</v>
      </c>
      <c r="M308" s="4"/>
      <c r="N308" s="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s="1" customFormat="1">
      <c r="A309" s="8" t="s">
        <v>525</v>
      </c>
      <c r="B309" s="8" t="s">
        <v>525</v>
      </c>
      <c r="C309" s="1" t="str">
        <f>RIGHT(ProductInfo[[#This Row],[Drawing No]],1)</f>
        <v>0</v>
      </c>
      <c r="D309" s="175" t="s">
        <v>3144</v>
      </c>
      <c r="E309" s="18" t="s">
        <v>3559</v>
      </c>
      <c r="F309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09" s="4"/>
      <c r="H309" s="3">
        <v>100</v>
      </c>
      <c r="I309" s="1">
        <f>COUNTA(ProductInfo[[#This Row],[P1]:[P15]])</f>
        <v>0</v>
      </c>
      <c r="J3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09" s="7"/>
      <c r="M309" s="7"/>
      <c r="N309" s="7"/>
      <c r="O309" s="4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s="1" customFormat="1">
      <c r="A310" s="8" t="s">
        <v>526</v>
      </c>
      <c r="B310" s="8" t="s">
        <v>3802</v>
      </c>
      <c r="C310" s="1" t="str">
        <f>RIGHT(ProductInfo[[#This Row],[Drawing No]],1)</f>
        <v>2</v>
      </c>
      <c r="D310" s="179" t="s">
        <v>4753</v>
      </c>
      <c r="E310" s="18" t="s">
        <v>3559</v>
      </c>
      <c r="F31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0" s="3">
        <v>157</v>
      </c>
      <c r="H310" s="3">
        <v>100</v>
      </c>
      <c r="I310" s="1">
        <f>COUNTA(ProductInfo[[#This Row],[P1]:[P15]])</f>
        <v>2</v>
      </c>
      <c r="J3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0" s="7" t="s">
        <v>12</v>
      </c>
      <c r="M310" s="7" t="s">
        <v>13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s="1" customFormat="1">
      <c r="A311" s="8" t="s">
        <v>4879</v>
      </c>
      <c r="B311" s="8" t="s">
        <v>4877</v>
      </c>
      <c r="C311" s="1" t="str">
        <f>RIGHT(ProductInfo[[#This Row],[Drawing No]],1)</f>
        <v>0</v>
      </c>
      <c r="D311" s="179" t="s">
        <v>5773</v>
      </c>
      <c r="E311" s="18" t="s">
        <v>3559</v>
      </c>
      <c r="F31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1" s="3">
        <v>157</v>
      </c>
      <c r="H311" s="3">
        <v>100</v>
      </c>
      <c r="I311" s="1">
        <f>COUNTA(ProductInfo[[#This Row],[P1]:[P15]])</f>
        <v>2</v>
      </c>
      <c r="J3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1" s="7" t="s">
        <v>12</v>
      </c>
      <c r="M311" s="7" t="s">
        <v>13</v>
      </c>
      <c r="N311" s="4"/>
      <c r="O311" s="4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s="1" customFormat="1">
      <c r="A312" s="8" t="s">
        <v>527</v>
      </c>
      <c r="B312" s="8" t="s">
        <v>527</v>
      </c>
      <c r="C312" s="1" t="str">
        <f>RIGHT(ProductInfo[[#This Row],[Drawing No]],1)</f>
        <v>0</v>
      </c>
      <c r="D312" s="175" t="s">
        <v>3145</v>
      </c>
      <c r="E312" s="18" t="s">
        <v>3559</v>
      </c>
      <c r="F312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2" s="4"/>
      <c r="H312" s="3">
        <v>100</v>
      </c>
      <c r="I312" s="1">
        <f>COUNTA(ProductInfo[[#This Row],[P1]:[P15]])</f>
        <v>0</v>
      </c>
      <c r="J3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s="1" customFormat="1">
      <c r="A313" s="8" t="s">
        <v>528</v>
      </c>
      <c r="B313" s="8" t="s">
        <v>528</v>
      </c>
      <c r="C313" s="1" t="str">
        <f>RIGHT(ProductInfo[[#This Row],[Drawing No]],1)</f>
        <v>1</v>
      </c>
      <c r="D313" s="175" t="s">
        <v>3146</v>
      </c>
      <c r="E313" s="18" t="s">
        <v>3559</v>
      </c>
      <c r="F313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3" s="4"/>
      <c r="H313" s="3">
        <v>100</v>
      </c>
      <c r="I313" s="1">
        <f>COUNTA(ProductInfo[[#This Row],[P1]:[P15]])</f>
        <v>0</v>
      </c>
      <c r="J3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s="1" customFormat="1">
      <c r="A314" s="8" t="s">
        <v>529</v>
      </c>
      <c r="B314" s="8" t="s">
        <v>3802</v>
      </c>
      <c r="C314" s="1" t="str">
        <f>RIGHT(ProductInfo[[#This Row],[Drawing No]],1)</f>
        <v>2</v>
      </c>
      <c r="D314" s="179" t="s">
        <v>4754</v>
      </c>
      <c r="E314" s="18" t="s">
        <v>3559</v>
      </c>
      <c r="F314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4" s="3">
        <v>162</v>
      </c>
      <c r="H314" s="3">
        <v>100</v>
      </c>
      <c r="I314" s="1">
        <f>COUNTA(ProductInfo[[#This Row],[P1]:[P15]])</f>
        <v>2</v>
      </c>
      <c r="J3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4" s="7" t="s">
        <v>12</v>
      </c>
      <c r="M314" s="7" t="s">
        <v>13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s="1" customFormat="1">
      <c r="A315" s="8" t="s">
        <v>4880</v>
      </c>
      <c r="B315" s="8" t="s">
        <v>4877</v>
      </c>
      <c r="C315" s="1" t="str">
        <f>RIGHT(ProductInfo[[#This Row],[Drawing No]],1)</f>
        <v>0</v>
      </c>
      <c r="D315" s="179" t="s">
        <v>5774</v>
      </c>
      <c r="E315" s="18" t="s">
        <v>3559</v>
      </c>
      <c r="F31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5" s="3">
        <v>162</v>
      </c>
      <c r="H315" s="3">
        <v>100</v>
      </c>
      <c r="I315" s="1">
        <f>COUNTA(ProductInfo[[#This Row],[P1]:[P15]])</f>
        <v>2</v>
      </c>
      <c r="J3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5" s="7" t="s">
        <v>12</v>
      </c>
      <c r="M315" s="7" t="s">
        <v>13</v>
      </c>
      <c r="N315" s="4"/>
      <c r="O315" s="4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s="1" customFormat="1">
      <c r="A316" s="8" t="s">
        <v>3712</v>
      </c>
      <c r="B316" s="8" t="s">
        <v>3802</v>
      </c>
      <c r="C316" s="2" t="str">
        <f>RIGHT(ProductInfo[[#This Row],[Drawing No]],1)</f>
        <v>2</v>
      </c>
      <c r="D316" s="179" t="s">
        <v>4755</v>
      </c>
      <c r="E316" s="18" t="s">
        <v>3559</v>
      </c>
      <c r="F31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6" s="59">
        <v>167</v>
      </c>
      <c r="H316" s="3">
        <v>100</v>
      </c>
      <c r="I316" s="1">
        <f>COUNTA(ProductInfo[[#This Row],[P1]:[P15]])</f>
        <v>2</v>
      </c>
      <c r="J3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6" s="7" t="s">
        <v>12</v>
      </c>
      <c r="M316" s="7" t="s">
        <v>13</v>
      </c>
      <c r="N316" s="4"/>
      <c r="O316" s="4"/>
      <c r="P316" s="7"/>
      <c r="Q316" s="4"/>
      <c r="R316" s="7"/>
      <c r="S316" s="4"/>
      <c r="T316" s="7"/>
      <c r="U316" s="7"/>
      <c r="V316" s="7"/>
      <c r="W316" s="7"/>
      <c r="X316" s="7"/>
      <c r="Y316" s="7"/>
      <c r="Z316" s="7"/>
    </row>
    <row r="317" spans="1:26" s="1" customFormat="1">
      <c r="A317" s="8" t="s">
        <v>4881</v>
      </c>
      <c r="B317" s="8" t="s">
        <v>4877</v>
      </c>
      <c r="C317" s="2" t="str">
        <f>RIGHT(ProductInfo[[#This Row],[Drawing No]],1)</f>
        <v>0</v>
      </c>
      <c r="D317" s="179" t="s">
        <v>5775</v>
      </c>
      <c r="E317" s="18" t="s">
        <v>3559</v>
      </c>
      <c r="F317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7" s="59">
        <v>167</v>
      </c>
      <c r="H317" s="3">
        <v>100</v>
      </c>
      <c r="I317" s="1">
        <f>COUNTA(ProductInfo[[#This Row],[P1]:[P15]])</f>
        <v>2</v>
      </c>
      <c r="J3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7" s="7" t="s">
        <v>12</v>
      </c>
      <c r="M317" s="7" t="s">
        <v>13</v>
      </c>
      <c r="N317" s="4"/>
      <c r="O317" s="4"/>
      <c r="P317" s="7"/>
      <c r="Q317" s="4"/>
      <c r="R317" s="7"/>
      <c r="S317" s="4"/>
      <c r="T317" s="7"/>
      <c r="U317" s="7"/>
      <c r="V317" s="7"/>
      <c r="W317" s="7"/>
      <c r="X317" s="7"/>
      <c r="Y317" s="7"/>
      <c r="Z317" s="7"/>
    </row>
    <row r="318" spans="1:26" s="1" customFormat="1">
      <c r="A318" s="8" t="s">
        <v>530</v>
      </c>
      <c r="B318" s="8" t="s">
        <v>530</v>
      </c>
      <c r="C318" s="1" t="str">
        <f>RIGHT(ProductInfo[[#This Row],[Drawing No]],1)</f>
        <v>0</v>
      </c>
      <c r="D318" s="175" t="s">
        <v>3147</v>
      </c>
      <c r="E318" s="18" t="s">
        <v>3559</v>
      </c>
      <c r="F318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8" s="4"/>
      <c r="H318" s="3">
        <v>100</v>
      </c>
      <c r="I318" s="1">
        <f>COUNTA(ProductInfo[[#This Row],[P1]:[P15]])</f>
        <v>0</v>
      </c>
      <c r="J3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s="1" customFormat="1">
      <c r="A319" s="8" t="s">
        <v>531</v>
      </c>
      <c r="B319" s="8" t="s">
        <v>531</v>
      </c>
      <c r="C319" s="1" t="str">
        <f>RIGHT(ProductInfo[[#This Row],[Drawing No]],1)</f>
        <v>1</v>
      </c>
      <c r="D319" s="175" t="s">
        <v>3148</v>
      </c>
      <c r="E319" s="18" t="s">
        <v>3559</v>
      </c>
      <c r="F319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19" s="4"/>
      <c r="H319" s="3">
        <v>100</v>
      </c>
      <c r="I319" s="1">
        <f>COUNTA(ProductInfo[[#This Row],[P1]:[P15]])</f>
        <v>0</v>
      </c>
      <c r="J3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s="1" customFormat="1">
      <c r="A320" s="8" t="s">
        <v>532</v>
      </c>
      <c r="B320" s="8" t="s">
        <v>3802</v>
      </c>
      <c r="C320" s="1" t="str">
        <f>RIGHT(ProductInfo[[#This Row],[Drawing No]],1)</f>
        <v>2</v>
      </c>
      <c r="D320" s="179" t="s">
        <v>533</v>
      </c>
      <c r="E320" s="18" t="s">
        <v>3559</v>
      </c>
      <c r="F320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0" s="3">
        <v>172</v>
      </c>
      <c r="H320" s="3">
        <v>100</v>
      </c>
      <c r="I320" s="1">
        <f>COUNTA(ProductInfo[[#This Row],[P1]:[P15]])</f>
        <v>2</v>
      </c>
      <c r="J3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0" s="7" t="s">
        <v>12</v>
      </c>
      <c r="M320" s="7" t="s">
        <v>13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s="1" customFormat="1">
      <c r="A321" s="8" t="s">
        <v>4882</v>
      </c>
      <c r="B321" s="8" t="s">
        <v>4877</v>
      </c>
      <c r="C321" s="1" t="str">
        <f>RIGHT(ProductInfo[[#This Row],[Drawing No]],1)</f>
        <v>0</v>
      </c>
      <c r="D321" s="179" t="s">
        <v>5776</v>
      </c>
      <c r="E321" s="18" t="s">
        <v>3559</v>
      </c>
      <c r="F321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1" s="3">
        <v>172</v>
      </c>
      <c r="H321" s="3">
        <v>100</v>
      </c>
      <c r="I321" s="1">
        <f>COUNTA(ProductInfo[[#This Row],[P1]:[P15]])</f>
        <v>2</v>
      </c>
      <c r="J3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1" s="7" t="s">
        <v>12</v>
      </c>
      <c r="M321" s="7" t="s">
        <v>13</v>
      </c>
      <c r="N321" s="4"/>
      <c r="O321" s="4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s="1" customFormat="1">
      <c r="A322" s="8" t="s">
        <v>534</v>
      </c>
      <c r="B322" s="8" t="s">
        <v>534</v>
      </c>
      <c r="C322" s="1" t="str">
        <f>RIGHT(ProductInfo[[#This Row],[Drawing No]],1)</f>
        <v>1</v>
      </c>
      <c r="D322" s="175" t="s">
        <v>3243</v>
      </c>
      <c r="E322" s="18" t="s">
        <v>3559</v>
      </c>
      <c r="F322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2" s="4"/>
      <c r="H322" s="3">
        <v>100</v>
      </c>
      <c r="I322" s="1">
        <f>COUNTA(ProductInfo[[#This Row],[P1]:[P15]])</f>
        <v>0</v>
      </c>
      <c r="J3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s="1" customFormat="1">
      <c r="A323" s="8" t="s">
        <v>535</v>
      </c>
      <c r="B323" s="8" t="s">
        <v>535</v>
      </c>
      <c r="C323" s="1" t="str">
        <f>RIGHT(ProductInfo[[#This Row],[Drawing No]],1)</f>
        <v>0</v>
      </c>
      <c r="D323" s="175" t="s">
        <v>3149</v>
      </c>
      <c r="E323" s="18" t="s">
        <v>3559</v>
      </c>
      <c r="F323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3" s="4"/>
      <c r="H323" s="3">
        <v>100</v>
      </c>
      <c r="I323" s="1">
        <f>COUNTA(ProductInfo[[#This Row],[P1]:[P15]])</f>
        <v>0</v>
      </c>
      <c r="J3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s="1" customFormat="1">
      <c r="A324" s="8" t="s">
        <v>536</v>
      </c>
      <c r="B324" s="8" t="s">
        <v>536</v>
      </c>
      <c r="C324" s="1" t="str">
        <f>RIGHT(ProductInfo[[#This Row],[Drawing No]],1)</f>
        <v>1</v>
      </c>
      <c r="D324" s="175" t="s">
        <v>3150</v>
      </c>
      <c r="E324" s="18" t="s">
        <v>3559</v>
      </c>
      <c r="F324" s="22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4" s="4"/>
      <c r="H324" s="3">
        <v>100</v>
      </c>
      <c r="I324" s="1">
        <f>COUNTA(ProductInfo[[#This Row],[P1]:[P15]])</f>
        <v>0</v>
      </c>
      <c r="J3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s="1" customFormat="1">
      <c r="A325" s="8" t="s">
        <v>537</v>
      </c>
      <c r="B325" s="8" t="s">
        <v>3802</v>
      </c>
      <c r="C325" s="1" t="str">
        <f>RIGHT(ProductInfo[[#This Row],[Drawing No]],1)</f>
        <v>2</v>
      </c>
      <c r="D325" s="179" t="s">
        <v>4756</v>
      </c>
      <c r="E325" s="18" t="s">
        <v>3559</v>
      </c>
      <c r="F325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5" s="3">
        <v>182</v>
      </c>
      <c r="H325" s="3">
        <v>100</v>
      </c>
      <c r="I325" s="1">
        <f>COUNTA(ProductInfo[[#This Row],[P1]:[P15]])</f>
        <v>2</v>
      </c>
      <c r="J3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5" s="7" t="s">
        <v>12</v>
      </c>
      <c r="M325" s="7" t="s">
        <v>13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s="1" customFormat="1">
      <c r="A326" s="8" t="s">
        <v>4884</v>
      </c>
      <c r="B326" s="8" t="s">
        <v>4877</v>
      </c>
      <c r="C326" s="1" t="str">
        <f>RIGHT(ProductInfo[[#This Row],[Drawing No]],1)</f>
        <v>0</v>
      </c>
      <c r="D326" s="179" t="s">
        <v>5777</v>
      </c>
      <c r="E326" s="18" t="s">
        <v>3559</v>
      </c>
      <c r="F32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6" s="3">
        <v>182</v>
      </c>
      <c r="H326" s="3">
        <v>100</v>
      </c>
      <c r="I326" s="1">
        <f>COUNTA(ProductInfo[[#This Row],[P1]:[P15]])</f>
        <v>2</v>
      </c>
      <c r="J3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6" s="7" t="s">
        <v>12</v>
      </c>
      <c r="M326" s="7" t="s">
        <v>13</v>
      </c>
      <c r="N326" s="4"/>
      <c r="O326" s="4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s="1" customFormat="1">
      <c r="A327" s="8" t="s">
        <v>4583</v>
      </c>
      <c r="B327" s="8" t="s">
        <v>6293</v>
      </c>
      <c r="C327" s="2" t="str">
        <f>RIGHT(ProductInfo[[#This Row],[Drawing No]],1)</f>
        <v>0</v>
      </c>
      <c r="D327" s="176" t="s">
        <v>5778</v>
      </c>
      <c r="E327" s="18" t="s">
        <v>3559</v>
      </c>
      <c r="F327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7" s="59">
        <v>87</v>
      </c>
      <c r="H327" s="3">
        <v>100</v>
      </c>
      <c r="I327" s="1">
        <f>COUNTA(ProductInfo[[#This Row],[P1]:[P15]])</f>
        <v>2</v>
      </c>
      <c r="J3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7" s="7" t="s">
        <v>12</v>
      </c>
      <c r="M327" s="7" t="s">
        <v>13</v>
      </c>
      <c r="N327" s="4"/>
      <c r="O327" s="4"/>
      <c r="P327" s="7"/>
      <c r="Q327" s="7"/>
      <c r="R327" s="4"/>
      <c r="S327" s="4"/>
      <c r="T327" s="4"/>
      <c r="U327" s="4"/>
      <c r="V327" s="4"/>
      <c r="W327" s="4"/>
      <c r="X327" s="4"/>
      <c r="Y327" s="4"/>
      <c r="Z327" s="4"/>
    </row>
    <row r="328" spans="1:26" s="1" customFormat="1">
      <c r="A328" s="8" t="s">
        <v>4584</v>
      </c>
      <c r="B328" s="8" t="s">
        <v>6293</v>
      </c>
      <c r="C328" s="2" t="str">
        <f>RIGHT(ProductInfo[[#This Row],[Drawing No]],1)</f>
        <v>0</v>
      </c>
      <c r="D328" s="176" t="s">
        <v>5779</v>
      </c>
      <c r="E328" s="18" t="s">
        <v>3559</v>
      </c>
      <c r="F328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8" s="59">
        <v>92</v>
      </c>
      <c r="H328" s="3">
        <v>100</v>
      </c>
      <c r="I328" s="1">
        <f>COUNTA(ProductInfo[[#This Row],[P1]:[P15]])</f>
        <v>2</v>
      </c>
      <c r="J3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8" s="7" t="s">
        <v>12</v>
      </c>
      <c r="M328" s="7" t="s">
        <v>13</v>
      </c>
      <c r="N328" s="4"/>
      <c r="O328" s="4"/>
      <c r="P328" s="7"/>
      <c r="Q328" s="7"/>
      <c r="R328" s="4"/>
      <c r="S328" s="4"/>
      <c r="T328" s="4"/>
      <c r="U328" s="4"/>
      <c r="V328" s="4"/>
      <c r="W328" s="4"/>
      <c r="X328" s="4"/>
      <c r="Y328" s="4"/>
      <c r="Z328" s="4"/>
    </row>
    <row r="329" spans="1:26" s="1" customFormat="1">
      <c r="A329" s="8" t="s">
        <v>4582</v>
      </c>
      <c r="B329" s="8" t="s">
        <v>6293</v>
      </c>
      <c r="C329" s="2" t="str">
        <f>RIGHT(ProductInfo[[#This Row],[Drawing No]],1)</f>
        <v>0</v>
      </c>
      <c r="D329" s="176" t="s">
        <v>5780</v>
      </c>
      <c r="E329" s="18" t="s">
        <v>3559</v>
      </c>
      <c r="F329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29" s="59">
        <v>102</v>
      </c>
      <c r="H329" s="3">
        <v>100</v>
      </c>
      <c r="I329" s="1">
        <f>COUNTA(ProductInfo[[#This Row],[P1]:[P15]])</f>
        <v>2</v>
      </c>
      <c r="J3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29" s="7" t="s">
        <v>12</v>
      </c>
      <c r="M329" s="7" t="s">
        <v>13</v>
      </c>
      <c r="N329" s="4"/>
      <c r="O329" s="4"/>
      <c r="P329" s="7"/>
      <c r="Q329" s="7"/>
      <c r="R329" s="4"/>
      <c r="S329" s="4"/>
      <c r="T329" s="4"/>
      <c r="U329" s="4"/>
      <c r="V329" s="4"/>
      <c r="W329" s="4"/>
      <c r="X329" s="4"/>
      <c r="Y329" s="4"/>
      <c r="Z329" s="4"/>
    </row>
    <row r="330" spans="1:26" s="1" customFormat="1">
      <c r="A330" s="8" t="s">
        <v>4615</v>
      </c>
      <c r="B330" s="8" t="s">
        <v>6293</v>
      </c>
      <c r="C330" s="2" t="str">
        <f>RIGHT(ProductInfo[[#This Row],[Drawing No]],1)</f>
        <v>0</v>
      </c>
      <c r="D330" s="176" t="s">
        <v>5783</v>
      </c>
      <c r="E330" s="18" t="s">
        <v>3559</v>
      </c>
      <c r="F33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30" s="59">
        <v>107</v>
      </c>
      <c r="H330" s="3">
        <v>100</v>
      </c>
      <c r="I330" s="1">
        <f>COUNTA(ProductInfo[[#This Row],[P1]:[P15]])</f>
        <v>2</v>
      </c>
      <c r="J3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0" s="4" t="s">
        <v>12</v>
      </c>
      <c r="M330" s="4" t="s">
        <v>13</v>
      </c>
      <c r="N330" s="4"/>
      <c r="O330" s="4"/>
      <c r="P330" s="7"/>
      <c r="Q330" s="7"/>
      <c r="R330" s="4"/>
      <c r="S330" s="4"/>
      <c r="T330" s="4"/>
      <c r="U330" s="4"/>
      <c r="V330" s="4"/>
      <c r="W330" s="4"/>
      <c r="X330" s="4"/>
      <c r="Y330" s="4"/>
      <c r="Z330" s="4"/>
    </row>
    <row r="331" spans="1:26" s="1" customFormat="1">
      <c r="A331" s="8" t="s">
        <v>4586</v>
      </c>
      <c r="B331" s="8" t="s">
        <v>6293</v>
      </c>
      <c r="C331" s="2" t="str">
        <f>RIGHT(ProductInfo[[#This Row],[Drawing No]],1)</f>
        <v>0</v>
      </c>
      <c r="D331" s="176" t="s">
        <v>5781</v>
      </c>
      <c r="E331" s="18" t="s">
        <v>3559</v>
      </c>
      <c r="F33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31" s="59">
        <v>112</v>
      </c>
      <c r="H331" s="3">
        <v>100</v>
      </c>
      <c r="I331" s="1">
        <f>COUNTA(ProductInfo[[#This Row],[P1]:[P15]])</f>
        <v>2</v>
      </c>
      <c r="J3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1" s="7" t="s">
        <v>12</v>
      </c>
      <c r="M331" s="7" t="s">
        <v>13</v>
      </c>
      <c r="N331" s="4"/>
      <c r="O331" s="4"/>
      <c r="P331" s="7"/>
      <c r="Q331" s="7"/>
      <c r="R331" s="4"/>
      <c r="S331" s="4"/>
      <c r="T331" s="4"/>
      <c r="U331" s="4"/>
      <c r="V331" s="4"/>
      <c r="W331" s="4"/>
      <c r="X331" s="4"/>
      <c r="Y331" s="4"/>
      <c r="Z331" s="4"/>
    </row>
    <row r="332" spans="1:26" s="1" customFormat="1">
      <c r="A332" s="8" t="s">
        <v>4612</v>
      </c>
      <c r="B332" s="8" t="s">
        <v>6293</v>
      </c>
      <c r="C332" s="2" t="str">
        <f>RIGHT(ProductInfo[[#This Row],[Drawing No]],1)</f>
        <v>0</v>
      </c>
      <c r="D332" s="176" t="s">
        <v>5784</v>
      </c>
      <c r="E332" s="18" t="s">
        <v>3559</v>
      </c>
      <c r="F33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32" s="59">
        <v>117</v>
      </c>
      <c r="H332" s="3">
        <v>100</v>
      </c>
      <c r="I332" s="1">
        <f>COUNTA(ProductInfo[[#This Row],[P1]:[P15]])</f>
        <v>2</v>
      </c>
      <c r="J3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2" s="4" t="s">
        <v>12</v>
      </c>
      <c r="M332" s="4" t="s">
        <v>13</v>
      </c>
      <c r="N332" s="4"/>
      <c r="O332" s="4"/>
      <c r="P332" s="7"/>
      <c r="Q332" s="7"/>
      <c r="R332" s="4"/>
      <c r="S332" s="4"/>
      <c r="T332" s="4"/>
      <c r="U332" s="4"/>
      <c r="V332" s="4"/>
      <c r="W332" s="4"/>
      <c r="X332" s="4"/>
      <c r="Y332" s="4"/>
      <c r="Z332" s="4"/>
    </row>
    <row r="333" spans="1:26" s="1" customFormat="1">
      <c r="A333" s="8" t="s">
        <v>4588</v>
      </c>
      <c r="B333" s="8" t="s">
        <v>6293</v>
      </c>
      <c r="C333" s="2" t="str">
        <f>RIGHT(ProductInfo[[#This Row],[Drawing No]],1)</f>
        <v>0</v>
      </c>
      <c r="D333" s="176" t="s">
        <v>5782</v>
      </c>
      <c r="E333" s="18" t="s">
        <v>3559</v>
      </c>
      <c r="F33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333" s="59">
        <v>122</v>
      </c>
      <c r="H333" s="3">
        <v>100</v>
      </c>
      <c r="I333" s="1">
        <f>COUNTA(ProductInfo[[#This Row],[P1]:[P15]])</f>
        <v>2</v>
      </c>
      <c r="J3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3" s="7" t="s">
        <v>12</v>
      </c>
      <c r="M333" s="7" t="s">
        <v>13</v>
      </c>
      <c r="N333" s="4"/>
      <c r="O333" s="4"/>
      <c r="P333" s="7"/>
      <c r="Q333" s="7"/>
      <c r="R333" s="4"/>
      <c r="S333" s="4"/>
      <c r="T333" s="4"/>
      <c r="U333" s="4"/>
      <c r="V333" s="4"/>
      <c r="W333" s="4"/>
      <c r="X333" s="4"/>
      <c r="Y333" s="4"/>
      <c r="Z333" s="4"/>
    </row>
    <row r="334" spans="1:26" s="1" customFormat="1">
      <c r="A334" s="8" t="s">
        <v>5282</v>
      </c>
      <c r="B334" s="8" t="s">
        <v>6004</v>
      </c>
      <c r="C334" s="2" t="str">
        <f>RIGHT(ProductInfo[[#This Row],[Drawing No]],1)</f>
        <v>3</v>
      </c>
      <c r="D334" s="176" t="s">
        <v>5736</v>
      </c>
      <c r="E334" s="16" t="s">
        <v>7034</v>
      </c>
      <c r="F334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4" s="59">
        <v>92</v>
      </c>
      <c r="H334" s="59">
        <v>100</v>
      </c>
      <c r="I334" s="1">
        <f>COUNTA(ProductInfo[[#This Row],[P1]:[P15]])</f>
        <v>2</v>
      </c>
      <c r="J3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4" s="7" t="s">
        <v>12</v>
      </c>
      <c r="M334" s="7" t="s">
        <v>13</v>
      </c>
      <c r="N334" s="4"/>
      <c r="O334" s="4"/>
      <c r="P334" s="7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s="1" customFormat="1">
      <c r="A335" s="8" t="s">
        <v>5283</v>
      </c>
      <c r="B335" s="8" t="s">
        <v>6004</v>
      </c>
      <c r="C335" s="2" t="str">
        <f>RIGHT(ProductInfo[[#This Row],[Drawing No]],1)</f>
        <v>3</v>
      </c>
      <c r="D335" s="176" t="s">
        <v>5708</v>
      </c>
      <c r="E335" s="16" t="s">
        <v>7034</v>
      </c>
      <c r="F335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5" s="59">
        <v>97</v>
      </c>
      <c r="H335" s="59">
        <v>100</v>
      </c>
      <c r="I335" s="1">
        <f>COUNTA(ProductInfo[[#This Row],[P1]:[P15]])</f>
        <v>2</v>
      </c>
      <c r="J3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5" s="7" t="s">
        <v>12</v>
      </c>
      <c r="M335" s="7" t="s">
        <v>13</v>
      </c>
      <c r="N335" s="4"/>
      <c r="O335" s="4"/>
      <c r="P335" s="7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s="1" customFormat="1">
      <c r="A336" s="8" t="s">
        <v>5284</v>
      </c>
      <c r="B336" s="8" t="s">
        <v>6004</v>
      </c>
      <c r="C336" s="2" t="str">
        <f>RIGHT(ProductInfo[[#This Row],[Drawing No]],1)</f>
        <v>3</v>
      </c>
      <c r="D336" s="176" t="s">
        <v>5709</v>
      </c>
      <c r="E336" s="16" t="s">
        <v>7034</v>
      </c>
      <c r="F336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6" s="59">
        <v>102</v>
      </c>
      <c r="H336" s="59">
        <v>100</v>
      </c>
      <c r="I336" s="1">
        <f>COUNTA(ProductInfo[[#This Row],[P1]:[P15]])</f>
        <v>2</v>
      </c>
      <c r="J3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6" s="7" t="s">
        <v>12</v>
      </c>
      <c r="M336" s="7" t="s">
        <v>13</v>
      </c>
      <c r="N336" s="4"/>
      <c r="O336" s="4"/>
      <c r="P336" s="7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s="1" customFormat="1">
      <c r="A337" s="8" t="s">
        <v>5285</v>
      </c>
      <c r="B337" s="8" t="s">
        <v>6004</v>
      </c>
      <c r="C337" s="2" t="str">
        <f>RIGHT(ProductInfo[[#This Row],[Drawing No]],1)</f>
        <v>3</v>
      </c>
      <c r="D337" s="176" t="s">
        <v>5710</v>
      </c>
      <c r="E337" s="16" t="s">
        <v>7034</v>
      </c>
      <c r="F337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7" s="59">
        <v>107</v>
      </c>
      <c r="H337" s="59">
        <v>100</v>
      </c>
      <c r="I337" s="1">
        <f>COUNTA(ProductInfo[[#This Row],[P1]:[P15]])</f>
        <v>2</v>
      </c>
      <c r="J3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7" s="7" t="s">
        <v>12</v>
      </c>
      <c r="M337" s="7" t="s">
        <v>13</v>
      </c>
      <c r="N337" s="4"/>
      <c r="O337" s="4"/>
      <c r="P337" s="7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s="1" customFormat="1">
      <c r="A338" s="8" t="s">
        <v>5286</v>
      </c>
      <c r="B338" s="8" t="s">
        <v>6004</v>
      </c>
      <c r="C338" s="2" t="str">
        <f>RIGHT(ProductInfo[[#This Row],[Drawing No]],1)</f>
        <v>3</v>
      </c>
      <c r="D338" s="176" t="s">
        <v>5711</v>
      </c>
      <c r="E338" s="16" t="s">
        <v>7034</v>
      </c>
      <c r="F338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8" s="59">
        <v>112</v>
      </c>
      <c r="H338" s="59">
        <v>100</v>
      </c>
      <c r="I338" s="1">
        <f>COUNTA(ProductInfo[[#This Row],[P1]:[P15]])</f>
        <v>2</v>
      </c>
      <c r="J3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8" s="7" t="s">
        <v>12</v>
      </c>
      <c r="M338" s="7" t="s">
        <v>13</v>
      </c>
      <c r="N338" s="4"/>
      <c r="O338" s="4"/>
      <c r="P338" s="7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s="1" customFormat="1">
      <c r="A339" s="8" t="s">
        <v>5287</v>
      </c>
      <c r="B339" s="8" t="s">
        <v>6004</v>
      </c>
      <c r="C339" s="2" t="str">
        <f>RIGHT(ProductInfo[[#This Row],[Drawing No]],1)</f>
        <v>3</v>
      </c>
      <c r="D339" s="176" t="s">
        <v>5712</v>
      </c>
      <c r="E339" s="16" t="s">
        <v>7034</v>
      </c>
      <c r="F339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39" s="59">
        <v>117</v>
      </c>
      <c r="H339" s="59">
        <v>100</v>
      </c>
      <c r="I339" s="1">
        <f>COUNTA(ProductInfo[[#This Row],[P1]:[P15]])</f>
        <v>2</v>
      </c>
      <c r="J3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39" s="7" t="s">
        <v>12</v>
      </c>
      <c r="M339" s="7" t="s">
        <v>13</v>
      </c>
      <c r="N339" s="4"/>
      <c r="O339" s="4"/>
      <c r="P339" s="7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s="1" customFormat="1">
      <c r="A340" s="8" t="s">
        <v>5288</v>
      </c>
      <c r="B340" s="8" t="s">
        <v>6004</v>
      </c>
      <c r="C340" s="2" t="str">
        <f>RIGHT(ProductInfo[[#This Row],[Drawing No]],1)</f>
        <v>3</v>
      </c>
      <c r="D340" s="176" t="s">
        <v>5713</v>
      </c>
      <c r="E340" s="16" t="s">
        <v>7034</v>
      </c>
      <c r="F340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0" s="59">
        <v>122</v>
      </c>
      <c r="H340" s="59">
        <v>100</v>
      </c>
      <c r="I340" s="1">
        <f>COUNTA(ProductInfo[[#This Row],[P1]:[P15]])</f>
        <v>2</v>
      </c>
      <c r="J3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0" s="7" t="s">
        <v>12</v>
      </c>
      <c r="M340" s="7" t="s">
        <v>13</v>
      </c>
      <c r="N340" s="4"/>
      <c r="O340" s="4"/>
      <c r="P340" s="7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s="1" customFormat="1">
      <c r="A341" s="8" t="s">
        <v>5289</v>
      </c>
      <c r="B341" s="8" t="s">
        <v>6004</v>
      </c>
      <c r="C341" s="2" t="str">
        <f>RIGHT(ProductInfo[[#This Row],[Drawing No]],1)</f>
        <v>3</v>
      </c>
      <c r="D341" s="176" t="s">
        <v>5714</v>
      </c>
      <c r="E341" s="16" t="s">
        <v>7034</v>
      </c>
      <c r="F341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1" s="59">
        <v>127</v>
      </c>
      <c r="H341" s="59">
        <v>100</v>
      </c>
      <c r="I341" s="1">
        <f>COUNTA(ProductInfo[[#This Row],[P1]:[P15]])</f>
        <v>2</v>
      </c>
      <c r="J3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1" s="7" t="s">
        <v>12</v>
      </c>
      <c r="M341" s="7" t="s">
        <v>13</v>
      </c>
      <c r="N341" s="4"/>
      <c r="O341" s="4"/>
      <c r="P341" s="7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s="1" customFormat="1">
      <c r="A342" s="8" t="s">
        <v>5290</v>
      </c>
      <c r="B342" s="8" t="s">
        <v>6004</v>
      </c>
      <c r="C342" s="2" t="str">
        <f>RIGHT(ProductInfo[[#This Row],[Drawing No]],1)</f>
        <v>3</v>
      </c>
      <c r="D342" s="176" t="s">
        <v>5715</v>
      </c>
      <c r="E342" s="16" t="s">
        <v>7034</v>
      </c>
      <c r="F342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2" s="59">
        <v>132</v>
      </c>
      <c r="H342" s="59">
        <v>100</v>
      </c>
      <c r="I342" s="1">
        <f>COUNTA(ProductInfo[[#This Row],[P1]:[P15]])</f>
        <v>2</v>
      </c>
      <c r="J3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2" s="7" t="s">
        <v>12</v>
      </c>
      <c r="M342" s="7" t="s">
        <v>13</v>
      </c>
      <c r="N342" s="4"/>
      <c r="O342" s="4"/>
      <c r="P342" s="7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s="1" customFormat="1">
      <c r="A343" s="8" t="s">
        <v>5291</v>
      </c>
      <c r="B343" s="8" t="s">
        <v>6004</v>
      </c>
      <c r="C343" s="2" t="str">
        <f>RIGHT(ProductInfo[[#This Row],[Drawing No]],1)</f>
        <v>3</v>
      </c>
      <c r="D343" s="176" t="s">
        <v>5716</v>
      </c>
      <c r="E343" s="16" t="s">
        <v>7034</v>
      </c>
      <c r="F343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3" s="59">
        <v>137</v>
      </c>
      <c r="H343" s="59">
        <v>100</v>
      </c>
      <c r="I343" s="1">
        <f>COUNTA(ProductInfo[[#This Row],[P1]:[P15]])</f>
        <v>2</v>
      </c>
      <c r="J3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3" s="7" t="s">
        <v>12</v>
      </c>
      <c r="M343" s="7" t="s">
        <v>13</v>
      </c>
      <c r="N343" s="4"/>
      <c r="O343" s="4"/>
      <c r="P343" s="7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s="1" customFormat="1">
      <c r="A344" s="8" t="s">
        <v>5292</v>
      </c>
      <c r="B344" s="8" t="s">
        <v>6004</v>
      </c>
      <c r="C344" s="2" t="str">
        <f>RIGHT(ProductInfo[[#This Row],[Drawing No]],1)</f>
        <v>3</v>
      </c>
      <c r="D344" s="176" t="s">
        <v>5717</v>
      </c>
      <c r="E344" s="16" t="s">
        <v>7034</v>
      </c>
      <c r="F344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4" s="59">
        <v>142</v>
      </c>
      <c r="H344" s="59">
        <v>100</v>
      </c>
      <c r="I344" s="1">
        <f>COUNTA(ProductInfo[[#This Row],[P1]:[P15]])</f>
        <v>2</v>
      </c>
      <c r="J3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4" s="7" t="s">
        <v>12</v>
      </c>
      <c r="M344" s="7" t="s">
        <v>13</v>
      </c>
      <c r="N344" s="4"/>
      <c r="O344" s="4"/>
      <c r="P344" s="7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s="1" customFormat="1">
      <c r="A345" s="8" t="s">
        <v>5293</v>
      </c>
      <c r="B345" s="8" t="s">
        <v>6004</v>
      </c>
      <c r="C345" s="2" t="str">
        <f>RIGHT(ProductInfo[[#This Row],[Drawing No]],1)</f>
        <v>3</v>
      </c>
      <c r="D345" s="176" t="s">
        <v>5718</v>
      </c>
      <c r="E345" s="16" t="s">
        <v>7034</v>
      </c>
      <c r="F345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5" s="59">
        <v>147</v>
      </c>
      <c r="H345" s="59">
        <v>100</v>
      </c>
      <c r="I345" s="1">
        <f>COUNTA(ProductInfo[[#This Row],[P1]:[P15]])</f>
        <v>2</v>
      </c>
      <c r="J3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5" s="7" t="s">
        <v>12</v>
      </c>
      <c r="M345" s="7" t="s">
        <v>13</v>
      </c>
      <c r="N345" s="4"/>
      <c r="O345" s="4"/>
      <c r="P345" s="7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s="1" customFormat="1">
      <c r="A346" s="8" t="s">
        <v>5294</v>
      </c>
      <c r="B346" s="8" t="s">
        <v>6004</v>
      </c>
      <c r="C346" s="2" t="str">
        <f>RIGHT(ProductInfo[[#This Row],[Drawing No]],1)</f>
        <v>3</v>
      </c>
      <c r="D346" s="176" t="s">
        <v>5719</v>
      </c>
      <c r="E346" s="16" t="s">
        <v>7034</v>
      </c>
      <c r="F346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6" s="59">
        <v>152</v>
      </c>
      <c r="H346" s="59">
        <v>100</v>
      </c>
      <c r="I346" s="1">
        <f>COUNTA(ProductInfo[[#This Row],[P1]:[P15]])</f>
        <v>2</v>
      </c>
      <c r="J3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6" s="7" t="s">
        <v>12</v>
      </c>
      <c r="M346" s="7" t="s">
        <v>13</v>
      </c>
      <c r="N346" s="4"/>
      <c r="O346" s="4"/>
      <c r="P346" s="7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s="1" customFormat="1">
      <c r="A347" s="8" t="s">
        <v>5295</v>
      </c>
      <c r="B347" s="8" t="s">
        <v>6004</v>
      </c>
      <c r="C347" s="2" t="str">
        <f>RIGHT(ProductInfo[[#This Row],[Drawing No]],1)</f>
        <v>3</v>
      </c>
      <c r="D347" s="176" t="s">
        <v>5720</v>
      </c>
      <c r="E347" s="16" t="s">
        <v>7034</v>
      </c>
      <c r="F347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7" s="59">
        <v>157</v>
      </c>
      <c r="H347" s="59">
        <v>100</v>
      </c>
      <c r="I347" s="1">
        <f>COUNTA(ProductInfo[[#This Row],[P1]:[P15]])</f>
        <v>2</v>
      </c>
      <c r="J3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7" s="7" t="s">
        <v>12</v>
      </c>
      <c r="M347" s="7" t="s">
        <v>13</v>
      </c>
      <c r="N347" s="4"/>
      <c r="O347" s="4"/>
      <c r="P347" s="7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s="1" customFormat="1">
      <c r="A348" s="8" t="s">
        <v>5296</v>
      </c>
      <c r="B348" s="8" t="s">
        <v>6004</v>
      </c>
      <c r="C348" s="2" t="str">
        <f>RIGHT(ProductInfo[[#This Row],[Drawing No]],1)</f>
        <v>3</v>
      </c>
      <c r="D348" s="176" t="s">
        <v>5721</v>
      </c>
      <c r="E348" s="16" t="s">
        <v>7034</v>
      </c>
      <c r="F348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8" s="59">
        <v>162</v>
      </c>
      <c r="H348" s="59">
        <v>100</v>
      </c>
      <c r="I348" s="1">
        <f>COUNTA(ProductInfo[[#This Row],[P1]:[P15]])</f>
        <v>2</v>
      </c>
      <c r="J3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8" s="7" t="s">
        <v>12</v>
      </c>
      <c r="M348" s="7" t="s">
        <v>13</v>
      </c>
      <c r="N348" s="4"/>
      <c r="O348" s="4"/>
      <c r="P348" s="7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s="1" customFormat="1">
      <c r="A349" s="8" t="s">
        <v>5297</v>
      </c>
      <c r="B349" s="8" t="s">
        <v>6004</v>
      </c>
      <c r="C349" s="2" t="str">
        <f>RIGHT(ProductInfo[[#This Row],[Drawing No]],1)</f>
        <v>3</v>
      </c>
      <c r="D349" s="176" t="s">
        <v>5722</v>
      </c>
      <c r="E349" s="16" t="s">
        <v>7034</v>
      </c>
      <c r="F349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49" s="59">
        <v>167</v>
      </c>
      <c r="H349" s="59">
        <v>100</v>
      </c>
      <c r="I349" s="1">
        <f>COUNTA(ProductInfo[[#This Row],[P1]:[P15]])</f>
        <v>2</v>
      </c>
      <c r="J3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49" s="7" t="s">
        <v>12</v>
      </c>
      <c r="M349" s="7" t="s">
        <v>13</v>
      </c>
      <c r="N349" s="4"/>
      <c r="O349" s="4"/>
      <c r="P349" s="7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s="1" customFormat="1">
      <c r="A350" s="8" t="s">
        <v>5298</v>
      </c>
      <c r="B350" s="8" t="s">
        <v>6004</v>
      </c>
      <c r="C350" s="2" t="str">
        <f>RIGHT(ProductInfo[[#This Row],[Drawing No]],1)</f>
        <v>3</v>
      </c>
      <c r="D350" s="176" t="s">
        <v>5723</v>
      </c>
      <c r="E350" s="16" t="s">
        <v>7034</v>
      </c>
      <c r="F350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0" s="59">
        <v>172</v>
      </c>
      <c r="H350" s="59">
        <v>100</v>
      </c>
      <c r="I350" s="1">
        <f>COUNTA(ProductInfo[[#This Row],[P1]:[P15]])</f>
        <v>2</v>
      </c>
      <c r="J3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0" s="7" t="s">
        <v>12</v>
      </c>
      <c r="M350" s="7" t="s">
        <v>13</v>
      </c>
      <c r="N350" s="4"/>
      <c r="O350" s="4"/>
      <c r="P350" s="7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s="1" customFormat="1">
      <c r="A351" s="8" t="s">
        <v>5299</v>
      </c>
      <c r="B351" s="8" t="s">
        <v>6004</v>
      </c>
      <c r="C351" s="2" t="str">
        <f>RIGHT(ProductInfo[[#This Row],[Drawing No]],1)</f>
        <v>3</v>
      </c>
      <c r="D351" s="176" t="s">
        <v>5724</v>
      </c>
      <c r="E351" s="16" t="s">
        <v>7034</v>
      </c>
      <c r="F351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1" s="59">
        <v>177</v>
      </c>
      <c r="H351" s="59">
        <v>100</v>
      </c>
      <c r="I351" s="1">
        <f>COUNTA(ProductInfo[[#This Row],[P1]:[P15]])</f>
        <v>2</v>
      </c>
      <c r="J3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1" s="7" t="s">
        <v>12</v>
      </c>
      <c r="M351" s="7" t="s">
        <v>13</v>
      </c>
      <c r="N351" s="4"/>
      <c r="O351" s="4"/>
      <c r="P351" s="7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s="1" customFormat="1">
      <c r="A352" s="8" t="s">
        <v>5300</v>
      </c>
      <c r="B352" s="8" t="s">
        <v>6004</v>
      </c>
      <c r="C352" s="2" t="str">
        <f>RIGHT(ProductInfo[[#This Row],[Drawing No]],1)</f>
        <v>3</v>
      </c>
      <c r="D352" s="176" t="s">
        <v>5725</v>
      </c>
      <c r="E352" s="16" t="s">
        <v>7034</v>
      </c>
      <c r="F352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2" s="59">
        <v>182</v>
      </c>
      <c r="H352" s="59">
        <v>100</v>
      </c>
      <c r="I352" s="1">
        <f>COUNTA(ProductInfo[[#This Row],[P1]:[P15]])</f>
        <v>2</v>
      </c>
      <c r="J3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2" s="7" t="s">
        <v>12</v>
      </c>
      <c r="M352" s="7" t="s">
        <v>13</v>
      </c>
      <c r="N352" s="4"/>
      <c r="O352" s="4"/>
      <c r="P352" s="7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s="1" customFormat="1">
      <c r="A353" s="8" t="s">
        <v>5301</v>
      </c>
      <c r="B353" s="8" t="s">
        <v>6004</v>
      </c>
      <c r="C353" s="2" t="str">
        <f>RIGHT(ProductInfo[[#This Row],[Drawing No]],1)</f>
        <v>3</v>
      </c>
      <c r="D353" s="176" t="s">
        <v>5726</v>
      </c>
      <c r="E353" s="16" t="s">
        <v>7034</v>
      </c>
      <c r="F353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3" s="59">
        <v>187</v>
      </c>
      <c r="H353" s="59">
        <v>100</v>
      </c>
      <c r="I353" s="1">
        <f>COUNTA(ProductInfo[[#This Row],[P1]:[P15]])</f>
        <v>2</v>
      </c>
      <c r="J3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3" s="7" t="s">
        <v>12</v>
      </c>
      <c r="M353" s="7" t="s">
        <v>13</v>
      </c>
      <c r="N353" s="4"/>
      <c r="O353" s="4"/>
      <c r="P353" s="7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s="1" customFormat="1">
      <c r="A354" s="8" t="s">
        <v>5302</v>
      </c>
      <c r="B354" s="8" t="s">
        <v>6004</v>
      </c>
      <c r="C354" s="2" t="str">
        <f>RIGHT(ProductInfo[[#This Row],[Drawing No]],1)</f>
        <v>3</v>
      </c>
      <c r="D354" s="176" t="s">
        <v>5727</v>
      </c>
      <c r="E354" s="16" t="s">
        <v>7034</v>
      </c>
      <c r="F354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4" s="59">
        <v>192</v>
      </c>
      <c r="H354" s="59">
        <v>100</v>
      </c>
      <c r="I354" s="1">
        <f>COUNTA(ProductInfo[[#This Row],[P1]:[P15]])</f>
        <v>2</v>
      </c>
      <c r="J3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4" s="7" t="s">
        <v>12</v>
      </c>
      <c r="M354" s="7" t="s">
        <v>13</v>
      </c>
      <c r="N354" s="4"/>
      <c r="O354" s="4"/>
      <c r="P354" s="7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s="1" customFormat="1">
      <c r="A355" s="8" t="s">
        <v>5303</v>
      </c>
      <c r="B355" s="8" t="s">
        <v>6004</v>
      </c>
      <c r="C355" s="2" t="str">
        <f>RIGHT(ProductInfo[[#This Row],[Drawing No]],1)</f>
        <v>3</v>
      </c>
      <c r="D355" s="176" t="s">
        <v>5728</v>
      </c>
      <c r="E355" s="16" t="s">
        <v>7034</v>
      </c>
      <c r="F355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5" s="59">
        <v>197</v>
      </c>
      <c r="H355" s="59">
        <v>100</v>
      </c>
      <c r="I355" s="1">
        <f>COUNTA(ProductInfo[[#This Row],[P1]:[P15]])</f>
        <v>2</v>
      </c>
      <c r="J3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5" s="7" t="s">
        <v>12</v>
      </c>
      <c r="M355" s="7" t="s">
        <v>13</v>
      </c>
      <c r="N355" s="4"/>
      <c r="O355" s="4"/>
      <c r="P355" s="7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s="1" customFormat="1">
      <c r="A356" s="8" t="s">
        <v>5304</v>
      </c>
      <c r="B356" s="8" t="s">
        <v>6004</v>
      </c>
      <c r="C356" s="2" t="str">
        <f>RIGHT(ProductInfo[[#This Row],[Drawing No]],1)</f>
        <v>3</v>
      </c>
      <c r="D356" s="176" t="s">
        <v>5729</v>
      </c>
      <c r="E356" s="16" t="s">
        <v>7034</v>
      </c>
      <c r="F356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6" s="59">
        <v>202</v>
      </c>
      <c r="H356" s="59">
        <v>100</v>
      </c>
      <c r="I356" s="1">
        <f>COUNTA(ProductInfo[[#This Row],[P1]:[P15]])</f>
        <v>2</v>
      </c>
      <c r="J3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6" s="7" t="s">
        <v>12</v>
      </c>
      <c r="M356" s="7" t="s">
        <v>13</v>
      </c>
      <c r="N356" s="4"/>
      <c r="O356" s="4"/>
      <c r="P356" s="7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s="1" customFormat="1">
      <c r="A357" s="8" t="s">
        <v>5305</v>
      </c>
      <c r="B357" s="8" t="s">
        <v>6004</v>
      </c>
      <c r="C357" s="2" t="str">
        <f>RIGHT(ProductInfo[[#This Row],[Drawing No]],1)</f>
        <v>3</v>
      </c>
      <c r="D357" s="176" t="s">
        <v>5730</v>
      </c>
      <c r="E357" s="16" t="s">
        <v>7034</v>
      </c>
      <c r="F357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7" s="59">
        <v>207</v>
      </c>
      <c r="H357" s="59">
        <v>100</v>
      </c>
      <c r="I357" s="1">
        <f>COUNTA(ProductInfo[[#This Row],[P1]:[P15]])</f>
        <v>2</v>
      </c>
      <c r="J3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7" s="7" t="s">
        <v>12</v>
      </c>
      <c r="M357" s="7" t="s">
        <v>13</v>
      </c>
      <c r="N357" s="4"/>
      <c r="O357" s="4"/>
      <c r="P357" s="7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s="1" customFormat="1">
      <c r="A358" s="8" t="s">
        <v>5306</v>
      </c>
      <c r="B358" s="8" t="s">
        <v>6004</v>
      </c>
      <c r="C358" s="2" t="str">
        <f>RIGHT(ProductInfo[[#This Row],[Drawing No]],1)</f>
        <v>3</v>
      </c>
      <c r="D358" s="176" t="s">
        <v>5731</v>
      </c>
      <c r="E358" s="16" t="s">
        <v>7034</v>
      </c>
      <c r="F358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8" s="59">
        <v>212</v>
      </c>
      <c r="H358" s="59">
        <v>100</v>
      </c>
      <c r="I358" s="1">
        <f>COUNTA(ProductInfo[[#This Row],[P1]:[P15]])</f>
        <v>2</v>
      </c>
      <c r="J3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8" s="7" t="s">
        <v>12</v>
      </c>
      <c r="M358" s="7" t="s">
        <v>13</v>
      </c>
      <c r="N358" s="4"/>
      <c r="O358" s="4"/>
      <c r="P358" s="7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s="1" customFormat="1">
      <c r="A359" s="8" t="s">
        <v>5307</v>
      </c>
      <c r="B359" s="8" t="s">
        <v>6004</v>
      </c>
      <c r="C359" s="2" t="str">
        <f>RIGHT(ProductInfo[[#This Row],[Drawing No]],1)</f>
        <v>3</v>
      </c>
      <c r="D359" s="176" t="s">
        <v>5732</v>
      </c>
      <c r="E359" s="16" t="s">
        <v>7034</v>
      </c>
      <c r="F359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59" s="59">
        <v>217</v>
      </c>
      <c r="H359" s="59">
        <v>100</v>
      </c>
      <c r="I359" s="1">
        <f>COUNTA(ProductInfo[[#This Row],[P1]:[P15]])</f>
        <v>2</v>
      </c>
      <c r="J3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59" s="7" t="s">
        <v>12</v>
      </c>
      <c r="M359" s="7" t="s">
        <v>13</v>
      </c>
      <c r="N359" s="4"/>
      <c r="O359" s="4"/>
      <c r="P359" s="7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s="1" customFormat="1">
      <c r="A360" s="8" t="s">
        <v>5308</v>
      </c>
      <c r="B360" s="8" t="s">
        <v>6004</v>
      </c>
      <c r="C360" s="2" t="str">
        <f>RIGHT(ProductInfo[[#This Row],[Drawing No]],1)</f>
        <v>3</v>
      </c>
      <c r="D360" s="176" t="s">
        <v>5733</v>
      </c>
      <c r="E360" s="16" t="s">
        <v>7034</v>
      </c>
      <c r="F360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60" s="59">
        <v>222</v>
      </c>
      <c r="H360" s="59">
        <v>100</v>
      </c>
      <c r="I360" s="1">
        <f>COUNTA(ProductInfo[[#This Row],[P1]:[P15]])</f>
        <v>2</v>
      </c>
      <c r="J3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0" s="7" t="s">
        <v>12</v>
      </c>
      <c r="M360" s="7" t="s">
        <v>13</v>
      </c>
      <c r="N360" s="4"/>
      <c r="O360" s="4"/>
      <c r="P360" s="7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s="1" customFormat="1">
      <c r="A361" s="8" t="s">
        <v>5801</v>
      </c>
      <c r="B361" s="8" t="s">
        <v>6004</v>
      </c>
      <c r="C361" s="2" t="str">
        <f>RIGHT(ProductInfo[[#This Row],[Drawing No]],1)</f>
        <v>3</v>
      </c>
      <c r="D361" s="176" t="s">
        <v>5803</v>
      </c>
      <c r="E361" s="16" t="s">
        <v>7034</v>
      </c>
      <c r="F361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61" s="59">
        <v>232</v>
      </c>
      <c r="H361" s="59">
        <v>100</v>
      </c>
      <c r="I361" s="1">
        <f>COUNTA(ProductInfo[[#This Row],[P1]:[P15]])</f>
        <v>2</v>
      </c>
      <c r="J3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1" s="7" t="s">
        <v>12</v>
      </c>
      <c r="M361" s="7" t="s">
        <v>13</v>
      </c>
      <c r="N361" s="4"/>
      <c r="O361" s="4"/>
      <c r="P361" s="7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s="1" customFormat="1">
      <c r="A362" s="8" t="s">
        <v>5309</v>
      </c>
      <c r="B362" s="8" t="s">
        <v>6004</v>
      </c>
      <c r="C362" s="2" t="str">
        <f>RIGHT(ProductInfo[[#This Row],[Drawing No]],1)</f>
        <v>3</v>
      </c>
      <c r="D362" s="176" t="s">
        <v>5734</v>
      </c>
      <c r="E362" s="16" t="s">
        <v>7034</v>
      </c>
      <c r="F362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62" s="59">
        <v>242</v>
      </c>
      <c r="H362" s="59">
        <v>100</v>
      </c>
      <c r="I362" s="1">
        <f>COUNTA(ProductInfo[[#This Row],[P1]:[P15]])</f>
        <v>2</v>
      </c>
      <c r="J3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2" s="7" t="s">
        <v>12</v>
      </c>
      <c r="M362" s="7" t="s">
        <v>13</v>
      </c>
      <c r="N362" s="4"/>
      <c r="O362" s="4"/>
      <c r="P362" s="7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s="1" customFormat="1">
      <c r="A363" s="8" t="s">
        <v>5310</v>
      </c>
      <c r="B363" s="8" t="s">
        <v>6004</v>
      </c>
      <c r="C363" s="2" t="str">
        <f>RIGHT(ProductInfo[[#This Row],[Drawing No]],1)</f>
        <v>3</v>
      </c>
      <c r="D363" s="176" t="s">
        <v>5735</v>
      </c>
      <c r="E363" s="16" t="s">
        <v>7034</v>
      </c>
      <c r="F363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363" s="59">
        <v>302</v>
      </c>
      <c r="H363" s="59">
        <v>100</v>
      </c>
      <c r="I363" s="1">
        <f>COUNTA(ProductInfo[[#This Row],[P1]:[P15]])</f>
        <v>2</v>
      </c>
      <c r="J3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3" s="7" t="s">
        <v>12</v>
      </c>
      <c r="M363" s="7" t="s">
        <v>13</v>
      </c>
      <c r="N363" s="4"/>
      <c r="O363" s="4"/>
      <c r="P363" s="7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s="1" customFormat="1">
      <c r="A364" s="8" t="s">
        <v>538</v>
      </c>
      <c r="B364" s="8" t="s">
        <v>538</v>
      </c>
      <c r="C364" s="1" t="str">
        <f>RIGHT(ProductInfo[[#This Row],[Drawing No]],1)</f>
        <v>0</v>
      </c>
      <c r="D364" s="176" t="s">
        <v>539</v>
      </c>
      <c r="E364" s="16"/>
      <c r="F3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64" s="31"/>
      <c r="H364" s="3">
        <v>100</v>
      </c>
      <c r="I364" s="1">
        <f>COUNTA(ProductInfo[[#This Row],[P1]:[P15]])</f>
        <v>2</v>
      </c>
      <c r="J3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4" s="7" t="s">
        <v>12</v>
      </c>
      <c r="M364" s="7" t="s">
        <v>13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s="1" customFormat="1">
      <c r="A365" s="8" t="s">
        <v>540</v>
      </c>
      <c r="B365" s="8" t="s">
        <v>540</v>
      </c>
      <c r="C365" s="1" t="str">
        <f>RIGHT(ProductInfo[[#This Row],[Drawing No]],1)</f>
        <v>0</v>
      </c>
      <c r="D365" s="176" t="s">
        <v>541</v>
      </c>
      <c r="E365" s="16"/>
      <c r="F3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65" s="31"/>
      <c r="H365" s="31"/>
      <c r="I365" s="1">
        <f>COUNTA(ProductInfo[[#This Row],[P1]:[P15]])</f>
        <v>0</v>
      </c>
      <c r="J3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s="1" customFormat="1">
      <c r="A366" s="8" t="s">
        <v>542</v>
      </c>
      <c r="B366" s="8" t="s">
        <v>542</v>
      </c>
      <c r="C366" s="1" t="str">
        <f>RIGHT(ProductInfo[[#This Row],[Drawing No]],1)</f>
        <v>0</v>
      </c>
      <c r="D366" s="176" t="s">
        <v>543</v>
      </c>
      <c r="E366" s="16"/>
      <c r="F3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366" s="31"/>
      <c r="H366" s="31"/>
      <c r="I366" s="1">
        <f>COUNTA(ProductInfo[[#This Row],[P1]:[P15]])</f>
        <v>0</v>
      </c>
      <c r="J3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3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s="1" customFormat="1">
      <c r="A367" s="8" t="s">
        <v>5334</v>
      </c>
      <c r="B367" s="8" t="s">
        <v>5333</v>
      </c>
      <c r="C367" s="2" t="str">
        <f>RIGHT(ProductInfo[[#This Row],[Drawing No]],1)</f>
        <v>1</v>
      </c>
      <c r="D367" s="176" t="s">
        <v>5335</v>
      </c>
      <c r="E367" s="16" t="s">
        <v>3492</v>
      </c>
      <c r="F367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67" s="59">
        <v>92</v>
      </c>
      <c r="H367" s="59">
        <v>100</v>
      </c>
      <c r="I367" s="1">
        <f>COUNTA(ProductInfo[[#This Row],[P1]:[P15]])</f>
        <v>2</v>
      </c>
      <c r="J3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7" s="7" t="s">
        <v>12</v>
      </c>
      <c r="M367" s="7" t="s">
        <v>13</v>
      </c>
      <c r="N367" s="7"/>
      <c r="O367" s="7"/>
      <c r="P367" s="7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s="1" customFormat="1">
      <c r="A368" s="8" t="s">
        <v>5336</v>
      </c>
      <c r="B368" s="8" t="s">
        <v>5333</v>
      </c>
      <c r="C368" s="2" t="str">
        <f>RIGHT(ProductInfo[[#This Row],[Drawing No]],1)</f>
        <v>1</v>
      </c>
      <c r="D368" s="176" t="s">
        <v>5337</v>
      </c>
      <c r="E368" s="16" t="s">
        <v>3492</v>
      </c>
      <c r="F368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68" s="59">
        <v>97</v>
      </c>
      <c r="H368" s="59">
        <v>100</v>
      </c>
      <c r="I368" s="1">
        <f>COUNTA(ProductInfo[[#This Row],[P1]:[P15]])</f>
        <v>2</v>
      </c>
      <c r="J3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8" s="7" t="s">
        <v>12</v>
      </c>
      <c r="M368" s="7" t="s">
        <v>13</v>
      </c>
      <c r="N368" s="7"/>
      <c r="O368" s="7"/>
      <c r="P368" s="7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s="1" customFormat="1">
      <c r="A369" s="8" t="s">
        <v>5338</v>
      </c>
      <c r="B369" s="8" t="s">
        <v>5333</v>
      </c>
      <c r="C369" s="2" t="str">
        <f>RIGHT(ProductInfo[[#This Row],[Drawing No]],1)</f>
        <v>1</v>
      </c>
      <c r="D369" s="176" t="s">
        <v>5339</v>
      </c>
      <c r="E369" s="16" t="s">
        <v>3492</v>
      </c>
      <c r="F369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69" s="59">
        <v>102</v>
      </c>
      <c r="H369" s="59">
        <v>100</v>
      </c>
      <c r="I369" s="1">
        <f>COUNTA(ProductInfo[[#This Row],[P1]:[P15]])</f>
        <v>2</v>
      </c>
      <c r="J3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69" s="7" t="s">
        <v>12</v>
      </c>
      <c r="M369" s="7" t="s">
        <v>13</v>
      </c>
      <c r="N369" s="7"/>
      <c r="O369" s="7"/>
      <c r="P369" s="7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s="1" customFormat="1">
      <c r="A370" s="8" t="s">
        <v>5340</v>
      </c>
      <c r="B370" s="8" t="s">
        <v>5333</v>
      </c>
      <c r="C370" s="2" t="str">
        <f>RIGHT(ProductInfo[[#This Row],[Drawing No]],1)</f>
        <v>1</v>
      </c>
      <c r="D370" s="176" t="s">
        <v>5341</v>
      </c>
      <c r="E370" s="16" t="s">
        <v>3492</v>
      </c>
      <c r="F370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0" s="59">
        <v>107</v>
      </c>
      <c r="H370" s="59">
        <v>100</v>
      </c>
      <c r="I370" s="1">
        <f>COUNTA(ProductInfo[[#This Row],[P1]:[P15]])</f>
        <v>2</v>
      </c>
      <c r="J3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0" s="7" t="s">
        <v>12</v>
      </c>
      <c r="M370" s="7" t="s">
        <v>13</v>
      </c>
      <c r="N370" s="7"/>
      <c r="O370" s="7"/>
      <c r="P370" s="7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s="1" customFormat="1">
      <c r="A371" s="8" t="s">
        <v>5342</v>
      </c>
      <c r="B371" s="8" t="s">
        <v>5333</v>
      </c>
      <c r="C371" s="2" t="str">
        <f>RIGHT(ProductInfo[[#This Row],[Drawing No]],1)</f>
        <v>1</v>
      </c>
      <c r="D371" s="176" t="s">
        <v>5343</v>
      </c>
      <c r="E371" s="16" t="s">
        <v>3492</v>
      </c>
      <c r="F37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1" s="59">
        <v>112</v>
      </c>
      <c r="H371" s="59">
        <v>100</v>
      </c>
      <c r="I371" s="1">
        <f>COUNTA(ProductInfo[[#This Row],[P1]:[P15]])</f>
        <v>2</v>
      </c>
      <c r="J3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1" s="7" t="s">
        <v>12</v>
      </c>
      <c r="M371" s="7" t="s">
        <v>13</v>
      </c>
      <c r="N371" s="7"/>
      <c r="O371" s="7"/>
      <c r="P371" s="7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s="1" customFormat="1">
      <c r="A372" s="8" t="s">
        <v>5344</v>
      </c>
      <c r="B372" s="8" t="s">
        <v>5333</v>
      </c>
      <c r="C372" s="2" t="str">
        <f>RIGHT(ProductInfo[[#This Row],[Drawing No]],1)</f>
        <v>1</v>
      </c>
      <c r="D372" s="176" t="s">
        <v>5345</v>
      </c>
      <c r="E372" s="16" t="s">
        <v>3492</v>
      </c>
      <c r="F372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2" s="59">
        <v>117</v>
      </c>
      <c r="H372" s="59">
        <v>100</v>
      </c>
      <c r="I372" s="1">
        <f>COUNTA(ProductInfo[[#This Row],[P1]:[P15]])</f>
        <v>2</v>
      </c>
      <c r="J3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2" s="7" t="s">
        <v>12</v>
      </c>
      <c r="M372" s="7" t="s">
        <v>13</v>
      </c>
      <c r="N372" s="7"/>
      <c r="O372" s="7"/>
      <c r="P372" s="7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s="1" customFormat="1">
      <c r="A373" s="8" t="s">
        <v>5346</v>
      </c>
      <c r="B373" s="8" t="s">
        <v>5333</v>
      </c>
      <c r="C373" s="2" t="str">
        <f>RIGHT(ProductInfo[[#This Row],[Drawing No]],1)</f>
        <v>1</v>
      </c>
      <c r="D373" s="176" t="s">
        <v>5385</v>
      </c>
      <c r="E373" s="16" t="s">
        <v>3492</v>
      </c>
      <c r="F373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3" s="59">
        <v>122</v>
      </c>
      <c r="H373" s="59">
        <v>100</v>
      </c>
      <c r="I373" s="1">
        <f>COUNTA(ProductInfo[[#This Row],[P1]:[P15]])</f>
        <v>2</v>
      </c>
      <c r="J3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3" s="7" t="s">
        <v>12</v>
      </c>
      <c r="M373" s="7" t="s">
        <v>13</v>
      </c>
      <c r="N373" s="7"/>
      <c r="O373" s="7"/>
      <c r="P373" s="7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s="1" customFormat="1">
      <c r="A374" s="8" t="s">
        <v>5347</v>
      </c>
      <c r="B374" s="8" t="s">
        <v>5333</v>
      </c>
      <c r="C374" s="2" t="str">
        <f>RIGHT(ProductInfo[[#This Row],[Drawing No]],1)</f>
        <v>1</v>
      </c>
      <c r="D374" s="176" t="s">
        <v>5386</v>
      </c>
      <c r="E374" s="16" t="s">
        <v>3492</v>
      </c>
      <c r="F37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4" s="59">
        <v>127</v>
      </c>
      <c r="H374" s="59">
        <v>100</v>
      </c>
      <c r="I374" s="1">
        <f>COUNTA(ProductInfo[[#This Row],[P1]:[P15]])</f>
        <v>2</v>
      </c>
      <c r="J3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4" s="7" t="s">
        <v>12</v>
      </c>
      <c r="M374" s="7" t="s">
        <v>13</v>
      </c>
      <c r="N374" s="7"/>
      <c r="O374" s="7"/>
      <c r="P374" s="7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s="1" customFormat="1">
      <c r="A375" s="8" t="s">
        <v>5348</v>
      </c>
      <c r="B375" s="8" t="s">
        <v>5333</v>
      </c>
      <c r="C375" s="2" t="str">
        <f>RIGHT(ProductInfo[[#This Row],[Drawing No]],1)</f>
        <v>1</v>
      </c>
      <c r="D375" s="176" t="s">
        <v>5387</v>
      </c>
      <c r="E375" s="16" t="s">
        <v>3492</v>
      </c>
      <c r="F375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5" s="59">
        <v>132</v>
      </c>
      <c r="H375" s="59">
        <v>100</v>
      </c>
      <c r="I375" s="1">
        <f>COUNTA(ProductInfo[[#This Row],[P1]:[P15]])</f>
        <v>2</v>
      </c>
      <c r="J3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5" s="7" t="s">
        <v>12</v>
      </c>
      <c r="M375" s="7" t="s">
        <v>13</v>
      </c>
      <c r="N375" s="7"/>
      <c r="O375" s="7"/>
      <c r="P375" s="7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s="1" customFormat="1">
      <c r="A376" s="8" t="s">
        <v>5349</v>
      </c>
      <c r="B376" s="8" t="s">
        <v>5333</v>
      </c>
      <c r="C376" s="2" t="str">
        <f>RIGHT(ProductInfo[[#This Row],[Drawing No]],1)</f>
        <v>1</v>
      </c>
      <c r="D376" s="176" t="s">
        <v>5388</v>
      </c>
      <c r="E376" s="16" t="s">
        <v>3492</v>
      </c>
      <c r="F376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6" s="59">
        <v>137</v>
      </c>
      <c r="H376" s="59">
        <v>100</v>
      </c>
      <c r="I376" s="1">
        <f>COUNTA(ProductInfo[[#This Row],[P1]:[P15]])</f>
        <v>2</v>
      </c>
      <c r="J3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6" s="7" t="s">
        <v>12</v>
      </c>
      <c r="M376" s="7" t="s">
        <v>13</v>
      </c>
      <c r="N376" s="7"/>
      <c r="O376" s="7"/>
      <c r="P376" s="7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s="1" customFormat="1">
      <c r="A377" s="8" t="s">
        <v>5350</v>
      </c>
      <c r="B377" s="8" t="s">
        <v>5333</v>
      </c>
      <c r="C377" s="2" t="str">
        <f>RIGHT(ProductInfo[[#This Row],[Drawing No]],1)</f>
        <v>1</v>
      </c>
      <c r="D377" s="176" t="s">
        <v>4715</v>
      </c>
      <c r="E377" s="16" t="s">
        <v>3492</v>
      </c>
      <c r="F377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7" s="59">
        <v>142</v>
      </c>
      <c r="H377" s="59">
        <v>100</v>
      </c>
      <c r="I377" s="1">
        <f>COUNTA(ProductInfo[[#This Row],[P1]:[P15]])</f>
        <v>2</v>
      </c>
      <c r="J3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7" s="7" t="s">
        <v>12</v>
      </c>
      <c r="M377" s="7" t="s">
        <v>13</v>
      </c>
      <c r="N377" s="7"/>
      <c r="O377" s="7"/>
      <c r="P377" s="7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s="1" customFormat="1">
      <c r="A378" s="8" t="s">
        <v>5351</v>
      </c>
      <c r="B378" s="8" t="s">
        <v>5333</v>
      </c>
      <c r="C378" s="2" t="str">
        <f>RIGHT(ProductInfo[[#This Row],[Drawing No]],1)</f>
        <v>1</v>
      </c>
      <c r="D378" s="176" t="s">
        <v>5389</v>
      </c>
      <c r="E378" s="16" t="s">
        <v>3492</v>
      </c>
      <c r="F378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8" s="59">
        <v>147</v>
      </c>
      <c r="H378" s="59">
        <v>100</v>
      </c>
      <c r="I378" s="1">
        <f>COUNTA(ProductInfo[[#This Row],[P1]:[P15]])</f>
        <v>2</v>
      </c>
      <c r="J3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8" s="7" t="s">
        <v>12</v>
      </c>
      <c r="M378" s="7" t="s">
        <v>13</v>
      </c>
      <c r="N378" s="7"/>
      <c r="O378" s="7"/>
      <c r="P378" s="7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s="1" customFormat="1">
      <c r="A379" s="8" t="s">
        <v>5352</v>
      </c>
      <c r="B379" s="8" t="s">
        <v>5333</v>
      </c>
      <c r="C379" s="2" t="str">
        <f>RIGHT(ProductInfo[[#This Row],[Drawing No]],1)</f>
        <v>1</v>
      </c>
      <c r="D379" s="176" t="s">
        <v>4714</v>
      </c>
      <c r="E379" s="16" t="s">
        <v>3492</v>
      </c>
      <c r="F379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79" s="59">
        <v>152</v>
      </c>
      <c r="H379" s="59">
        <v>100</v>
      </c>
      <c r="I379" s="1">
        <f>COUNTA(ProductInfo[[#This Row],[P1]:[P15]])</f>
        <v>2</v>
      </c>
      <c r="J3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79" s="7" t="s">
        <v>12</v>
      </c>
      <c r="M379" s="7" t="s">
        <v>13</v>
      </c>
      <c r="N379" s="7"/>
      <c r="O379" s="7"/>
      <c r="P379" s="7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s="1" customFormat="1">
      <c r="A380" s="8" t="s">
        <v>5353</v>
      </c>
      <c r="B380" s="8" t="s">
        <v>5333</v>
      </c>
      <c r="C380" s="2" t="str">
        <f>RIGHT(ProductInfo[[#This Row],[Drawing No]],1)</f>
        <v>1</v>
      </c>
      <c r="D380" s="176" t="s">
        <v>5390</v>
      </c>
      <c r="E380" s="16" t="s">
        <v>3492</v>
      </c>
      <c r="F380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0" s="59">
        <v>157</v>
      </c>
      <c r="H380" s="59">
        <v>100</v>
      </c>
      <c r="I380" s="1">
        <f>COUNTA(ProductInfo[[#This Row],[P1]:[P15]])</f>
        <v>2</v>
      </c>
      <c r="J3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0" s="7" t="s">
        <v>12</v>
      </c>
      <c r="M380" s="7" t="s">
        <v>13</v>
      </c>
      <c r="N380" s="7"/>
      <c r="O380" s="7"/>
      <c r="P380" s="7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s="1" customFormat="1">
      <c r="A381" s="8" t="s">
        <v>5354</v>
      </c>
      <c r="B381" s="8" t="s">
        <v>5333</v>
      </c>
      <c r="C381" s="2" t="str">
        <f>RIGHT(ProductInfo[[#This Row],[Drawing No]],1)</f>
        <v>1</v>
      </c>
      <c r="D381" s="176" t="s">
        <v>5391</v>
      </c>
      <c r="E381" s="16" t="s">
        <v>3492</v>
      </c>
      <c r="F38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1" s="59">
        <v>162</v>
      </c>
      <c r="H381" s="59">
        <v>100</v>
      </c>
      <c r="I381" s="1">
        <f>COUNTA(ProductInfo[[#This Row],[P1]:[P15]])</f>
        <v>2</v>
      </c>
      <c r="J3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1" s="7" t="s">
        <v>12</v>
      </c>
      <c r="M381" s="7" t="s">
        <v>13</v>
      </c>
      <c r="N381" s="7"/>
      <c r="O381" s="7"/>
      <c r="P381" s="7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s="1" customFormat="1">
      <c r="A382" s="8" t="s">
        <v>5355</v>
      </c>
      <c r="B382" s="8" t="s">
        <v>5333</v>
      </c>
      <c r="C382" s="2" t="str">
        <f>RIGHT(ProductInfo[[#This Row],[Drawing No]],1)</f>
        <v>1</v>
      </c>
      <c r="D382" s="176" t="s">
        <v>5392</v>
      </c>
      <c r="E382" s="16" t="s">
        <v>3492</v>
      </c>
      <c r="F382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2" s="59">
        <v>167</v>
      </c>
      <c r="H382" s="59">
        <v>100</v>
      </c>
      <c r="I382" s="1">
        <f>COUNTA(ProductInfo[[#This Row],[P1]:[P15]])</f>
        <v>2</v>
      </c>
      <c r="J3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2" s="7" t="s">
        <v>12</v>
      </c>
      <c r="M382" s="7" t="s">
        <v>13</v>
      </c>
      <c r="N382" s="7"/>
      <c r="O382" s="7"/>
      <c r="P382" s="7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s="1" customFormat="1">
      <c r="A383" s="8" t="s">
        <v>5356</v>
      </c>
      <c r="B383" s="8" t="s">
        <v>5333</v>
      </c>
      <c r="C383" s="2" t="str">
        <f>RIGHT(ProductInfo[[#This Row],[Drawing No]],1)</f>
        <v>1</v>
      </c>
      <c r="D383" s="176" t="s">
        <v>5393</v>
      </c>
      <c r="E383" s="16" t="s">
        <v>3492</v>
      </c>
      <c r="F383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3" s="59">
        <v>172</v>
      </c>
      <c r="H383" s="59">
        <v>100</v>
      </c>
      <c r="I383" s="1">
        <f>COUNTA(ProductInfo[[#This Row],[P1]:[P15]])</f>
        <v>2</v>
      </c>
      <c r="J3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3" s="7" t="s">
        <v>12</v>
      </c>
      <c r="M383" s="7" t="s">
        <v>13</v>
      </c>
      <c r="N383" s="7"/>
      <c r="O383" s="7"/>
      <c r="P383" s="7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s="1" customFormat="1">
      <c r="A384" s="8" t="s">
        <v>5357</v>
      </c>
      <c r="B384" s="8" t="s">
        <v>5333</v>
      </c>
      <c r="C384" s="2" t="str">
        <f>RIGHT(ProductInfo[[#This Row],[Drawing No]],1)</f>
        <v>1</v>
      </c>
      <c r="D384" s="176" t="s">
        <v>5394</v>
      </c>
      <c r="E384" s="16" t="s">
        <v>3492</v>
      </c>
      <c r="F38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4" s="59">
        <v>177</v>
      </c>
      <c r="H384" s="59">
        <v>100</v>
      </c>
      <c r="I384" s="1">
        <f>COUNTA(ProductInfo[[#This Row],[P1]:[P15]])</f>
        <v>2</v>
      </c>
      <c r="J3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4" s="7" t="s">
        <v>12</v>
      </c>
      <c r="M384" s="7" t="s">
        <v>13</v>
      </c>
      <c r="N384" s="7"/>
      <c r="O384" s="7"/>
      <c r="P384" s="7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s="1" customFormat="1">
      <c r="A385" s="8" t="s">
        <v>5358</v>
      </c>
      <c r="B385" s="8" t="s">
        <v>5333</v>
      </c>
      <c r="C385" s="2" t="str">
        <f>RIGHT(ProductInfo[[#This Row],[Drawing No]],1)</f>
        <v>1</v>
      </c>
      <c r="D385" s="176" t="s">
        <v>5395</v>
      </c>
      <c r="E385" s="16" t="s">
        <v>3492</v>
      </c>
      <c r="F385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5" s="59">
        <v>182</v>
      </c>
      <c r="H385" s="59">
        <v>100</v>
      </c>
      <c r="I385" s="1">
        <f>COUNTA(ProductInfo[[#This Row],[P1]:[P15]])</f>
        <v>2</v>
      </c>
      <c r="J3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5" s="7" t="s">
        <v>12</v>
      </c>
      <c r="M385" s="7" t="s">
        <v>13</v>
      </c>
      <c r="N385" s="7"/>
      <c r="O385" s="7"/>
      <c r="P385" s="7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s="1" customFormat="1">
      <c r="A386" s="8" t="s">
        <v>5359</v>
      </c>
      <c r="B386" s="8" t="s">
        <v>5333</v>
      </c>
      <c r="C386" s="2" t="str">
        <f>RIGHT(ProductInfo[[#This Row],[Drawing No]],1)</f>
        <v>1</v>
      </c>
      <c r="D386" s="176" t="s">
        <v>5396</v>
      </c>
      <c r="E386" s="16" t="s">
        <v>3492</v>
      </c>
      <c r="F386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6" s="59">
        <v>187</v>
      </c>
      <c r="H386" s="59">
        <v>100</v>
      </c>
      <c r="I386" s="1">
        <f>COUNTA(ProductInfo[[#This Row],[P1]:[P15]])</f>
        <v>2</v>
      </c>
      <c r="J3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6" s="7" t="s">
        <v>12</v>
      </c>
      <c r="M386" s="7" t="s">
        <v>13</v>
      </c>
      <c r="N386" s="7"/>
      <c r="O386" s="7"/>
      <c r="P386" s="7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s="1" customFormat="1">
      <c r="A387" s="8" t="s">
        <v>5360</v>
      </c>
      <c r="B387" s="8" t="s">
        <v>5333</v>
      </c>
      <c r="C387" s="2" t="str">
        <f>RIGHT(ProductInfo[[#This Row],[Drawing No]],1)</f>
        <v>1</v>
      </c>
      <c r="D387" s="176" t="s">
        <v>5397</v>
      </c>
      <c r="E387" s="16" t="s">
        <v>3492</v>
      </c>
      <c r="F387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7" s="59">
        <v>192</v>
      </c>
      <c r="H387" s="59">
        <v>100</v>
      </c>
      <c r="I387" s="1">
        <f>COUNTA(ProductInfo[[#This Row],[P1]:[P15]])</f>
        <v>2</v>
      </c>
      <c r="J3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7" s="7" t="s">
        <v>12</v>
      </c>
      <c r="M387" s="7" t="s">
        <v>13</v>
      </c>
      <c r="N387" s="7"/>
      <c r="O387" s="7"/>
      <c r="P387" s="7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s="1" customFormat="1">
      <c r="A388" s="8" t="s">
        <v>5361</v>
      </c>
      <c r="B388" s="8" t="s">
        <v>5333</v>
      </c>
      <c r="C388" s="2" t="str">
        <f>RIGHT(ProductInfo[[#This Row],[Drawing No]],1)</f>
        <v>1</v>
      </c>
      <c r="D388" s="176" t="s">
        <v>5398</v>
      </c>
      <c r="E388" s="16" t="s">
        <v>3492</v>
      </c>
      <c r="F388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8" s="59">
        <v>197</v>
      </c>
      <c r="H388" s="59">
        <v>100</v>
      </c>
      <c r="I388" s="1">
        <f>COUNTA(ProductInfo[[#This Row],[P1]:[P15]])</f>
        <v>2</v>
      </c>
      <c r="J3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8" s="7" t="s">
        <v>12</v>
      </c>
      <c r="M388" s="7" t="s">
        <v>13</v>
      </c>
      <c r="N388" s="7"/>
      <c r="O388" s="7"/>
      <c r="P388" s="7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s="1" customFormat="1">
      <c r="A389" s="8" t="s">
        <v>5362</v>
      </c>
      <c r="B389" s="8" t="s">
        <v>5333</v>
      </c>
      <c r="C389" s="2" t="str">
        <f>RIGHT(ProductInfo[[#This Row],[Drawing No]],1)</f>
        <v>1</v>
      </c>
      <c r="D389" s="176" t="s">
        <v>5399</v>
      </c>
      <c r="E389" s="16" t="s">
        <v>3492</v>
      </c>
      <c r="F389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89" s="59">
        <v>202</v>
      </c>
      <c r="H389" s="59">
        <v>100</v>
      </c>
      <c r="I389" s="1">
        <f>COUNTA(ProductInfo[[#This Row],[P1]:[P15]])</f>
        <v>2</v>
      </c>
      <c r="J3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89" s="7" t="s">
        <v>12</v>
      </c>
      <c r="M389" s="7" t="s">
        <v>13</v>
      </c>
      <c r="N389" s="7"/>
      <c r="O389" s="7"/>
      <c r="P389" s="7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s="1" customFormat="1">
      <c r="A390" s="8" t="s">
        <v>5363</v>
      </c>
      <c r="B390" s="8" t="s">
        <v>5333</v>
      </c>
      <c r="C390" s="2" t="str">
        <f>RIGHT(ProductInfo[[#This Row],[Drawing No]],1)</f>
        <v>1</v>
      </c>
      <c r="D390" s="176" t="s">
        <v>5400</v>
      </c>
      <c r="E390" s="16" t="s">
        <v>3492</v>
      </c>
      <c r="F390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0" s="59">
        <v>207</v>
      </c>
      <c r="H390" s="59">
        <v>100</v>
      </c>
      <c r="I390" s="1">
        <f>COUNTA(ProductInfo[[#This Row],[P1]:[P15]])</f>
        <v>2</v>
      </c>
      <c r="J3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0" s="7" t="s">
        <v>12</v>
      </c>
      <c r="M390" s="7" t="s">
        <v>13</v>
      </c>
      <c r="N390" s="7"/>
      <c r="O390" s="7"/>
      <c r="P390" s="7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s="1" customFormat="1">
      <c r="A391" s="8" t="s">
        <v>5364</v>
      </c>
      <c r="B391" s="8" t="s">
        <v>5333</v>
      </c>
      <c r="C391" s="2" t="str">
        <f>RIGHT(ProductInfo[[#This Row],[Drawing No]],1)</f>
        <v>1</v>
      </c>
      <c r="D391" s="176" t="s">
        <v>5401</v>
      </c>
      <c r="E391" s="16" t="s">
        <v>3492</v>
      </c>
      <c r="F39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1" s="59">
        <v>212</v>
      </c>
      <c r="H391" s="59">
        <v>100</v>
      </c>
      <c r="I391" s="1">
        <f>COUNTA(ProductInfo[[#This Row],[P1]:[P15]])</f>
        <v>2</v>
      </c>
      <c r="J3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1" s="7" t="s">
        <v>12</v>
      </c>
      <c r="M391" s="7" t="s">
        <v>13</v>
      </c>
      <c r="N391" s="7"/>
      <c r="O391" s="7"/>
      <c r="P391" s="7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s="1" customFormat="1">
      <c r="A392" s="8" t="s">
        <v>5365</v>
      </c>
      <c r="B392" s="8" t="s">
        <v>5333</v>
      </c>
      <c r="C392" s="2" t="str">
        <f>RIGHT(ProductInfo[[#This Row],[Drawing No]],1)</f>
        <v>1</v>
      </c>
      <c r="D392" s="176" t="s">
        <v>5402</v>
      </c>
      <c r="E392" s="16" t="s">
        <v>3492</v>
      </c>
      <c r="F392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2" s="59">
        <v>217</v>
      </c>
      <c r="H392" s="59">
        <v>100</v>
      </c>
      <c r="I392" s="1">
        <f>COUNTA(ProductInfo[[#This Row],[P1]:[P15]])</f>
        <v>2</v>
      </c>
      <c r="J3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2" s="7" t="s">
        <v>12</v>
      </c>
      <c r="M392" s="7" t="s">
        <v>13</v>
      </c>
      <c r="N392" s="7"/>
      <c r="O392" s="7"/>
      <c r="P392" s="7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s="1" customFormat="1">
      <c r="A393" s="8" t="s">
        <v>5366</v>
      </c>
      <c r="B393" s="8" t="s">
        <v>5333</v>
      </c>
      <c r="C393" s="2" t="str">
        <f>RIGHT(ProductInfo[[#This Row],[Drawing No]],1)</f>
        <v>1</v>
      </c>
      <c r="D393" s="176" t="s">
        <v>5403</v>
      </c>
      <c r="E393" s="16" t="s">
        <v>3492</v>
      </c>
      <c r="F393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3" s="59">
        <v>222</v>
      </c>
      <c r="H393" s="59">
        <v>100</v>
      </c>
      <c r="I393" s="1">
        <f>COUNTA(ProductInfo[[#This Row],[P1]:[P15]])</f>
        <v>2</v>
      </c>
      <c r="J3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3" s="7" t="s">
        <v>12</v>
      </c>
      <c r="M393" s="7" t="s">
        <v>13</v>
      </c>
      <c r="N393" s="7"/>
      <c r="O393" s="7"/>
      <c r="P393" s="7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s="1" customFormat="1">
      <c r="A394" s="8" t="s">
        <v>5367</v>
      </c>
      <c r="B394" s="8" t="s">
        <v>5333</v>
      </c>
      <c r="C394" s="2" t="str">
        <f>RIGHT(ProductInfo[[#This Row],[Drawing No]],1)</f>
        <v>1</v>
      </c>
      <c r="D394" s="176" t="s">
        <v>5404</v>
      </c>
      <c r="E394" s="16" t="s">
        <v>3492</v>
      </c>
      <c r="F39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4" s="59">
        <v>227</v>
      </c>
      <c r="H394" s="59">
        <v>100</v>
      </c>
      <c r="I394" s="1">
        <f>COUNTA(ProductInfo[[#This Row],[P1]:[P15]])</f>
        <v>2</v>
      </c>
      <c r="J3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4" s="7" t="s">
        <v>12</v>
      </c>
      <c r="M394" s="7" t="s">
        <v>13</v>
      </c>
      <c r="N394" s="7"/>
      <c r="O394" s="7"/>
      <c r="P394" s="7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s="1" customFormat="1">
      <c r="A395" s="8" t="s">
        <v>5368</v>
      </c>
      <c r="B395" s="8" t="s">
        <v>5333</v>
      </c>
      <c r="C395" s="2" t="str">
        <f>RIGHT(ProductInfo[[#This Row],[Drawing No]],1)</f>
        <v>1</v>
      </c>
      <c r="D395" s="176" t="s">
        <v>5405</v>
      </c>
      <c r="E395" s="16" t="s">
        <v>3492</v>
      </c>
      <c r="F395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5" s="59">
        <v>232</v>
      </c>
      <c r="H395" s="59">
        <v>100</v>
      </c>
      <c r="I395" s="1">
        <f>COUNTA(ProductInfo[[#This Row],[P1]:[P15]])</f>
        <v>2</v>
      </c>
      <c r="J3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5" s="7" t="s">
        <v>12</v>
      </c>
      <c r="M395" s="7" t="s">
        <v>13</v>
      </c>
      <c r="N395" s="7"/>
      <c r="O395" s="7"/>
      <c r="P395" s="7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s="1" customFormat="1">
      <c r="A396" s="8" t="s">
        <v>5369</v>
      </c>
      <c r="B396" s="8" t="s">
        <v>5333</v>
      </c>
      <c r="C396" s="2" t="str">
        <f>RIGHT(ProductInfo[[#This Row],[Drawing No]],1)</f>
        <v>1</v>
      </c>
      <c r="D396" s="176" t="s">
        <v>5406</v>
      </c>
      <c r="E396" s="16" t="s">
        <v>3492</v>
      </c>
      <c r="F396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6" s="59">
        <v>237</v>
      </c>
      <c r="H396" s="59">
        <v>100</v>
      </c>
      <c r="I396" s="1">
        <f>COUNTA(ProductInfo[[#This Row],[P1]:[P15]])</f>
        <v>2</v>
      </c>
      <c r="J3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6" s="7" t="s">
        <v>12</v>
      </c>
      <c r="M396" s="7" t="s">
        <v>13</v>
      </c>
      <c r="N396" s="7"/>
      <c r="O396" s="7"/>
      <c r="P396" s="7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s="1" customFormat="1">
      <c r="A397" s="8" t="s">
        <v>5370</v>
      </c>
      <c r="B397" s="8" t="s">
        <v>5333</v>
      </c>
      <c r="C397" s="2" t="str">
        <f>RIGHT(ProductInfo[[#This Row],[Drawing No]],1)</f>
        <v>1</v>
      </c>
      <c r="D397" s="176" t="s">
        <v>5407</v>
      </c>
      <c r="E397" s="16" t="s">
        <v>3492</v>
      </c>
      <c r="F397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7" s="59">
        <v>242</v>
      </c>
      <c r="H397" s="59">
        <v>100</v>
      </c>
      <c r="I397" s="1">
        <f>COUNTA(ProductInfo[[#This Row],[P1]:[P15]])</f>
        <v>2</v>
      </c>
      <c r="J3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7" s="7" t="s">
        <v>12</v>
      </c>
      <c r="M397" s="7" t="s">
        <v>13</v>
      </c>
      <c r="N397" s="7"/>
      <c r="O397" s="7"/>
      <c r="P397" s="7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s="1" customFormat="1">
      <c r="A398" s="8" t="s">
        <v>5371</v>
      </c>
      <c r="B398" s="8" t="s">
        <v>5333</v>
      </c>
      <c r="C398" s="2" t="str">
        <f>RIGHT(ProductInfo[[#This Row],[Drawing No]],1)</f>
        <v>1</v>
      </c>
      <c r="D398" s="176" t="s">
        <v>5408</v>
      </c>
      <c r="E398" s="16" t="s">
        <v>3492</v>
      </c>
      <c r="F398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8" s="59">
        <v>247</v>
      </c>
      <c r="H398" s="59">
        <v>100</v>
      </c>
      <c r="I398" s="1">
        <f>COUNTA(ProductInfo[[#This Row],[P1]:[P15]])</f>
        <v>2</v>
      </c>
      <c r="J3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8" s="7" t="s">
        <v>12</v>
      </c>
      <c r="M398" s="7" t="s">
        <v>13</v>
      </c>
      <c r="N398" s="7"/>
      <c r="O398" s="7"/>
      <c r="P398" s="7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s="1" customFormat="1">
      <c r="A399" s="8" t="s">
        <v>5372</v>
      </c>
      <c r="B399" s="8" t="s">
        <v>5333</v>
      </c>
      <c r="C399" s="2" t="str">
        <f>RIGHT(ProductInfo[[#This Row],[Drawing No]],1)</f>
        <v>1</v>
      </c>
      <c r="D399" s="176" t="s">
        <v>5409</v>
      </c>
      <c r="E399" s="16" t="s">
        <v>3492</v>
      </c>
      <c r="F399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399" s="59">
        <v>252</v>
      </c>
      <c r="H399" s="59">
        <v>100</v>
      </c>
      <c r="I399" s="1">
        <f>COUNTA(ProductInfo[[#This Row],[P1]:[P15]])</f>
        <v>2</v>
      </c>
      <c r="J3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3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399" s="7" t="s">
        <v>12</v>
      </c>
      <c r="M399" s="7" t="s">
        <v>13</v>
      </c>
      <c r="N399" s="7"/>
      <c r="O399" s="7"/>
      <c r="P399" s="7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s="1" customFormat="1">
      <c r="A400" s="8" t="s">
        <v>5373</v>
      </c>
      <c r="B400" s="8" t="s">
        <v>5333</v>
      </c>
      <c r="C400" s="2" t="str">
        <f>RIGHT(ProductInfo[[#This Row],[Drawing No]],1)</f>
        <v>1</v>
      </c>
      <c r="D400" s="176" t="s">
        <v>5410</v>
      </c>
      <c r="E400" s="16" t="s">
        <v>3492</v>
      </c>
      <c r="F400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0" s="59">
        <v>257</v>
      </c>
      <c r="H400" s="59">
        <v>100</v>
      </c>
      <c r="I400" s="1">
        <f>COUNTA(ProductInfo[[#This Row],[P1]:[P15]])</f>
        <v>2</v>
      </c>
      <c r="J4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0" s="7" t="s">
        <v>12</v>
      </c>
      <c r="M400" s="7" t="s">
        <v>13</v>
      </c>
      <c r="N400" s="7"/>
      <c r="O400" s="7"/>
      <c r="P400" s="7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s="1" customFormat="1">
      <c r="A401" s="8" t="s">
        <v>5374</v>
      </c>
      <c r="B401" s="8" t="s">
        <v>5333</v>
      </c>
      <c r="C401" s="2" t="str">
        <f>RIGHT(ProductInfo[[#This Row],[Drawing No]],1)</f>
        <v>1</v>
      </c>
      <c r="D401" s="176" t="s">
        <v>5421</v>
      </c>
      <c r="E401" s="16" t="s">
        <v>3492</v>
      </c>
      <c r="F40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1" s="59">
        <v>262</v>
      </c>
      <c r="H401" s="59">
        <v>100</v>
      </c>
      <c r="I401" s="1">
        <f>COUNTA(ProductInfo[[#This Row],[P1]:[P15]])</f>
        <v>2</v>
      </c>
      <c r="J4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1" s="7" t="s">
        <v>12</v>
      </c>
      <c r="M401" s="7" t="s">
        <v>13</v>
      </c>
      <c r="N401" s="7"/>
      <c r="O401" s="7"/>
      <c r="P401" s="7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s="1" customFormat="1">
      <c r="A402" s="8" t="s">
        <v>5375</v>
      </c>
      <c r="B402" s="8" t="s">
        <v>5333</v>
      </c>
      <c r="C402" s="2" t="str">
        <f>RIGHT(ProductInfo[[#This Row],[Drawing No]],1)</f>
        <v>1</v>
      </c>
      <c r="D402" s="176" t="s">
        <v>5411</v>
      </c>
      <c r="E402" s="16" t="s">
        <v>3492</v>
      </c>
      <c r="F402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2" s="59">
        <v>272</v>
      </c>
      <c r="H402" s="59">
        <v>100</v>
      </c>
      <c r="I402" s="1">
        <f>COUNTA(ProductInfo[[#This Row],[P1]:[P15]])</f>
        <v>2</v>
      </c>
      <c r="J4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2" s="7" t="s">
        <v>12</v>
      </c>
      <c r="M402" s="7" t="s">
        <v>13</v>
      </c>
      <c r="N402" s="7"/>
      <c r="O402" s="7"/>
      <c r="P402" s="7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s="1" customFormat="1">
      <c r="A403" s="8" t="s">
        <v>5376</v>
      </c>
      <c r="B403" s="8" t="s">
        <v>5333</v>
      </c>
      <c r="C403" s="2" t="str">
        <f>RIGHT(ProductInfo[[#This Row],[Drawing No]],1)</f>
        <v>1</v>
      </c>
      <c r="D403" s="176" t="s">
        <v>5412</v>
      </c>
      <c r="E403" s="16" t="s">
        <v>3492</v>
      </c>
      <c r="F403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3" s="59">
        <v>277</v>
      </c>
      <c r="H403" s="59">
        <v>100</v>
      </c>
      <c r="I403" s="1">
        <f>COUNTA(ProductInfo[[#This Row],[P1]:[P15]])</f>
        <v>2</v>
      </c>
      <c r="J4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3" s="7" t="s">
        <v>12</v>
      </c>
      <c r="M403" s="7" t="s">
        <v>13</v>
      </c>
      <c r="N403" s="7"/>
      <c r="O403" s="7"/>
      <c r="P403" s="7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s="1" customFormat="1">
      <c r="A404" s="8" t="s">
        <v>5377</v>
      </c>
      <c r="B404" s="8" t="s">
        <v>5333</v>
      </c>
      <c r="C404" s="2" t="str">
        <f>RIGHT(ProductInfo[[#This Row],[Drawing No]],1)</f>
        <v>1</v>
      </c>
      <c r="D404" s="176" t="s">
        <v>5413</v>
      </c>
      <c r="E404" s="16" t="s">
        <v>3492</v>
      </c>
      <c r="F40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4" s="59">
        <v>282</v>
      </c>
      <c r="H404" s="59">
        <v>100</v>
      </c>
      <c r="I404" s="1">
        <f>COUNTA(ProductInfo[[#This Row],[P1]:[P15]])</f>
        <v>2</v>
      </c>
      <c r="J4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4" s="7" t="s">
        <v>12</v>
      </c>
      <c r="M404" s="7" t="s">
        <v>13</v>
      </c>
      <c r="N404" s="7"/>
      <c r="O404" s="7"/>
      <c r="P404" s="7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s="1" customFormat="1">
      <c r="A405" s="8" t="s">
        <v>5378</v>
      </c>
      <c r="B405" s="8" t="s">
        <v>5333</v>
      </c>
      <c r="C405" s="2" t="str">
        <f>RIGHT(ProductInfo[[#This Row],[Drawing No]],1)</f>
        <v>1</v>
      </c>
      <c r="D405" s="176" t="s">
        <v>5415</v>
      </c>
      <c r="E405" s="16" t="s">
        <v>3492</v>
      </c>
      <c r="F405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5" s="59">
        <v>292</v>
      </c>
      <c r="H405" s="59">
        <v>100</v>
      </c>
      <c r="I405" s="1">
        <f>COUNTA(ProductInfo[[#This Row],[P1]:[P15]])</f>
        <v>2</v>
      </c>
      <c r="J4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5" s="7" t="s">
        <v>12</v>
      </c>
      <c r="M405" s="7" t="s">
        <v>13</v>
      </c>
      <c r="N405" s="7"/>
      <c r="O405" s="7"/>
      <c r="P405" s="7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s="1" customFormat="1">
      <c r="A406" s="8" t="s">
        <v>5379</v>
      </c>
      <c r="B406" s="8" t="s">
        <v>5333</v>
      </c>
      <c r="C406" s="2" t="str">
        <f>RIGHT(ProductInfo[[#This Row],[Drawing No]],1)</f>
        <v>1</v>
      </c>
      <c r="D406" s="176" t="s">
        <v>5414</v>
      </c>
      <c r="E406" s="16" t="s">
        <v>3492</v>
      </c>
      <c r="F406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6" s="59">
        <v>302</v>
      </c>
      <c r="H406" s="59">
        <v>100</v>
      </c>
      <c r="I406" s="1">
        <f>COUNTA(ProductInfo[[#This Row],[P1]:[P15]])</f>
        <v>2</v>
      </c>
      <c r="J4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6" s="7" t="s">
        <v>12</v>
      </c>
      <c r="M406" s="7" t="s">
        <v>13</v>
      </c>
      <c r="N406" s="7"/>
      <c r="O406" s="7"/>
      <c r="P406" s="7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s="1" customFormat="1">
      <c r="A407" s="8" t="s">
        <v>5380</v>
      </c>
      <c r="B407" s="8" t="s">
        <v>5333</v>
      </c>
      <c r="C407" s="2" t="str">
        <f>RIGHT(ProductInfo[[#This Row],[Drawing No]],1)</f>
        <v>1</v>
      </c>
      <c r="D407" s="176" t="s">
        <v>5416</v>
      </c>
      <c r="E407" s="16" t="s">
        <v>3492</v>
      </c>
      <c r="F407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7" s="59">
        <v>312</v>
      </c>
      <c r="H407" s="59">
        <v>100</v>
      </c>
      <c r="I407" s="1">
        <f>COUNTA(ProductInfo[[#This Row],[P1]:[P15]])</f>
        <v>2</v>
      </c>
      <c r="J4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7" s="7" t="s">
        <v>12</v>
      </c>
      <c r="M407" s="7" t="s">
        <v>13</v>
      </c>
      <c r="N407" s="7"/>
      <c r="O407" s="7"/>
      <c r="P407" s="7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s="1" customFormat="1">
      <c r="A408" s="8" t="s">
        <v>5381</v>
      </c>
      <c r="B408" s="8" t="s">
        <v>5333</v>
      </c>
      <c r="C408" s="2" t="str">
        <f>RIGHT(ProductInfo[[#This Row],[Drawing No]],1)</f>
        <v>1</v>
      </c>
      <c r="D408" s="176" t="s">
        <v>5417</v>
      </c>
      <c r="E408" s="16" t="s">
        <v>3492</v>
      </c>
      <c r="F408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8" s="59">
        <v>322</v>
      </c>
      <c r="H408" s="59">
        <v>100</v>
      </c>
      <c r="I408" s="1">
        <f>COUNTA(ProductInfo[[#This Row],[P1]:[P15]])</f>
        <v>2</v>
      </c>
      <c r="J4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8" s="7" t="s">
        <v>12</v>
      </c>
      <c r="M408" s="7" t="s">
        <v>13</v>
      </c>
      <c r="N408" s="7"/>
      <c r="O408" s="7"/>
      <c r="P408" s="7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s="1" customFormat="1">
      <c r="A409" s="8" t="s">
        <v>5382</v>
      </c>
      <c r="B409" s="8" t="s">
        <v>5333</v>
      </c>
      <c r="C409" s="2" t="str">
        <f>RIGHT(ProductInfo[[#This Row],[Drawing No]],1)</f>
        <v>1</v>
      </c>
      <c r="D409" s="176" t="s">
        <v>5418</v>
      </c>
      <c r="E409" s="16" t="s">
        <v>3492</v>
      </c>
      <c r="F409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09" s="59">
        <v>332</v>
      </c>
      <c r="H409" s="59">
        <v>100</v>
      </c>
      <c r="I409" s="1">
        <f>COUNTA(ProductInfo[[#This Row],[P1]:[P15]])</f>
        <v>2</v>
      </c>
      <c r="J4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09" s="7" t="s">
        <v>12</v>
      </c>
      <c r="M409" s="7" t="s">
        <v>13</v>
      </c>
      <c r="N409" s="7"/>
      <c r="O409" s="7"/>
      <c r="P409" s="7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s="1" customFormat="1">
      <c r="A410" s="8" t="s">
        <v>5383</v>
      </c>
      <c r="B410" s="8" t="s">
        <v>5333</v>
      </c>
      <c r="C410" s="2" t="str">
        <f>RIGHT(ProductInfo[[#This Row],[Drawing No]],1)</f>
        <v>1</v>
      </c>
      <c r="D410" s="176" t="s">
        <v>5419</v>
      </c>
      <c r="E410" s="16" t="s">
        <v>3492</v>
      </c>
      <c r="F410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10" s="59">
        <v>342</v>
      </c>
      <c r="H410" s="59">
        <v>100</v>
      </c>
      <c r="I410" s="1">
        <f>COUNTA(ProductInfo[[#This Row],[P1]:[P15]])</f>
        <v>2</v>
      </c>
      <c r="J4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0" s="7" t="s">
        <v>12</v>
      </c>
      <c r="M410" s="7" t="s">
        <v>13</v>
      </c>
      <c r="N410" s="7"/>
      <c r="O410" s="7"/>
      <c r="P410" s="7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s="1" customFormat="1">
      <c r="A411" s="8" t="s">
        <v>5384</v>
      </c>
      <c r="B411" s="8" t="s">
        <v>5333</v>
      </c>
      <c r="C411" s="2" t="str">
        <f>RIGHT(ProductInfo[[#This Row],[Drawing No]],1)</f>
        <v>1</v>
      </c>
      <c r="D411" s="176" t="s">
        <v>5420</v>
      </c>
      <c r="E411" s="16" t="s">
        <v>3492</v>
      </c>
      <c r="F41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411" s="59">
        <v>352</v>
      </c>
      <c r="H411" s="59">
        <v>100</v>
      </c>
      <c r="I411" s="1">
        <f>COUNTA(ProductInfo[[#This Row],[P1]:[P15]])</f>
        <v>2</v>
      </c>
      <c r="J4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1" s="7" t="s">
        <v>12</v>
      </c>
      <c r="M411" s="7" t="s">
        <v>13</v>
      </c>
      <c r="N411" s="7"/>
      <c r="O411" s="7"/>
      <c r="P411" s="7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s="1" customFormat="1">
      <c r="A412" s="8" t="s">
        <v>544</v>
      </c>
      <c r="B412" s="8" t="s">
        <v>544</v>
      </c>
      <c r="C412" s="1" t="str">
        <f>RIGHT(ProductInfo[[#This Row],[Drawing No]],1)</f>
        <v>0</v>
      </c>
      <c r="D412" s="176" t="s">
        <v>2346</v>
      </c>
      <c r="E412" s="16"/>
      <c r="F4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2" s="31"/>
      <c r="H412" s="31"/>
      <c r="I412" s="1">
        <f>COUNTA(ProductInfo[[#This Row],[P1]:[P15]])</f>
        <v>0</v>
      </c>
      <c r="J4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s="1" customFormat="1">
      <c r="A413" s="8" t="s">
        <v>545</v>
      </c>
      <c r="B413" s="8" t="s">
        <v>545</v>
      </c>
      <c r="C413" s="1" t="str">
        <f>RIGHT(ProductInfo[[#This Row],[Drawing No]],1)</f>
        <v>0</v>
      </c>
      <c r="D413" s="179" t="s">
        <v>546</v>
      </c>
      <c r="E413" s="18"/>
      <c r="F41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3" s="32"/>
      <c r="H413" s="3">
        <v>90</v>
      </c>
      <c r="I413" s="1">
        <f>COUNTA(ProductInfo[[#This Row],[P1]:[P15]])</f>
        <v>0</v>
      </c>
      <c r="J4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s="1" customFormat="1">
      <c r="A414" s="8" t="s">
        <v>547</v>
      </c>
      <c r="B414" s="8" t="s">
        <v>5126</v>
      </c>
      <c r="C414" s="1" t="str">
        <f>RIGHT(ProductInfo[[#This Row],[Drawing No]],1)</f>
        <v>0</v>
      </c>
      <c r="D414" s="179" t="s">
        <v>4022</v>
      </c>
      <c r="E414" s="32" t="s">
        <v>3506</v>
      </c>
      <c r="F414" s="26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414" s="59">
        <v>67</v>
      </c>
      <c r="H414" s="3">
        <v>90</v>
      </c>
      <c r="I414" s="1">
        <f>COUNTA(ProductInfo[[#This Row],[P1]:[P15]])</f>
        <v>3</v>
      </c>
      <c r="J4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4" s="7" t="s">
        <v>12</v>
      </c>
      <c r="M414" s="7" t="s">
        <v>13</v>
      </c>
      <c r="N414" s="7" t="s">
        <v>14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s="1" customFormat="1">
      <c r="A415" s="8" t="s">
        <v>548</v>
      </c>
      <c r="B415" s="8" t="s">
        <v>548</v>
      </c>
      <c r="C415" s="1" t="str">
        <f>RIGHT(ProductInfo[[#This Row],[Drawing No]],1)</f>
        <v>0</v>
      </c>
      <c r="D415" s="176" t="s">
        <v>3151</v>
      </c>
      <c r="E415" s="16"/>
      <c r="F4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5" s="31"/>
      <c r="H415" s="3">
        <v>90</v>
      </c>
      <c r="I415" s="1">
        <f>COUNTA(ProductInfo[[#This Row],[P1]:[P15]])</f>
        <v>0</v>
      </c>
      <c r="J4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s="1" customFormat="1">
      <c r="A416" s="8" t="s">
        <v>549</v>
      </c>
      <c r="B416" s="8" t="s">
        <v>549</v>
      </c>
      <c r="C416" s="1" t="str">
        <f>RIGHT(ProductInfo[[#This Row],[Drawing No]],1)</f>
        <v>0</v>
      </c>
      <c r="D416" s="176" t="s">
        <v>550</v>
      </c>
      <c r="E416" s="16"/>
      <c r="F4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6" s="31"/>
      <c r="H416" s="59">
        <v>100</v>
      </c>
      <c r="I416" s="1">
        <f>COUNTA(ProductInfo[[#This Row],[P1]:[P15]])</f>
        <v>0</v>
      </c>
      <c r="J4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s="1" customFormat="1">
      <c r="A417" s="8" t="s">
        <v>551</v>
      </c>
      <c r="B417" s="8" t="s">
        <v>551</v>
      </c>
      <c r="C417" s="1" t="str">
        <f>RIGHT(ProductInfo[[#This Row],[Drawing No]],1)</f>
        <v>1</v>
      </c>
      <c r="D417" s="176" t="s">
        <v>550</v>
      </c>
      <c r="E417" s="16"/>
      <c r="F4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7" s="31"/>
      <c r="H417" s="59">
        <v>100</v>
      </c>
      <c r="I417" s="1">
        <f>COUNTA(ProductInfo[[#This Row],[P1]:[P15]])</f>
        <v>0</v>
      </c>
      <c r="J4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s="1" customFormat="1">
      <c r="A418" s="8" t="s">
        <v>552</v>
      </c>
      <c r="B418" s="8" t="s">
        <v>552</v>
      </c>
      <c r="C418" s="1" t="str">
        <f>RIGHT(ProductInfo[[#This Row],[Drawing No]],1)</f>
        <v>2</v>
      </c>
      <c r="D418" s="176" t="s">
        <v>553</v>
      </c>
      <c r="E418" s="16"/>
      <c r="F4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8" s="31"/>
      <c r="H418" s="59">
        <v>100</v>
      </c>
      <c r="I418" s="1">
        <f>COUNTA(ProductInfo[[#This Row],[P1]:[P15]])</f>
        <v>0</v>
      </c>
      <c r="J4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s="1" customFormat="1">
      <c r="A419" s="8" t="s">
        <v>554</v>
      </c>
      <c r="B419" s="8" t="s">
        <v>554</v>
      </c>
      <c r="C419" s="1" t="str">
        <f>RIGHT(ProductInfo[[#This Row],[Drawing No]],1)</f>
        <v>1</v>
      </c>
      <c r="D419" s="176" t="s">
        <v>3152</v>
      </c>
      <c r="E419" s="16"/>
      <c r="F4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19" s="31"/>
      <c r="H419" s="3">
        <v>90</v>
      </c>
      <c r="I419" s="1">
        <f>COUNTA(ProductInfo[[#This Row],[P1]:[P15]])</f>
        <v>0</v>
      </c>
      <c r="J4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s="1" customFormat="1">
      <c r="A420" s="8" t="s">
        <v>555</v>
      </c>
      <c r="B420" s="8" t="s">
        <v>555</v>
      </c>
      <c r="C420" s="1" t="str">
        <f>RIGHT(ProductInfo[[#This Row],[Drawing No]],1)</f>
        <v>3</v>
      </c>
      <c r="D420" s="176" t="s">
        <v>3152</v>
      </c>
      <c r="E420" s="16"/>
      <c r="F4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0" s="31"/>
      <c r="H420" s="3">
        <v>90</v>
      </c>
      <c r="I420" s="1">
        <f>COUNTA(ProductInfo[[#This Row],[P1]:[P15]])</f>
        <v>0</v>
      </c>
      <c r="J4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s="1" customFormat="1">
      <c r="A421" s="8" t="s">
        <v>556</v>
      </c>
      <c r="B421" s="8" t="s">
        <v>556</v>
      </c>
      <c r="C421" s="1" t="str">
        <f>RIGHT(ProductInfo[[#This Row],[Drawing No]],1)</f>
        <v>4</v>
      </c>
      <c r="D421" s="176" t="s">
        <v>3153</v>
      </c>
      <c r="E421" s="16"/>
      <c r="F4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1" s="31"/>
      <c r="H421" s="3">
        <v>90</v>
      </c>
      <c r="I421" s="1">
        <f>COUNTA(ProductInfo[[#This Row],[P1]:[P15]])</f>
        <v>0</v>
      </c>
      <c r="J4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s="1" customFormat="1">
      <c r="A422" s="8" t="s">
        <v>557</v>
      </c>
      <c r="B422" s="8" t="s">
        <v>3589</v>
      </c>
      <c r="C422" s="1" t="str">
        <f>RIGHT(ProductInfo[[#This Row],[Drawing No]],1)</f>
        <v>1</v>
      </c>
      <c r="D422" s="176" t="s">
        <v>3152</v>
      </c>
      <c r="E422" s="16"/>
      <c r="F4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2" s="31" t="s">
        <v>3590</v>
      </c>
      <c r="H422" s="3">
        <v>90</v>
      </c>
      <c r="I422" s="1">
        <f>COUNTA(ProductInfo[[#This Row],[P1]:[P15]])</f>
        <v>2</v>
      </c>
      <c r="J4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2" s="7" t="s">
        <v>12</v>
      </c>
      <c r="M422" s="7" t="s">
        <v>13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s="1" customFormat="1">
      <c r="A423" s="8" t="s">
        <v>558</v>
      </c>
      <c r="B423" s="8" t="s">
        <v>3588</v>
      </c>
      <c r="C423" s="1" t="str">
        <f>RIGHT(ProductInfo[[#This Row],[Drawing No]],1)</f>
        <v>1</v>
      </c>
      <c r="D423" s="176" t="s">
        <v>4932</v>
      </c>
      <c r="E423" s="16" t="s">
        <v>3467</v>
      </c>
      <c r="F423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423" s="59">
        <v>77</v>
      </c>
      <c r="H423" s="3">
        <v>90</v>
      </c>
      <c r="I423" s="1">
        <f>COUNTA(ProductInfo[[#This Row],[P1]:[P15]])</f>
        <v>2</v>
      </c>
      <c r="J4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3" s="7" t="s">
        <v>12</v>
      </c>
      <c r="M423" s="7" t="s">
        <v>13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s="1" customFormat="1">
      <c r="A424" s="8" t="s">
        <v>559</v>
      </c>
      <c r="B424" s="8" t="s">
        <v>559</v>
      </c>
      <c r="C424" s="1" t="str">
        <f>RIGHT(ProductInfo[[#This Row],[Drawing No]],1)</f>
        <v>0</v>
      </c>
      <c r="D424" s="176" t="s">
        <v>3154</v>
      </c>
      <c r="E424" s="16"/>
      <c r="F4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4" s="31"/>
      <c r="H424" s="3">
        <v>90</v>
      </c>
      <c r="I424" s="1">
        <f>COUNTA(ProductInfo[[#This Row],[P1]:[P15]])</f>
        <v>0</v>
      </c>
      <c r="J4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s="1" customFormat="1">
      <c r="A425" s="8" t="s">
        <v>560</v>
      </c>
      <c r="B425" s="8" t="s">
        <v>560</v>
      </c>
      <c r="C425" s="1" t="str">
        <f>RIGHT(ProductInfo[[#This Row],[Drawing No]],1)</f>
        <v>0</v>
      </c>
      <c r="D425" s="176" t="s">
        <v>3155</v>
      </c>
      <c r="E425" s="16"/>
      <c r="F4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5" s="31"/>
      <c r="H425" s="3">
        <v>90</v>
      </c>
      <c r="I425" s="1">
        <f>COUNTA(ProductInfo[[#This Row],[P1]:[P15]])</f>
        <v>3</v>
      </c>
      <c r="J4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5" s="7" t="s">
        <v>12</v>
      </c>
      <c r="M425" s="7" t="s">
        <v>13</v>
      </c>
      <c r="N425" s="7" t="s">
        <v>14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s="1" customFormat="1">
      <c r="A426" s="8" t="s">
        <v>560</v>
      </c>
      <c r="B426" s="8" t="s">
        <v>5624</v>
      </c>
      <c r="C426" s="2" t="str">
        <f>RIGHT(ProductInfo[[#This Row],[Drawing No]],1)</f>
        <v>1</v>
      </c>
      <c r="D426" s="176" t="s">
        <v>5613</v>
      </c>
      <c r="E426" s="16" t="s">
        <v>3467</v>
      </c>
      <c r="F426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426" s="59">
        <v>82</v>
      </c>
      <c r="H426" s="59">
        <v>100</v>
      </c>
      <c r="I426" s="1">
        <f>COUNTA(ProductInfo[[#This Row],[P1]:[P15]])</f>
        <v>2</v>
      </c>
      <c r="J4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6" s="7" t="s">
        <v>12</v>
      </c>
      <c r="M426" s="7" t="s">
        <v>13</v>
      </c>
      <c r="N426" s="7"/>
      <c r="O426" s="4"/>
      <c r="P426" s="7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s="1" customFormat="1">
      <c r="A427" s="8" t="s">
        <v>561</v>
      </c>
      <c r="B427" s="8" t="s">
        <v>561</v>
      </c>
      <c r="C427" s="1" t="str">
        <f>RIGHT(ProductInfo[[#This Row],[Drawing No]],1)</f>
        <v>3</v>
      </c>
      <c r="D427" s="176" t="s">
        <v>562</v>
      </c>
      <c r="E427" s="16"/>
      <c r="F4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7" s="31"/>
      <c r="H427" s="59">
        <v>100</v>
      </c>
      <c r="I427" s="1">
        <f>COUNTA(ProductInfo[[#This Row],[P1]:[P15]])</f>
        <v>0</v>
      </c>
      <c r="J4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s="1" customFormat="1">
      <c r="A428" s="8" t="s">
        <v>563</v>
      </c>
      <c r="B428" s="8" t="s">
        <v>563</v>
      </c>
      <c r="C428" s="1" t="str">
        <f>RIGHT(ProductInfo[[#This Row],[Drawing No]],1)</f>
        <v>4</v>
      </c>
      <c r="D428" s="176" t="s">
        <v>562</v>
      </c>
      <c r="E428" s="16"/>
      <c r="F4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8" s="31"/>
      <c r="H428" s="59">
        <v>100</v>
      </c>
      <c r="I428" s="1">
        <f>COUNTA(ProductInfo[[#This Row],[P1]:[P15]])</f>
        <v>0</v>
      </c>
      <c r="J4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s="1" customFormat="1">
      <c r="A429" s="8" t="s">
        <v>564</v>
      </c>
      <c r="B429" s="8" t="s">
        <v>564</v>
      </c>
      <c r="C429" s="1" t="str">
        <f>RIGHT(ProductInfo[[#This Row],[Drawing No]],1)</f>
        <v>5</v>
      </c>
      <c r="D429" s="176" t="s">
        <v>562</v>
      </c>
      <c r="E429" s="16"/>
      <c r="F4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29" s="31"/>
      <c r="H429" s="59">
        <v>100</v>
      </c>
      <c r="I429" s="1">
        <f>COUNTA(ProductInfo[[#This Row],[P1]:[P15]])</f>
        <v>0</v>
      </c>
      <c r="J4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s="1" customFormat="1">
      <c r="A430" s="8" t="s">
        <v>565</v>
      </c>
      <c r="B430" s="8" t="s">
        <v>3589</v>
      </c>
      <c r="C430" s="1" t="str">
        <f>RIGHT(ProductInfo[[#This Row],[Drawing No]],1)</f>
        <v>1</v>
      </c>
      <c r="D430" s="179" t="s">
        <v>566</v>
      </c>
      <c r="E430" s="18"/>
      <c r="F43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0" s="32" t="s">
        <v>3591</v>
      </c>
      <c r="H430" s="3">
        <v>90</v>
      </c>
      <c r="I430" s="1">
        <f>COUNTA(ProductInfo[[#This Row],[P1]:[P15]])</f>
        <v>2</v>
      </c>
      <c r="J4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0" s="7" t="s">
        <v>12</v>
      </c>
      <c r="M430" s="7" t="s">
        <v>13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s="1" customFormat="1">
      <c r="A431" s="8" t="s">
        <v>567</v>
      </c>
      <c r="B431" s="8" t="s">
        <v>567</v>
      </c>
      <c r="C431" s="1" t="str">
        <f>RIGHT(ProductInfo[[#This Row],[Drawing No]],1)</f>
        <v>1</v>
      </c>
      <c r="D431" s="176" t="s">
        <v>2987</v>
      </c>
      <c r="E431" s="16"/>
      <c r="F4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1" s="31"/>
      <c r="H431" s="3">
        <v>90</v>
      </c>
      <c r="I431" s="1">
        <f>COUNTA(ProductInfo[[#This Row],[P1]:[P15]])</f>
        <v>0</v>
      </c>
      <c r="J4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s="1" customFormat="1">
      <c r="A432" s="8" t="s">
        <v>568</v>
      </c>
      <c r="B432" s="8" t="s">
        <v>568</v>
      </c>
      <c r="C432" s="1" t="str">
        <f>RIGHT(ProductInfo[[#This Row],[Drawing No]],1)</f>
        <v>2</v>
      </c>
      <c r="D432" s="176" t="s">
        <v>569</v>
      </c>
      <c r="E432" s="16"/>
      <c r="F4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2" s="31"/>
      <c r="H432" s="3">
        <v>90</v>
      </c>
      <c r="I432" s="1">
        <f>COUNTA(ProductInfo[[#This Row],[P1]:[P15]])</f>
        <v>0</v>
      </c>
      <c r="J4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s="1" customFormat="1">
      <c r="A433" s="8" t="s">
        <v>570</v>
      </c>
      <c r="B433" s="8" t="s">
        <v>570</v>
      </c>
      <c r="C433" s="1" t="str">
        <f>RIGHT(ProductInfo[[#This Row],[Drawing No]],1)</f>
        <v>3</v>
      </c>
      <c r="D433" s="176" t="s">
        <v>569</v>
      </c>
      <c r="E433" s="16"/>
      <c r="F4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3" s="31"/>
      <c r="H433" s="3">
        <v>90</v>
      </c>
      <c r="I433" s="1">
        <f>COUNTA(ProductInfo[[#This Row],[P1]:[P15]])</f>
        <v>0</v>
      </c>
      <c r="J4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s="1" customFormat="1">
      <c r="A434" s="8" t="s">
        <v>571</v>
      </c>
      <c r="B434" s="8" t="s">
        <v>571</v>
      </c>
      <c r="C434" s="1" t="str">
        <f>RIGHT(ProductInfo[[#This Row],[Drawing No]],1)</f>
        <v>4</v>
      </c>
      <c r="D434" s="176" t="s">
        <v>3156</v>
      </c>
      <c r="E434" s="16"/>
      <c r="F4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4" s="31"/>
      <c r="H434" s="3">
        <v>90</v>
      </c>
      <c r="I434" s="1">
        <f>COUNTA(ProductInfo[[#This Row],[P1]:[P15]])</f>
        <v>0</v>
      </c>
      <c r="J4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s="1" customFormat="1">
      <c r="A435" s="8" t="s">
        <v>572</v>
      </c>
      <c r="B435" s="8" t="s">
        <v>3589</v>
      </c>
      <c r="C435" s="1" t="str">
        <f>RIGHT(ProductInfo[[#This Row],[Drawing No]],1)</f>
        <v>1</v>
      </c>
      <c r="D435" s="176" t="s">
        <v>3157</v>
      </c>
      <c r="E435" s="16"/>
      <c r="F4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5" s="32" t="s">
        <v>3592</v>
      </c>
      <c r="H435" s="3">
        <v>90</v>
      </c>
      <c r="I435" s="1">
        <f>COUNTA(ProductInfo[[#This Row],[P1]:[P15]])</f>
        <v>2</v>
      </c>
      <c r="J4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5" s="7" t="s">
        <v>12</v>
      </c>
      <c r="M435" s="7" t="s">
        <v>13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s="1" customFormat="1">
      <c r="A436" s="8" t="s">
        <v>4247</v>
      </c>
      <c r="B436" s="8" t="s">
        <v>3588</v>
      </c>
      <c r="C436" s="2" t="str">
        <f>RIGHT(ProductInfo[[#This Row],[Drawing No]],1)</f>
        <v>1</v>
      </c>
      <c r="D436" s="176" t="s">
        <v>4246</v>
      </c>
      <c r="E436" t="s">
        <v>3467</v>
      </c>
      <c r="F436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436" s="59">
        <v>92</v>
      </c>
      <c r="H436" s="3">
        <v>90</v>
      </c>
      <c r="I436" s="1">
        <f>COUNTA(ProductInfo[[#This Row],[P1]:[P15]])</f>
        <v>2</v>
      </c>
      <c r="J4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6" s="4" t="s">
        <v>12</v>
      </c>
      <c r="M436" s="4" t="s">
        <v>13</v>
      </c>
      <c r="N436" s="4"/>
      <c r="O436" s="4"/>
      <c r="P436" s="7"/>
      <c r="Q436" s="7"/>
      <c r="R436" s="4"/>
      <c r="S436" s="4"/>
      <c r="T436" s="4"/>
      <c r="U436" s="4"/>
      <c r="V436" s="4"/>
      <c r="W436" s="4"/>
      <c r="X436" s="4"/>
      <c r="Y436" s="4"/>
      <c r="Z436" s="4"/>
    </row>
    <row r="437" spans="1:26" s="1" customFormat="1">
      <c r="A437" s="8" t="s">
        <v>573</v>
      </c>
      <c r="B437" s="8" t="s">
        <v>573</v>
      </c>
      <c r="C437" s="1" t="str">
        <f>RIGHT(ProductInfo[[#This Row],[Drawing No]],1)</f>
        <v>0</v>
      </c>
      <c r="D437" s="179" t="s">
        <v>574</v>
      </c>
      <c r="E437" s="18"/>
      <c r="F43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7" s="32"/>
      <c r="H437" s="32"/>
      <c r="I437" s="1">
        <f>COUNTA(ProductInfo[[#This Row],[P1]:[P15]])</f>
        <v>0</v>
      </c>
      <c r="J4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s="1" customFormat="1">
      <c r="A438" s="8" t="s">
        <v>575</v>
      </c>
      <c r="B438" s="8" t="s">
        <v>575</v>
      </c>
      <c r="C438" s="1" t="str">
        <f>RIGHT(ProductInfo[[#This Row],[Drawing No]],1)</f>
        <v>3</v>
      </c>
      <c r="D438" s="176" t="s">
        <v>3244</v>
      </c>
      <c r="E438" s="16"/>
      <c r="F4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8" s="31"/>
      <c r="H438" s="59">
        <v>100</v>
      </c>
      <c r="I438" s="1">
        <f>COUNTA(ProductInfo[[#This Row],[P1]:[P15]])</f>
        <v>0</v>
      </c>
      <c r="J4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s="1" customFormat="1">
      <c r="A439" s="8" t="s">
        <v>576</v>
      </c>
      <c r="B439" s="8" t="s">
        <v>576</v>
      </c>
      <c r="C439" s="1" t="str">
        <f>RIGHT(ProductInfo[[#This Row],[Drawing No]],1)</f>
        <v>4</v>
      </c>
      <c r="D439" s="176" t="s">
        <v>3244</v>
      </c>
      <c r="E439" s="16"/>
      <c r="F4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39" s="31"/>
      <c r="H439" s="59">
        <v>100</v>
      </c>
      <c r="I439" s="1">
        <f>COUNTA(ProductInfo[[#This Row],[P1]:[P15]])</f>
        <v>0</v>
      </c>
      <c r="J4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s="1" customFormat="1">
      <c r="A440" s="8" t="s">
        <v>577</v>
      </c>
      <c r="B440" s="8" t="s">
        <v>577</v>
      </c>
      <c r="C440" s="1" t="str">
        <f>RIGHT(ProductInfo[[#This Row],[Drawing No]],1)</f>
        <v>5</v>
      </c>
      <c r="D440" s="176" t="s">
        <v>3244</v>
      </c>
      <c r="E440" s="16"/>
      <c r="F4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0" s="31"/>
      <c r="H440" s="59">
        <v>100</v>
      </c>
      <c r="I440" s="1">
        <f>COUNTA(ProductInfo[[#This Row],[P1]:[P15]])</f>
        <v>0</v>
      </c>
      <c r="J4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s="1" customFormat="1">
      <c r="A441" s="8" t="s">
        <v>5623</v>
      </c>
      <c r="B441" s="8" t="s">
        <v>5624</v>
      </c>
      <c r="C441" s="2" t="str">
        <f>RIGHT(ProductInfo[[#This Row],[Drawing No]],1)</f>
        <v>1</v>
      </c>
      <c r="D441" s="176" t="s">
        <v>5614</v>
      </c>
      <c r="E441" s="16" t="s">
        <v>3467</v>
      </c>
      <c r="F441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441" s="59">
        <v>102</v>
      </c>
      <c r="H441" s="59">
        <v>100</v>
      </c>
      <c r="I441" s="1">
        <f>COUNTA(ProductInfo[[#This Row],[P1]:[P15]])</f>
        <v>2</v>
      </c>
      <c r="J4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1" s="7" t="s">
        <v>12</v>
      </c>
      <c r="M441" s="7" t="s">
        <v>13</v>
      </c>
      <c r="N441" s="7"/>
      <c r="O441" s="4"/>
      <c r="P441" s="7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s="1" customFormat="1">
      <c r="A442" s="8" t="s">
        <v>578</v>
      </c>
      <c r="B442" s="8" t="s">
        <v>578</v>
      </c>
      <c r="C442" s="1" t="str">
        <f>RIGHT(ProductInfo[[#This Row],[Drawing No]],1)</f>
        <v>0</v>
      </c>
      <c r="D442" s="176" t="s">
        <v>4684</v>
      </c>
      <c r="E442" s="16"/>
      <c r="F4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2" s="31"/>
      <c r="H442" s="59">
        <v>100</v>
      </c>
      <c r="I442" s="1">
        <f>COUNTA(ProductInfo[[#This Row],[P1]:[P15]])</f>
        <v>0</v>
      </c>
      <c r="J4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s="1" customFormat="1">
      <c r="A443" s="8" t="s">
        <v>579</v>
      </c>
      <c r="B443" s="8" t="s">
        <v>579</v>
      </c>
      <c r="C443" s="1" t="str">
        <f>RIGHT(ProductInfo[[#This Row],[Drawing No]],1)</f>
        <v>1</v>
      </c>
      <c r="D443" s="176" t="s">
        <v>580</v>
      </c>
      <c r="E443" s="16"/>
      <c r="F4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3" s="31"/>
      <c r="H443" s="3">
        <v>90</v>
      </c>
      <c r="I443" s="1">
        <f>COUNTA(ProductInfo[[#This Row],[P1]:[P15]])</f>
        <v>0</v>
      </c>
      <c r="J4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s="1" customFormat="1">
      <c r="A444" s="8" t="s">
        <v>581</v>
      </c>
      <c r="B444" s="8" t="s">
        <v>581</v>
      </c>
      <c r="C444" s="1" t="str">
        <f>RIGHT(ProductInfo[[#This Row],[Drawing No]],1)</f>
        <v>2</v>
      </c>
      <c r="D444" s="176" t="s">
        <v>4683</v>
      </c>
      <c r="E444" s="16"/>
      <c r="F4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4" s="31"/>
      <c r="H444" s="3">
        <v>90</v>
      </c>
      <c r="I444" s="1">
        <f>COUNTA(ProductInfo[[#This Row],[P1]:[P15]])</f>
        <v>0</v>
      </c>
      <c r="J4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s="1" customFormat="1" ht="15" customHeight="1">
      <c r="A445" s="8" t="s">
        <v>582</v>
      </c>
      <c r="B445" s="8" t="s">
        <v>582</v>
      </c>
      <c r="C445" s="1" t="str">
        <f>RIGHT(ProductInfo[[#This Row],[Drawing No]],1)</f>
        <v>3</v>
      </c>
      <c r="D445" s="179" t="s">
        <v>583</v>
      </c>
      <c r="E445" s="18"/>
      <c r="F44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5" s="32"/>
      <c r="H445" s="3">
        <v>90</v>
      </c>
      <c r="I445" s="1">
        <f>COUNTA(ProductInfo[[#This Row],[P1]:[P15]])</f>
        <v>0</v>
      </c>
      <c r="J4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s="1" customFormat="1">
      <c r="A446" s="8" t="s">
        <v>584</v>
      </c>
      <c r="B446" s="8" t="s">
        <v>584</v>
      </c>
      <c r="C446" s="1" t="str">
        <f>RIGHT(ProductInfo[[#This Row],[Drawing No]],1)</f>
        <v>0</v>
      </c>
      <c r="D446" s="176" t="s">
        <v>3245</v>
      </c>
      <c r="E446" s="16"/>
      <c r="F4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6" s="31"/>
      <c r="H446" s="31"/>
      <c r="I446" s="1">
        <f>COUNTA(ProductInfo[[#This Row],[P1]:[P15]])</f>
        <v>0</v>
      </c>
      <c r="J4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s="1" customFormat="1">
      <c r="A447" s="8" t="s">
        <v>585</v>
      </c>
      <c r="B447" s="8" t="s">
        <v>585</v>
      </c>
      <c r="C447" s="1" t="str">
        <f>RIGHT(ProductInfo[[#This Row],[Drawing No]],1)</f>
        <v>3</v>
      </c>
      <c r="D447" s="176" t="s">
        <v>2347</v>
      </c>
      <c r="E447" s="16"/>
      <c r="F4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7" s="31"/>
      <c r="H447" s="59">
        <v>100</v>
      </c>
      <c r="I447" s="1">
        <f>COUNTA(ProductInfo[[#This Row],[P1]:[P15]])</f>
        <v>0</v>
      </c>
      <c r="J4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s="1" customFormat="1">
      <c r="A448" s="8" t="s">
        <v>586</v>
      </c>
      <c r="B448" s="8" t="s">
        <v>586</v>
      </c>
      <c r="C448" s="1" t="str">
        <f>RIGHT(ProductInfo[[#This Row],[Drawing No]],1)</f>
        <v>4</v>
      </c>
      <c r="D448" s="176" t="s">
        <v>2347</v>
      </c>
      <c r="E448" s="16"/>
      <c r="F4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8" s="31"/>
      <c r="H448" s="59">
        <v>100</v>
      </c>
      <c r="I448" s="1">
        <f>COUNTA(ProductInfo[[#This Row],[P1]:[P15]])</f>
        <v>0</v>
      </c>
      <c r="J4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s="1" customFormat="1">
      <c r="A449" s="8" t="s">
        <v>587</v>
      </c>
      <c r="B449" s="8" t="s">
        <v>587</v>
      </c>
      <c r="C449" s="1" t="str">
        <f>RIGHT(ProductInfo[[#This Row],[Drawing No]],1)</f>
        <v>5</v>
      </c>
      <c r="D449" s="176" t="s">
        <v>2347</v>
      </c>
      <c r="E449" s="16"/>
      <c r="F4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49" s="31"/>
      <c r="H449" s="59">
        <v>100</v>
      </c>
      <c r="I449" s="1">
        <f>COUNTA(ProductInfo[[#This Row],[P1]:[P15]])</f>
        <v>0</v>
      </c>
      <c r="J4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s="1" customFormat="1">
      <c r="A450" s="8" t="s">
        <v>588</v>
      </c>
      <c r="B450" s="8" t="s">
        <v>588</v>
      </c>
      <c r="C450" s="1" t="str">
        <f>RIGHT(ProductInfo[[#This Row],[Drawing No]],1)</f>
        <v>1</v>
      </c>
      <c r="D450" s="176" t="s">
        <v>2348</v>
      </c>
      <c r="E450" s="16"/>
      <c r="F4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0" s="31"/>
      <c r="H450" s="3">
        <v>90</v>
      </c>
      <c r="I450" s="1">
        <f>COUNTA(ProductInfo[[#This Row],[P1]:[P15]])</f>
        <v>0</v>
      </c>
      <c r="J4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s="1" customFormat="1">
      <c r="A451" s="8" t="s">
        <v>589</v>
      </c>
      <c r="B451" s="8" t="s">
        <v>589</v>
      </c>
      <c r="C451" s="1" t="str">
        <f>RIGHT(ProductInfo[[#This Row],[Drawing No]],1)</f>
        <v>2</v>
      </c>
      <c r="D451" s="176" t="s">
        <v>2348</v>
      </c>
      <c r="E451" s="16"/>
      <c r="F4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1" s="31"/>
      <c r="H451" s="3">
        <v>90</v>
      </c>
      <c r="I451" s="1">
        <f>COUNTA(ProductInfo[[#This Row],[P1]:[P15]])</f>
        <v>0</v>
      </c>
      <c r="J4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s="1" customFormat="1">
      <c r="A452" s="8" t="s">
        <v>590</v>
      </c>
      <c r="B452" s="8" t="s">
        <v>590</v>
      </c>
      <c r="C452" s="1" t="str">
        <f>RIGHT(ProductInfo[[#This Row],[Drawing No]],1)</f>
        <v>3</v>
      </c>
      <c r="D452" s="176" t="s">
        <v>2348</v>
      </c>
      <c r="E452" s="16"/>
      <c r="F4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2" s="31"/>
      <c r="H452" s="3">
        <v>90</v>
      </c>
      <c r="I452" s="1">
        <f>COUNTA(ProductInfo[[#This Row],[P1]:[P15]])</f>
        <v>0</v>
      </c>
      <c r="J4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s="1" customFormat="1">
      <c r="A453" s="8" t="s">
        <v>591</v>
      </c>
      <c r="B453" s="8" t="s">
        <v>591</v>
      </c>
      <c r="C453" s="1" t="str">
        <f>RIGHT(ProductInfo[[#This Row],[Drawing No]],1)</f>
        <v>4</v>
      </c>
      <c r="D453" s="176" t="s">
        <v>2348</v>
      </c>
      <c r="E453" s="16"/>
      <c r="F4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3" s="31"/>
      <c r="H453" s="3">
        <v>90</v>
      </c>
      <c r="I453" s="1">
        <f>COUNTA(ProductInfo[[#This Row],[P1]:[P15]])</f>
        <v>0</v>
      </c>
      <c r="J4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s="1" customFormat="1">
      <c r="A454" s="8" t="s">
        <v>592</v>
      </c>
      <c r="B454" s="8" t="s">
        <v>3588</v>
      </c>
      <c r="C454" s="1" t="str">
        <f>RIGHT(ProductInfo[[#This Row],[Drawing No]],1)</f>
        <v>1</v>
      </c>
      <c r="D454" s="176" t="s">
        <v>3158</v>
      </c>
      <c r="E454" s="16" t="s">
        <v>3516</v>
      </c>
      <c r="F454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 *รู 46 มม.</v>
      </c>
      <c r="G454" s="59">
        <v>122</v>
      </c>
      <c r="H454" s="3">
        <v>90</v>
      </c>
      <c r="I454" s="1">
        <f>COUNTA(ProductInfo[[#This Row],[P1]:[P15]])</f>
        <v>2</v>
      </c>
      <c r="J4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4" s="7" t="s">
        <v>12</v>
      </c>
      <c r="M454" s="7" t="s">
        <v>13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s="1" customFormat="1">
      <c r="A455" s="8" t="s">
        <v>593</v>
      </c>
      <c r="B455" s="8" t="s">
        <v>593</v>
      </c>
      <c r="C455" s="1" t="str">
        <f>RIGHT(ProductInfo[[#This Row],[Drawing No]],1)</f>
        <v>R</v>
      </c>
      <c r="D455" s="176" t="s">
        <v>3159</v>
      </c>
      <c r="E455" s="16"/>
      <c r="F4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5" s="31"/>
      <c r="H455" s="3">
        <v>90</v>
      </c>
      <c r="I455" s="1">
        <f>COUNTA(ProductInfo[[#This Row],[P1]:[P15]])</f>
        <v>0</v>
      </c>
      <c r="J4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s="1" customFormat="1">
      <c r="A456" s="8" t="s">
        <v>594</v>
      </c>
      <c r="B456" s="8" t="s">
        <v>594</v>
      </c>
      <c r="C456" s="1" t="str">
        <f>RIGHT(ProductInfo[[#This Row],[Drawing No]],1)</f>
        <v>R</v>
      </c>
      <c r="D456" s="176" t="s">
        <v>3160</v>
      </c>
      <c r="E456" s="16"/>
      <c r="F4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6" s="31"/>
      <c r="H456" s="3">
        <v>90</v>
      </c>
      <c r="I456" s="1">
        <f>COUNTA(ProductInfo[[#This Row],[P1]:[P15]])</f>
        <v>0</v>
      </c>
      <c r="J4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s="1" customFormat="1">
      <c r="A457" s="8" t="s">
        <v>595</v>
      </c>
      <c r="B457" s="8" t="s">
        <v>595</v>
      </c>
      <c r="C457" s="1" t="str">
        <f>RIGHT(ProductInfo[[#This Row],[Drawing No]],1)</f>
        <v>0</v>
      </c>
      <c r="D457" s="176" t="s">
        <v>2349</v>
      </c>
      <c r="E457" s="16"/>
      <c r="F4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57" s="31"/>
      <c r="H457" s="31"/>
      <c r="I457" s="1">
        <f>COUNTA(ProductInfo[[#This Row],[P1]:[P15]])</f>
        <v>0</v>
      </c>
      <c r="J4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s="1" customFormat="1">
      <c r="A458" s="8" t="s">
        <v>596</v>
      </c>
      <c r="B458" s="8" t="s">
        <v>5437</v>
      </c>
      <c r="C458" s="1" t="str">
        <f>RIGHT(ProductInfo[[#This Row],[Drawing No]],1)</f>
        <v>0</v>
      </c>
      <c r="D458" s="179" t="s">
        <v>597</v>
      </c>
      <c r="E458" s="18" t="s">
        <v>5321</v>
      </c>
      <c r="F458" s="26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</v>
      </c>
      <c r="G458" s="3">
        <v>202</v>
      </c>
      <c r="H458" s="3">
        <v>90</v>
      </c>
      <c r="I458" s="1">
        <f>COUNTA(ProductInfo[[#This Row],[P1]:[P15]])</f>
        <v>3</v>
      </c>
      <c r="J4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8" s="7" t="s">
        <v>12</v>
      </c>
      <c r="M458" s="7" t="s">
        <v>13</v>
      </c>
      <c r="N458" s="7" t="s">
        <v>14</v>
      </c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s="1" customFormat="1">
      <c r="A459" s="8" t="s">
        <v>598</v>
      </c>
      <c r="B459" s="8" t="s">
        <v>3588</v>
      </c>
      <c r="C459" s="1" t="str">
        <f>RIGHT(ProductInfo[[#This Row],[Drawing No]],1)</f>
        <v>1</v>
      </c>
      <c r="D459" s="179" t="s">
        <v>599</v>
      </c>
      <c r="E459" s="16" t="s">
        <v>3516</v>
      </c>
      <c r="F459" s="26" t="str">
        <f>IFERROR(INDEX(MaterialCode[รายละเอียด],MATCH(ProductInfo[[#This Row],[Material Code]],MaterialCode[Material Code],0)),"ไม่พบวัตถุดิบ")</f>
        <v>ท่ออลูมีเนียมโต 52.5 มม. *รู 46 มม.</v>
      </c>
      <c r="G459" s="3">
        <v>202</v>
      </c>
      <c r="H459" s="3"/>
      <c r="I459" s="1">
        <f>COUNTA(ProductInfo[[#This Row],[P1]:[P15]])</f>
        <v>2</v>
      </c>
      <c r="J4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59" s="7" t="s">
        <v>12</v>
      </c>
      <c r="M459" s="7" t="s">
        <v>13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s="1" customFormat="1">
      <c r="A460" s="8" t="s">
        <v>600</v>
      </c>
      <c r="B460" s="8" t="s">
        <v>3745</v>
      </c>
      <c r="C460" s="1" t="str">
        <f>RIGHT(ProductInfo[[#This Row],[Drawing No]],1)</f>
        <v>0</v>
      </c>
      <c r="D460" s="179" t="s">
        <v>2988</v>
      </c>
      <c r="E460" s="18" t="s">
        <v>3439</v>
      </c>
      <c r="F460" s="26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460" s="3">
        <v>36</v>
      </c>
      <c r="H460" s="3">
        <v>50</v>
      </c>
      <c r="I460" s="1">
        <f>COUNTA(ProductInfo[[#This Row],[P1]:[P15]])</f>
        <v>3</v>
      </c>
      <c r="J4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60" s="7" t="s">
        <v>12</v>
      </c>
      <c r="M460" s="7" t="s">
        <v>13</v>
      </c>
      <c r="N460" s="7"/>
      <c r="O460" s="7" t="s">
        <v>15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s="1" customFormat="1">
      <c r="A461" s="8" t="s">
        <v>601</v>
      </c>
      <c r="B461" s="8" t="s">
        <v>601</v>
      </c>
      <c r="C461" s="1" t="str">
        <f>RIGHT(ProductInfo[[#This Row],[Drawing No]],1)</f>
        <v>0</v>
      </c>
      <c r="D461" s="176" t="s">
        <v>3118</v>
      </c>
      <c r="E461" s="16"/>
      <c r="F4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1" s="31"/>
      <c r="H461" s="59">
        <v>100</v>
      </c>
      <c r="I461" s="1">
        <f>COUNTA(ProductInfo[[#This Row],[P1]:[P15]])</f>
        <v>0</v>
      </c>
      <c r="J4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s="1" customFormat="1">
      <c r="A462" s="8" t="s">
        <v>602</v>
      </c>
      <c r="B462" s="8" t="s">
        <v>602</v>
      </c>
      <c r="C462" s="1" t="str">
        <f>RIGHT(ProductInfo[[#This Row],[Drawing No]],1)</f>
        <v>4</v>
      </c>
      <c r="D462" s="176" t="s">
        <v>3119</v>
      </c>
      <c r="E462" s="16"/>
      <c r="F4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2" s="31"/>
      <c r="H462" s="59">
        <v>100</v>
      </c>
      <c r="I462" s="1">
        <f>COUNTA(ProductInfo[[#This Row],[P1]:[P15]])</f>
        <v>0</v>
      </c>
      <c r="J4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s="1" customFormat="1">
      <c r="A463" s="8" t="s">
        <v>603</v>
      </c>
      <c r="B463" s="8" t="s">
        <v>603</v>
      </c>
      <c r="C463" s="1" t="str">
        <f>RIGHT(ProductInfo[[#This Row],[Drawing No]],1)</f>
        <v>5</v>
      </c>
      <c r="D463" s="176" t="s">
        <v>3119</v>
      </c>
      <c r="E463" s="16"/>
      <c r="F4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3" s="31"/>
      <c r="H463" s="59">
        <v>100</v>
      </c>
      <c r="I463" s="1">
        <f>COUNTA(ProductInfo[[#This Row],[P1]:[P15]])</f>
        <v>0</v>
      </c>
      <c r="J4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s="1" customFormat="1">
      <c r="A464" s="8" t="s">
        <v>604</v>
      </c>
      <c r="B464" s="8" t="s">
        <v>604</v>
      </c>
      <c r="C464" s="1" t="str">
        <f>RIGHT(ProductInfo[[#This Row],[Drawing No]],1)</f>
        <v>6</v>
      </c>
      <c r="D464" s="176" t="s">
        <v>3124</v>
      </c>
      <c r="E464" s="16"/>
      <c r="F4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4" s="31"/>
      <c r="H464" s="59">
        <v>100</v>
      </c>
      <c r="I464" s="1">
        <f>COUNTA(ProductInfo[[#This Row],[P1]:[P15]])</f>
        <v>0</v>
      </c>
      <c r="J4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s="1" customFormat="1">
      <c r="A465" s="8" t="s">
        <v>605</v>
      </c>
      <c r="B465" s="8" t="s">
        <v>605</v>
      </c>
      <c r="C465" s="1" t="str">
        <f>RIGHT(ProductInfo[[#This Row],[Drawing No]],1)</f>
        <v>7</v>
      </c>
      <c r="D465" s="176" t="s">
        <v>3119</v>
      </c>
      <c r="E465" s="16"/>
      <c r="F4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5" s="31"/>
      <c r="H465" s="59">
        <v>100</v>
      </c>
      <c r="I465" s="1">
        <f>COUNTA(ProductInfo[[#This Row],[P1]:[P15]])</f>
        <v>0</v>
      </c>
      <c r="J4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s="1" customFormat="1">
      <c r="A466" s="8" t="s">
        <v>606</v>
      </c>
      <c r="B466" s="8" t="s">
        <v>606</v>
      </c>
      <c r="C466" s="1" t="str">
        <f>RIGHT(ProductInfo[[#This Row],[Drawing No]],1)</f>
        <v>8</v>
      </c>
      <c r="D466" s="176" t="s">
        <v>3119</v>
      </c>
      <c r="E466" s="16"/>
      <c r="F4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6" s="31"/>
      <c r="H466" s="59">
        <v>100</v>
      </c>
      <c r="I466" s="1">
        <f>COUNTA(ProductInfo[[#This Row],[P1]:[P15]])</f>
        <v>0</v>
      </c>
      <c r="J4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s="1" customFormat="1">
      <c r="A467" s="8" t="s">
        <v>607</v>
      </c>
      <c r="B467" s="8" t="s">
        <v>3728</v>
      </c>
      <c r="C467" s="1" t="str">
        <f>RIGHT(ProductInfo[[#This Row],[Drawing No]],1)</f>
        <v>0</v>
      </c>
      <c r="D467" s="176" t="s">
        <v>3115</v>
      </c>
      <c r="E467" s="16" t="s">
        <v>3475</v>
      </c>
      <c r="F467" s="23" t="str">
        <f>IFERROR(INDEX(MaterialCode[รายละเอียด],MATCH(ProductInfo[[#This Row],[Material Code]],MaterialCode[Material Code],0)),"ไม่พบวัตถุดิบ")</f>
        <v>ท่ออลูมีเนียม โต 24.0 มม*10.0 มม*36.2 มม.</v>
      </c>
      <c r="G467" s="59">
        <v>127</v>
      </c>
      <c r="H467" s="59">
        <v>100</v>
      </c>
      <c r="I467" s="1">
        <f>COUNTA(ProductInfo[[#This Row],[P1]:[P15]])</f>
        <v>1</v>
      </c>
      <c r="J4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67" s="7" t="s">
        <v>15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s="1" customFormat="1">
      <c r="A468" s="8" t="s">
        <v>608</v>
      </c>
      <c r="B468" s="8" t="s">
        <v>608</v>
      </c>
      <c r="C468" s="1" t="str">
        <f>RIGHT(ProductInfo[[#This Row],[Drawing No]],1)</f>
        <v>0</v>
      </c>
      <c r="D468" s="176" t="s">
        <v>3120</v>
      </c>
      <c r="E468" s="16"/>
      <c r="F4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8" s="31"/>
      <c r="H468" s="59">
        <v>100</v>
      </c>
      <c r="I468" s="1">
        <f>COUNTA(ProductInfo[[#This Row],[P1]:[P15]])</f>
        <v>0</v>
      </c>
      <c r="J4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s="1" customFormat="1">
      <c r="A469" s="8" t="s">
        <v>609</v>
      </c>
      <c r="B469" s="8" t="s">
        <v>609</v>
      </c>
      <c r="C469" s="1" t="str">
        <f>RIGHT(ProductInfo[[#This Row],[Drawing No]],1)</f>
        <v>4</v>
      </c>
      <c r="D469" s="176" t="s">
        <v>3121</v>
      </c>
      <c r="E469" s="16"/>
      <c r="F4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69" s="31"/>
      <c r="H469" s="59">
        <v>100</v>
      </c>
      <c r="I469" s="1">
        <f>COUNTA(ProductInfo[[#This Row],[P1]:[P15]])</f>
        <v>0</v>
      </c>
      <c r="J4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s="1" customFormat="1">
      <c r="A470" s="8" t="s">
        <v>610</v>
      </c>
      <c r="B470" s="8" t="s">
        <v>610</v>
      </c>
      <c r="C470" s="1" t="str">
        <f>RIGHT(ProductInfo[[#This Row],[Drawing No]],1)</f>
        <v>5</v>
      </c>
      <c r="D470" s="176" t="s">
        <v>3121</v>
      </c>
      <c r="E470" s="16"/>
      <c r="F4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0" s="31"/>
      <c r="H470" s="59">
        <v>100</v>
      </c>
      <c r="I470" s="1">
        <f>COUNTA(ProductInfo[[#This Row],[P1]:[P15]])</f>
        <v>0</v>
      </c>
      <c r="J4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s="1" customFormat="1">
      <c r="A471" s="8" t="s">
        <v>611</v>
      </c>
      <c r="B471" s="8" t="s">
        <v>611</v>
      </c>
      <c r="C471" s="1" t="str">
        <f>RIGHT(ProductInfo[[#This Row],[Drawing No]],1)</f>
        <v>7</v>
      </c>
      <c r="D471" s="176" t="s">
        <v>3125</v>
      </c>
      <c r="E471" s="16"/>
      <c r="F4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1" s="31"/>
      <c r="H471" s="59">
        <v>100</v>
      </c>
      <c r="I471" s="1">
        <f>COUNTA(ProductInfo[[#This Row],[P1]:[P15]])</f>
        <v>0</v>
      </c>
      <c r="J4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s="1" customFormat="1">
      <c r="A472" s="8" t="s">
        <v>612</v>
      </c>
      <c r="B472" s="8" t="s">
        <v>612</v>
      </c>
      <c r="C472" s="1" t="str">
        <f>RIGHT(ProductInfo[[#This Row],[Drawing No]],1)</f>
        <v>8</v>
      </c>
      <c r="D472" s="176" t="s">
        <v>3125</v>
      </c>
      <c r="E472" s="16"/>
      <c r="F4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2" s="31"/>
      <c r="H472" s="59">
        <v>100</v>
      </c>
      <c r="I472" s="1">
        <f>COUNTA(ProductInfo[[#This Row],[P1]:[P15]])</f>
        <v>0</v>
      </c>
      <c r="J4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s="1" customFormat="1">
      <c r="A473" s="8" t="s">
        <v>613</v>
      </c>
      <c r="B473" s="8" t="s">
        <v>3728</v>
      </c>
      <c r="C473" s="1" t="str">
        <f>RIGHT(ProductInfo[[#This Row],[Drawing No]],1)</f>
        <v>0</v>
      </c>
      <c r="D473" s="176" t="s">
        <v>3116</v>
      </c>
      <c r="E473" s="16" t="s">
        <v>3475</v>
      </c>
      <c r="F473" s="23" t="str">
        <f>IFERROR(INDEX(MaterialCode[รายละเอียด],MATCH(ProductInfo[[#This Row],[Material Code]],MaterialCode[Material Code],0)),"ไม่พบวัตถุดิบ")</f>
        <v>ท่ออลูมีเนียม โต 24.0 มม*10.0 มม*36.2 มม.</v>
      </c>
      <c r="G473" s="59">
        <v>169</v>
      </c>
      <c r="H473" s="59">
        <v>100</v>
      </c>
      <c r="I473" s="1">
        <f>COUNTA(ProductInfo[[#This Row],[P1]:[P15]])</f>
        <v>1</v>
      </c>
      <c r="J4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73" s="7" t="s">
        <v>15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s="1" customFormat="1">
      <c r="A474" s="8" t="s">
        <v>614</v>
      </c>
      <c r="B474" s="8" t="s">
        <v>614</v>
      </c>
      <c r="C474" s="1" t="str">
        <f>RIGHT(ProductInfo[[#This Row],[Drawing No]],1)</f>
        <v>0</v>
      </c>
      <c r="D474" s="176" t="s">
        <v>3117</v>
      </c>
      <c r="E474" s="16"/>
      <c r="F4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4" s="31"/>
      <c r="H474" s="59">
        <v>100</v>
      </c>
      <c r="I474" s="1">
        <f>COUNTA(ProductInfo[[#This Row],[P1]:[P15]])</f>
        <v>0</v>
      </c>
      <c r="J4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s="1" customFormat="1">
      <c r="A475" s="8" t="s">
        <v>615</v>
      </c>
      <c r="B475" s="8" t="s">
        <v>3728</v>
      </c>
      <c r="C475" s="1" t="str">
        <f>RIGHT(ProductInfo[[#This Row],[Drawing No]],1)</f>
        <v>0</v>
      </c>
      <c r="D475" s="176" t="s">
        <v>3117</v>
      </c>
      <c r="E475" s="16" t="s">
        <v>3475</v>
      </c>
      <c r="F475" s="23" t="str">
        <f>IFERROR(INDEX(MaterialCode[รายละเอียด],MATCH(ProductInfo[[#This Row],[Material Code]],MaterialCode[Material Code],0)),"ไม่พบวัตถุดิบ")</f>
        <v>ท่ออลูมีเนียม โต 24.0 มม*10.0 มม*36.2 มม.</v>
      </c>
      <c r="G475" s="59">
        <v>142</v>
      </c>
      <c r="H475" s="59">
        <v>100</v>
      </c>
      <c r="I475" s="1">
        <f>COUNTA(ProductInfo[[#This Row],[P1]:[P15]])</f>
        <v>1</v>
      </c>
      <c r="J4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75" s="7" t="s">
        <v>15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s="1" customFormat="1">
      <c r="A476" s="8" t="s">
        <v>616</v>
      </c>
      <c r="B476" s="8" t="s">
        <v>4930</v>
      </c>
      <c r="C476" s="1" t="str">
        <f>RIGHT(ProductInfo[[#This Row],[Drawing No]],1)</f>
        <v>0</v>
      </c>
      <c r="D476" s="179" t="s">
        <v>2811</v>
      </c>
      <c r="E476" s="16" t="s">
        <v>6529</v>
      </c>
      <c r="F476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476" s="3">
        <v>95.5</v>
      </c>
      <c r="H476" s="3"/>
      <c r="I476" s="1">
        <f>COUNTA(ProductInfo[[#This Row],[P1]:[P15]])</f>
        <v>4</v>
      </c>
      <c r="J4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76" s="7" t="s">
        <v>12</v>
      </c>
      <c r="M476" s="7" t="s">
        <v>13</v>
      </c>
      <c r="N476" s="7" t="s">
        <v>15</v>
      </c>
      <c r="O476" s="7" t="s">
        <v>16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s="1" customFormat="1">
      <c r="A477" s="8" t="s">
        <v>617</v>
      </c>
      <c r="B477" s="8" t="s">
        <v>4930</v>
      </c>
      <c r="C477" s="1" t="str">
        <f>RIGHT(ProductInfo[[#This Row],[Drawing No]],1)</f>
        <v>0</v>
      </c>
      <c r="D477" s="176" t="s">
        <v>3126</v>
      </c>
      <c r="E477" s="16" t="s">
        <v>6529</v>
      </c>
      <c r="F47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477" s="59">
        <v>89.5</v>
      </c>
      <c r="H477" s="59">
        <v>100</v>
      </c>
      <c r="I477" s="1">
        <f>COUNTA(ProductInfo[[#This Row],[P1]:[P15]])</f>
        <v>6</v>
      </c>
      <c r="J4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4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77" s="7" t="s">
        <v>12</v>
      </c>
      <c r="M477" s="7" t="s">
        <v>13</v>
      </c>
      <c r="N477" s="7" t="s">
        <v>14</v>
      </c>
      <c r="O477" s="7" t="s">
        <v>15</v>
      </c>
      <c r="P477" s="7" t="s">
        <v>16</v>
      </c>
      <c r="Q477" s="7" t="s">
        <v>3105</v>
      </c>
      <c r="R477" s="7"/>
      <c r="S477" s="7"/>
      <c r="T477" s="7"/>
      <c r="U477" s="7"/>
      <c r="V477" s="7"/>
      <c r="W477" s="7"/>
      <c r="X477" s="7"/>
      <c r="Y477" s="7"/>
      <c r="Z477" s="7"/>
    </row>
    <row r="478" spans="1:26" s="1" customFormat="1">
      <c r="A478" s="8" t="s">
        <v>618</v>
      </c>
      <c r="B478" s="8" t="s">
        <v>3579</v>
      </c>
      <c r="C478" s="1" t="str">
        <f>RIGHT(ProductInfo[[#This Row],[Drawing No]],1)</f>
        <v>0</v>
      </c>
      <c r="D478" s="176" t="s">
        <v>2350</v>
      </c>
      <c r="E478" s="16" t="s">
        <v>6529</v>
      </c>
      <c r="F478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478" s="59">
        <v>95.5</v>
      </c>
      <c r="H478" s="59">
        <v>100</v>
      </c>
      <c r="I478" s="1">
        <f>COUNTA(ProductInfo[[#This Row],[P1]:[P15]])</f>
        <v>4</v>
      </c>
      <c r="J4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78" s="7" t="s">
        <v>12</v>
      </c>
      <c r="M478" s="7" t="s">
        <v>13</v>
      </c>
      <c r="N478" s="7" t="s">
        <v>3105</v>
      </c>
      <c r="O478" s="7" t="s">
        <v>15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s="1" customFormat="1">
      <c r="A479" s="8" t="s">
        <v>619</v>
      </c>
      <c r="B479" s="8" t="s">
        <v>619</v>
      </c>
      <c r="C479" s="1" t="str">
        <f>RIGHT(ProductInfo[[#This Row],[Drawing No]],1)</f>
        <v>0</v>
      </c>
      <c r="D479" s="176" t="s">
        <v>3122</v>
      </c>
      <c r="E479" s="16"/>
      <c r="F4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79" s="31"/>
      <c r="H479" s="31"/>
      <c r="I479" s="1">
        <f>COUNTA(ProductInfo[[#This Row],[P1]:[P15]])</f>
        <v>0</v>
      </c>
      <c r="J4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s="1" customFormat="1">
      <c r="A480" s="8" t="s">
        <v>620</v>
      </c>
      <c r="B480" s="8" t="s">
        <v>3728</v>
      </c>
      <c r="C480" s="1" t="str">
        <f>RIGHT(ProductInfo[[#This Row],[Drawing No]],1)</f>
        <v>0</v>
      </c>
      <c r="D480" s="176" t="s">
        <v>621</v>
      </c>
      <c r="E480" s="16" t="s">
        <v>3475</v>
      </c>
      <c r="F480" s="23" t="str">
        <f>IFERROR(INDEX(MaterialCode[รายละเอียด],MATCH(ProductInfo[[#This Row],[Material Code]],MaterialCode[Material Code],0)),"ไม่พบวัตถุดิบ")</f>
        <v>ท่ออลูมีเนียม โต 24.0 มม*10.0 มม*36.2 มม.</v>
      </c>
      <c r="G480" s="59">
        <v>202</v>
      </c>
      <c r="H480" s="59">
        <v>100</v>
      </c>
      <c r="I480" s="1">
        <f>COUNTA(ProductInfo[[#This Row],[P1]:[P15]])</f>
        <v>1</v>
      </c>
      <c r="J4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80" s="7" t="s">
        <v>15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s="1" customFormat="1">
      <c r="A481" s="8" t="s">
        <v>622</v>
      </c>
      <c r="B481" s="8" t="s">
        <v>622</v>
      </c>
      <c r="C481" s="1" t="str">
        <f>RIGHT(ProductInfo[[#This Row],[Drawing No]],1)</f>
        <v>0</v>
      </c>
      <c r="D481" s="176" t="s">
        <v>2351</v>
      </c>
      <c r="E481" s="16"/>
      <c r="F4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81" s="31"/>
      <c r="H481" s="31"/>
      <c r="I481" s="1">
        <f>COUNTA(ProductInfo[[#This Row],[P1]:[P15]])</f>
        <v>0</v>
      </c>
      <c r="J4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s="1" customFormat="1">
      <c r="A482" s="8" t="s">
        <v>623</v>
      </c>
      <c r="B482" s="8" t="s">
        <v>623</v>
      </c>
      <c r="C482" s="1" t="str">
        <f>RIGHT(ProductInfo[[#This Row],[Drawing No]],1)</f>
        <v>1</v>
      </c>
      <c r="D482" s="176" t="s">
        <v>2351</v>
      </c>
      <c r="E482" s="16"/>
      <c r="F4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82" s="31"/>
      <c r="H482" s="31"/>
      <c r="I482" s="1">
        <f>COUNTA(ProductInfo[[#This Row],[P1]:[P15]])</f>
        <v>0</v>
      </c>
      <c r="J4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s="1" customFormat="1">
      <c r="A483" s="8" t="s">
        <v>624</v>
      </c>
      <c r="B483" s="8" t="s">
        <v>3752</v>
      </c>
      <c r="C483" s="1" t="str">
        <f>RIGHT(ProductInfo[[#This Row],[Drawing No]],1)</f>
        <v>1</v>
      </c>
      <c r="D483" s="179" t="s">
        <v>2989</v>
      </c>
      <c r="E483" s="18" t="s">
        <v>3439</v>
      </c>
      <c r="F483" s="26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483" s="3">
        <v>32</v>
      </c>
      <c r="H483" s="3">
        <v>60</v>
      </c>
      <c r="I483" s="1">
        <f>COUNTA(ProductInfo[[#This Row],[P1]:[P15]])</f>
        <v>4</v>
      </c>
      <c r="J4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83" s="7" t="s">
        <v>12</v>
      </c>
      <c r="M483" s="7" t="s">
        <v>13</v>
      </c>
      <c r="N483" s="7" t="s">
        <v>15</v>
      </c>
      <c r="O483" s="7" t="s">
        <v>16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s="1" customFormat="1">
      <c r="A484" s="8" t="s">
        <v>625</v>
      </c>
      <c r="B484" s="8" t="s">
        <v>3588</v>
      </c>
      <c r="C484" s="1" t="str">
        <f>RIGHT(ProductInfo[[#This Row],[Drawing No]],1)</f>
        <v>1</v>
      </c>
      <c r="D484" s="179" t="s">
        <v>3127</v>
      </c>
      <c r="E484" s="16" t="s">
        <v>3516</v>
      </c>
      <c r="F484" s="26" t="str">
        <f>IFERROR(INDEX(MaterialCode[รายละเอียด],MATCH(ProductInfo[[#This Row],[Material Code]],MaterialCode[Material Code],0)),"ไม่พบวัตถุดิบ")</f>
        <v>ท่ออลูมีเนียมโต 52.5 มม. *รู 46 มม.</v>
      </c>
      <c r="G484" s="3">
        <v>222</v>
      </c>
      <c r="H484" s="3">
        <v>90</v>
      </c>
      <c r="I484" s="1">
        <f>COUNTA(ProductInfo[[#This Row],[P1]:[P15]])</f>
        <v>2</v>
      </c>
      <c r="J4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4" s="7" t="s">
        <v>12</v>
      </c>
      <c r="M484" s="7" t="s">
        <v>13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s="1" customFormat="1">
      <c r="A485" s="8" t="s">
        <v>626</v>
      </c>
      <c r="B485" s="8" t="s">
        <v>3594</v>
      </c>
      <c r="C485" s="1" t="str">
        <f>RIGHT(ProductInfo[[#This Row],[Drawing No]],1)</f>
        <v>0</v>
      </c>
      <c r="D485" s="176" t="s">
        <v>3123</v>
      </c>
      <c r="E485" s="16" t="s">
        <v>3457</v>
      </c>
      <c r="F485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485" s="59">
        <v>222</v>
      </c>
      <c r="H485" s="3">
        <v>90</v>
      </c>
      <c r="I485" s="1">
        <f>COUNTA(ProductInfo[[#This Row],[P1]:[P15]])</f>
        <v>3</v>
      </c>
      <c r="J4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4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5" s="7" t="s">
        <v>12</v>
      </c>
      <c r="M485" s="7" t="s">
        <v>13</v>
      </c>
      <c r="N485" s="7" t="s">
        <v>3105</v>
      </c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s="1" customFormat="1">
      <c r="A486" s="8" t="s">
        <v>627</v>
      </c>
      <c r="B486" s="8" t="s">
        <v>627</v>
      </c>
      <c r="C486" s="1" t="str">
        <f>RIGHT(ProductInfo[[#This Row],[Drawing No]],1)</f>
        <v>0</v>
      </c>
      <c r="D486" s="179" t="s">
        <v>2990</v>
      </c>
      <c r="E486" s="18"/>
      <c r="F48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86" s="32"/>
      <c r="H486" s="3">
        <v>90</v>
      </c>
      <c r="I486" s="1">
        <f>COUNTA(ProductInfo[[#This Row],[P1]:[P15]])</f>
        <v>0</v>
      </c>
      <c r="J4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s="1" customFormat="1">
      <c r="A487" s="8" t="s">
        <v>628</v>
      </c>
      <c r="B487" s="8" t="s">
        <v>628</v>
      </c>
      <c r="C487" s="1" t="str">
        <f>RIGHT(ProductInfo[[#This Row],[Drawing No]],1)</f>
        <v>1</v>
      </c>
      <c r="D487" s="179" t="s">
        <v>2991</v>
      </c>
      <c r="E487" s="18"/>
      <c r="F48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87" s="32"/>
      <c r="H487" s="32"/>
      <c r="I487" s="1">
        <f>COUNTA(ProductInfo[[#This Row],[P1]:[P15]])</f>
        <v>0</v>
      </c>
      <c r="J4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s="1" customFormat="1">
      <c r="A488" s="8" t="s">
        <v>629</v>
      </c>
      <c r="B488" s="8" t="s">
        <v>3760</v>
      </c>
      <c r="C488" s="1" t="str">
        <f>RIGHT(ProductInfo[[#This Row],[Drawing No]],1)</f>
        <v>0</v>
      </c>
      <c r="D488" s="179" t="s">
        <v>2352</v>
      </c>
      <c r="E488" s="18" t="s">
        <v>3427</v>
      </c>
      <c r="F488" s="26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488" s="3">
        <v>30</v>
      </c>
      <c r="H488" s="3"/>
      <c r="I488" s="1">
        <f>COUNTA(ProductInfo[[#This Row],[P1]:[P15]])</f>
        <v>4</v>
      </c>
      <c r="J4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88" s="7" t="s">
        <v>12</v>
      </c>
      <c r="M488" s="7" t="s">
        <v>13</v>
      </c>
      <c r="N488" s="7" t="s">
        <v>15</v>
      </c>
      <c r="O488" s="7" t="s">
        <v>16</v>
      </c>
      <c r="P488" s="7"/>
      <c r="Q488" s="4"/>
      <c r="R488" s="7"/>
      <c r="S488" s="7"/>
      <c r="T488" s="7"/>
      <c r="U488" s="7"/>
      <c r="V488" s="7"/>
      <c r="W488" s="7"/>
      <c r="X488" s="7"/>
      <c r="Y488" s="7"/>
      <c r="Z488" s="7"/>
    </row>
    <row r="489" spans="1:26" s="1" customFormat="1">
      <c r="A489" s="8" t="s">
        <v>631</v>
      </c>
      <c r="B489" s="8" t="s">
        <v>4931</v>
      </c>
      <c r="C489" s="1" t="str">
        <f>RIGHT(ProductInfo[[#This Row],[Drawing No]],1)</f>
        <v>0</v>
      </c>
      <c r="D489" s="176" t="s">
        <v>2353</v>
      </c>
      <c r="E489" s="16" t="s">
        <v>4524</v>
      </c>
      <c r="F489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489" s="59">
        <v>80</v>
      </c>
      <c r="H489" s="59">
        <v>50</v>
      </c>
      <c r="I489" s="1">
        <f>COUNTA(ProductInfo[[#This Row],[P1]:[P15]])</f>
        <v>5</v>
      </c>
      <c r="J4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489" s="7" t="s">
        <v>15</v>
      </c>
      <c r="M489" s="7" t="s">
        <v>12</v>
      </c>
      <c r="N489" s="7" t="s">
        <v>13</v>
      </c>
      <c r="O489" s="7" t="s">
        <v>16</v>
      </c>
      <c r="P489" s="7"/>
      <c r="Q489" s="7" t="s">
        <v>25</v>
      </c>
      <c r="R489" s="7"/>
      <c r="S489" s="7"/>
      <c r="T489" s="7"/>
      <c r="U489" s="7"/>
      <c r="V489" s="7"/>
      <c r="W489" s="7"/>
      <c r="X489" s="7"/>
      <c r="Y489" s="7"/>
      <c r="Z489" s="7"/>
    </row>
    <row r="490" spans="1:26" s="1" customFormat="1">
      <c r="A490" s="8" t="s">
        <v>632</v>
      </c>
      <c r="B490" s="8" t="s">
        <v>5439</v>
      </c>
      <c r="C490" s="1" t="str">
        <f>RIGHT(ProductInfo[[#This Row],[Drawing No]],1)</f>
        <v>0</v>
      </c>
      <c r="D490" s="176" t="s">
        <v>2812</v>
      </c>
      <c r="E490" s="16" t="s">
        <v>4524</v>
      </c>
      <c r="F490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490" s="59">
        <v>80</v>
      </c>
      <c r="H490" s="59">
        <v>50</v>
      </c>
      <c r="I490" s="1">
        <f>COUNTA(ProductInfo[[#This Row],[P1]:[P15]])</f>
        <v>5</v>
      </c>
      <c r="J4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490" s="7" t="s">
        <v>15</v>
      </c>
      <c r="M490" s="7" t="s">
        <v>12</v>
      </c>
      <c r="N490" s="7" t="s">
        <v>13</v>
      </c>
      <c r="O490" s="7" t="s">
        <v>16</v>
      </c>
      <c r="P490" s="7"/>
      <c r="Q490" s="7" t="s">
        <v>25</v>
      </c>
      <c r="R490" s="7"/>
      <c r="S490" s="7"/>
      <c r="T490" s="7"/>
      <c r="U490" s="7"/>
      <c r="V490" s="7"/>
      <c r="W490" s="7"/>
      <c r="X490" s="7"/>
      <c r="Y490" s="7"/>
      <c r="Z490" s="7"/>
    </row>
    <row r="491" spans="1:26" s="1" customFormat="1">
      <c r="A491" s="8" t="s">
        <v>633</v>
      </c>
      <c r="B491" s="8" t="s">
        <v>3757</v>
      </c>
      <c r="C491" s="1" t="str">
        <f>RIGHT(ProductInfo[[#This Row],[Drawing No]],1)</f>
        <v>0</v>
      </c>
      <c r="D491" s="179" t="s">
        <v>2354</v>
      </c>
      <c r="E491" s="18" t="s">
        <v>3425</v>
      </c>
      <c r="F491" s="26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รูใน 41 มม.</v>
      </c>
      <c r="G491" s="3">
        <v>30</v>
      </c>
      <c r="H491" s="3">
        <v>50</v>
      </c>
      <c r="I491" s="1">
        <f>COUNTA(ProductInfo[[#This Row],[P1]:[P15]])</f>
        <v>4</v>
      </c>
      <c r="J4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91" s="7" t="s">
        <v>12</v>
      </c>
      <c r="M491" s="7" t="s">
        <v>13</v>
      </c>
      <c r="N491" s="7" t="s">
        <v>15</v>
      </c>
      <c r="O491" s="7" t="s">
        <v>16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s="1" customFormat="1">
      <c r="A492" s="8" t="s">
        <v>634</v>
      </c>
      <c r="B492" s="8" t="s">
        <v>3737</v>
      </c>
      <c r="C492" s="1" t="str">
        <f>RIGHT(ProductInfo[[#This Row],[Drawing No]],1)</f>
        <v>1</v>
      </c>
      <c r="D492" s="179" t="s">
        <v>2992</v>
      </c>
      <c r="E492" s="18" t="s">
        <v>3439</v>
      </c>
      <c r="F492" s="26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492" s="96">
        <v>35</v>
      </c>
      <c r="H492" s="96">
        <v>50</v>
      </c>
      <c r="I492" s="1">
        <f>COUNTA(ProductInfo[[#This Row],[P1]:[P15]])</f>
        <v>4</v>
      </c>
      <c r="J4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492" s="7" t="s">
        <v>12</v>
      </c>
      <c r="M492" s="7" t="s">
        <v>13</v>
      </c>
      <c r="N492" s="7" t="s">
        <v>16</v>
      </c>
      <c r="O492" s="7" t="s">
        <v>19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s="1" customFormat="1">
      <c r="A493" s="8" t="s">
        <v>635</v>
      </c>
      <c r="B493" s="8" t="s">
        <v>635</v>
      </c>
      <c r="C493" s="1" t="str">
        <f>RIGHT(ProductInfo[[#This Row],[Drawing No]],1)</f>
        <v>0</v>
      </c>
      <c r="D493" s="176" t="s">
        <v>2355</v>
      </c>
      <c r="E493" s="16"/>
      <c r="F4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3" s="31"/>
      <c r="H493" s="31"/>
      <c r="I493" s="1">
        <f>COUNTA(ProductInfo[[#This Row],[P1]:[P15]])</f>
        <v>0</v>
      </c>
      <c r="J4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s="1" customFormat="1">
      <c r="A494" s="8" t="s">
        <v>636</v>
      </c>
      <c r="B494" s="8" t="s">
        <v>636</v>
      </c>
      <c r="C494" s="1" t="str">
        <f>RIGHT(ProductInfo[[#This Row],[Drawing No]],1)</f>
        <v>2</v>
      </c>
      <c r="D494" s="176" t="s">
        <v>2356</v>
      </c>
      <c r="E494" s="16"/>
      <c r="F4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4" s="31"/>
      <c r="H494" s="31"/>
      <c r="I494" s="1">
        <f>COUNTA(ProductInfo[[#This Row],[P1]:[P15]])</f>
        <v>0</v>
      </c>
      <c r="J4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s="1" customFormat="1">
      <c r="A495" s="8" t="s">
        <v>637</v>
      </c>
      <c r="B495" s="8" t="s">
        <v>637</v>
      </c>
      <c r="C495" s="1" t="str">
        <f>RIGHT(ProductInfo[[#This Row],[Drawing No]],1)</f>
        <v>0</v>
      </c>
      <c r="D495" s="176" t="s">
        <v>2813</v>
      </c>
      <c r="E495" s="16"/>
      <c r="F4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5" s="31"/>
      <c r="H495" s="31"/>
      <c r="I495" s="1">
        <f>COUNTA(ProductInfo[[#This Row],[P1]:[P15]])</f>
        <v>0</v>
      </c>
      <c r="J4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s="1" customFormat="1">
      <c r="A496" s="8" t="s">
        <v>638</v>
      </c>
      <c r="B496" s="8" t="s">
        <v>638</v>
      </c>
      <c r="C496" s="1" t="str">
        <f>RIGHT(ProductInfo[[#This Row],[Drawing No]],1)</f>
        <v>2</v>
      </c>
      <c r="D496" s="176" t="s">
        <v>2813</v>
      </c>
      <c r="E496" s="16"/>
      <c r="F4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6" s="31"/>
      <c r="H496" s="31"/>
      <c r="I496" s="1">
        <f>COUNTA(ProductInfo[[#This Row],[P1]:[P15]])</f>
        <v>0</v>
      </c>
      <c r="J4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s="1" customFormat="1">
      <c r="A497" s="8" t="s">
        <v>639</v>
      </c>
      <c r="B497" s="8" t="s">
        <v>4096</v>
      </c>
      <c r="C497" s="1" t="str">
        <f>RIGHT(ProductInfo[[#This Row],[Drawing No]],1)</f>
        <v>0</v>
      </c>
      <c r="D497" s="176" t="s">
        <v>2357</v>
      </c>
      <c r="E497" s="16" t="s">
        <v>6848</v>
      </c>
      <c r="F497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95 มม. </v>
      </c>
      <c r="G497" s="31" t="s">
        <v>6850</v>
      </c>
      <c r="H497" s="31" t="s">
        <v>6210</v>
      </c>
      <c r="I497" s="1">
        <f>COUNTA(ProductInfo[[#This Row],[P1]:[P15]])</f>
        <v>0</v>
      </c>
      <c r="J4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s="1" customFormat="1">
      <c r="A498" s="8" t="s">
        <v>640</v>
      </c>
      <c r="B498" s="8" t="s">
        <v>3344</v>
      </c>
      <c r="C498" s="1" t="str">
        <f>RIGHT(ProductInfo[[#This Row],[Drawing No]],1)</f>
        <v>0</v>
      </c>
      <c r="D498" s="176" t="s">
        <v>2814</v>
      </c>
      <c r="E498" s="16" t="s">
        <v>3398</v>
      </c>
      <c r="F498" s="23" t="str">
        <f>IFERROR(INDEX(MaterialCode[รายละเอียด],MATCH(ProductInfo[[#This Row],[Material Code]],MaterialCode[Material Code],0)),"ไม่พบวัตถุดิบ")</f>
        <v>เพลาอลูมีเนียม 95 มม.         (ยังของเหลือบางส่วน)</v>
      </c>
      <c r="G498" s="59">
        <v>34.5</v>
      </c>
      <c r="H498" s="59"/>
      <c r="I498" s="1">
        <f>COUNTA(ProductInfo[[#This Row],[P1]:[P15]])</f>
        <v>3</v>
      </c>
      <c r="J4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4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498" s="7" t="s">
        <v>12</v>
      </c>
      <c r="M498" s="7" t="s">
        <v>13</v>
      </c>
      <c r="N498" s="7"/>
      <c r="O498" s="7" t="s">
        <v>15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s="1" customFormat="1">
      <c r="A499" s="8" t="s">
        <v>641</v>
      </c>
      <c r="B499" s="8" t="s">
        <v>641</v>
      </c>
      <c r="C499" s="1" t="str">
        <f>RIGHT(ProductInfo[[#This Row],[Drawing No]],1)</f>
        <v>0</v>
      </c>
      <c r="D499" s="176" t="s">
        <v>2358</v>
      </c>
      <c r="E499" s="16"/>
      <c r="F4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499" s="31"/>
      <c r="H499" s="31"/>
      <c r="I499" s="1">
        <f>COUNTA(ProductInfo[[#This Row],[P1]:[P15]])</f>
        <v>0</v>
      </c>
      <c r="J4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4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s="1" customFormat="1">
      <c r="A500" s="8" t="s">
        <v>642</v>
      </c>
      <c r="B500" s="8" t="s">
        <v>3309</v>
      </c>
      <c r="C500" s="1" t="str">
        <f>RIGHT(ProductInfo[[#This Row],[Drawing No]],1)</f>
        <v>0</v>
      </c>
      <c r="D500" s="176" t="s">
        <v>5425</v>
      </c>
      <c r="E500" s="16" t="s">
        <v>3559</v>
      </c>
      <c r="F50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500" s="59">
        <v>62</v>
      </c>
      <c r="H500" s="59">
        <v>100</v>
      </c>
      <c r="I500" s="1">
        <f>COUNTA(ProductInfo[[#This Row],[P1]:[P15]])</f>
        <v>2</v>
      </c>
      <c r="J5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0" s="7" t="s">
        <v>12</v>
      </c>
      <c r="M500" s="7" t="s">
        <v>13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s="1" customFormat="1">
      <c r="A501" s="8" t="s">
        <v>643</v>
      </c>
      <c r="B501" s="8" t="s">
        <v>3309</v>
      </c>
      <c r="C501" s="1" t="str">
        <f>RIGHT(ProductInfo[[#This Row],[Drawing No]],1)</f>
        <v>0</v>
      </c>
      <c r="D501" s="176" t="s">
        <v>5426</v>
      </c>
      <c r="E501" s="16" t="s">
        <v>3559</v>
      </c>
      <c r="F50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501" s="59">
        <v>72</v>
      </c>
      <c r="H501" s="59">
        <v>100</v>
      </c>
      <c r="I501" s="1">
        <f>COUNTA(ProductInfo[[#This Row],[P1]:[P15]])</f>
        <v>2</v>
      </c>
      <c r="J5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1" s="7" t="s">
        <v>12</v>
      </c>
      <c r="M501" s="7" t="s">
        <v>13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s="1" customFormat="1">
      <c r="A502" s="8" t="s">
        <v>4663</v>
      </c>
      <c r="B502" s="8" t="s">
        <v>4662</v>
      </c>
      <c r="C502" s="2" t="str">
        <f>RIGHT(ProductInfo[[#This Row],[Drawing No]],1)</f>
        <v>0</v>
      </c>
      <c r="D502" s="176" t="s">
        <v>4682</v>
      </c>
      <c r="E502" s="16" t="s">
        <v>3427</v>
      </c>
      <c r="F502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502" s="59">
        <v>26</v>
      </c>
      <c r="H502" s="59">
        <v>50</v>
      </c>
      <c r="I502" s="1">
        <f>COUNTA(ProductInfo[[#This Row],[P1]:[P15]])</f>
        <v>3</v>
      </c>
      <c r="J5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02" s="7" t="s">
        <v>12</v>
      </c>
      <c r="M502" s="7" t="s">
        <v>13</v>
      </c>
      <c r="N502" s="4"/>
      <c r="O502" s="4"/>
      <c r="P502" s="7"/>
      <c r="Q502" s="4" t="s">
        <v>15</v>
      </c>
      <c r="R502" s="4"/>
      <c r="S502" s="4"/>
      <c r="T502" s="4"/>
      <c r="U502" s="4"/>
      <c r="V502" s="4"/>
      <c r="W502" s="4"/>
      <c r="X502" s="4"/>
      <c r="Y502" s="4"/>
      <c r="Z502" s="4"/>
    </row>
    <row r="503" spans="1:26" s="1" customFormat="1">
      <c r="A503" s="8" t="s">
        <v>644</v>
      </c>
      <c r="B503" s="8" t="s">
        <v>4344</v>
      </c>
      <c r="C503" s="2" t="str">
        <f>RIGHT(ProductInfo[[#This Row],[Drawing No]],1)</f>
        <v>0</v>
      </c>
      <c r="D503" s="176" t="s">
        <v>2359</v>
      </c>
      <c r="E503" s="16"/>
      <c r="F5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03" s="31"/>
      <c r="H503" s="31"/>
      <c r="I503" s="1">
        <f>COUNTA(ProductInfo[[#This Row],[P1]:[P15]])</f>
        <v>4</v>
      </c>
      <c r="J5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5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03" s="7" t="s">
        <v>12</v>
      </c>
      <c r="M503" s="7" t="s">
        <v>13</v>
      </c>
      <c r="N503" s="7" t="s">
        <v>3105</v>
      </c>
      <c r="O503" s="7"/>
      <c r="P503" s="7"/>
      <c r="Q503" s="7" t="s">
        <v>16</v>
      </c>
      <c r="R503" s="7"/>
      <c r="S503" s="4"/>
      <c r="T503" s="4"/>
      <c r="U503" s="4"/>
      <c r="V503" s="4"/>
      <c r="W503" s="4"/>
      <c r="X503" s="4"/>
      <c r="Y503" s="4"/>
      <c r="Z503" s="4"/>
    </row>
    <row r="504" spans="1:26" s="1" customFormat="1">
      <c r="A504" s="8" t="s">
        <v>4238</v>
      </c>
      <c r="B504" s="8" t="s">
        <v>4289</v>
      </c>
      <c r="C504" s="1" t="str">
        <f>RIGHT(ProductInfo[[#This Row],[Drawing No]],1)</f>
        <v>1</v>
      </c>
      <c r="D504" s="176" t="s">
        <v>2359</v>
      </c>
      <c r="E504" s="16" t="s">
        <v>4561</v>
      </c>
      <c r="F504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504" s="59">
        <v>216</v>
      </c>
      <c r="H504" s="59"/>
      <c r="I504" s="1">
        <f>COUNTA(ProductInfo[[#This Row],[P1]:[P15]])</f>
        <v>5</v>
      </c>
      <c r="J5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5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04" s="7" t="s">
        <v>12</v>
      </c>
      <c r="M504" s="7" t="s">
        <v>13</v>
      </c>
      <c r="N504" s="7" t="s">
        <v>14</v>
      </c>
      <c r="O504" s="7" t="s">
        <v>3105</v>
      </c>
      <c r="P504" s="7"/>
      <c r="Q504" s="7" t="s">
        <v>16</v>
      </c>
      <c r="R504" s="7"/>
      <c r="S504" s="7"/>
      <c r="T504" s="7"/>
      <c r="U504" s="7"/>
      <c r="V504" s="7"/>
      <c r="W504" s="7"/>
      <c r="X504" s="7"/>
      <c r="Y504" s="7"/>
      <c r="Z504" s="7"/>
    </row>
    <row r="505" spans="1:26" s="1" customFormat="1">
      <c r="A505" s="8" t="s">
        <v>5528</v>
      </c>
      <c r="B505" s="8" t="s">
        <v>5526</v>
      </c>
      <c r="C505" s="2" t="str">
        <f>RIGHT(ProductInfo[[#This Row],[Drawing No]],1)</f>
        <v>0</v>
      </c>
      <c r="D505" s="176" t="s">
        <v>5527</v>
      </c>
      <c r="E505" s="16" t="s">
        <v>4561</v>
      </c>
      <c r="F505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505" s="59">
        <v>216</v>
      </c>
      <c r="H505" s="59">
        <v>30</v>
      </c>
      <c r="I505" s="1">
        <f>COUNTA(ProductInfo[[#This Row],[P1]:[P15]])</f>
        <v>5</v>
      </c>
      <c r="J5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5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05" s="7" t="s">
        <v>12</v>
      </c>
      <c r="M505" s="7" t="s">
        <v>13</v>
      </c>
      <c r="N505" s="7" t="s">
        <v>14</v>
      </c>
      <c r="O505" s="7" t="s">
        <v>3105</v>
      </c>
      <c r="P505" s="7"/>
      <c r="Q505" s="4" t="s">
        <v>16</v>
      </c>
      <c r="R505" s="4"/>
      <c r="S505" s="4"/>
      <c r="T505" s="4"/>
      <c r="U505" s="4"/>
      <c r="V505" s="4"/>
      <c r="W505" s="4"/>
      <c r="X505" s="4"/>
      <c r="Y505" s="4"/>
      <c r="Z505" s="4"/>
    </row>
    <row r="506" spans="1:26" s="1" customFormat="1">
      <c r="A506" s="8" t="s">
        <v>645</v>
      </c>
      <c r="B506" s="8" t="s">
        <v>645</v>
      </c>
      <c r="C506" s="1" t="str">
        <f>RIGHT(ProductInfo[[#This Row],[Drawing No]],1)</f>
        <v>1</v>
      </c>
      <c r="D506" s="176" t="s">
        <v>646</v>
      </c>
      <c r="E506" s="16"/>
      <c r="F5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06" s="31"/>
      <c r="H506" s="31"/>
      <c r="I506" s="1">
        <f>COUNTA(ProductInfo[[#This Row],[P1]:[P15]])</f>
        <v>0</v>
      </c>
      <c r="J5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s="1" customFormat="1">
      <c r="A507" s="8" t="s">
        <v>647</v>
      </c>
      <c r="B507" s="8" t="s">
        <v>4741</v>
      </c>
      <c r="C507" s="1" t="str">
        <f>RIGHT(ProductInfo[[#This Row],[Drawing No]],1)</f>
        <v>3</v>
      </c>
      <c r="D507" s="176" t="s">
        <v>3161</v>
      </c>
      <c r="E507" s="16" t="s">
        <v>3467</v>
      </c>
      <c r="F507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507" s="59">
        <v>67</v>
      </c>
      <c r="H507" s="3">
        <v>90</v>
      </c>
      <c r="I507" s="1">
        <f>COUNTA(ProductInfo[[#This Row],[P1]:[P15]])</f>
        <v>1</v>
      </c>
      <c r="J5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7" s="7" t="s">
        <v>12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s="1" customFormat="1">
      <c r="A508" s="8" t="s">
        <v>648</v>
      </c>
      <c r="B508" s="8" t="s">
        <v>4741</v>
      </c>
      <c r="C508" s="1" t="str">
        <f>RIGHT(ProductInfo[[#This Row],[Drawing No]],1)</f>
        <v>3</v>
      </c>
      <c r="D508" s="176" t="s">
        <v>3278</v>
      </c>
      <c r="E508" s="16" t="s">
        <v>3467</v>
      </c>
      <c r="F508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508" s="59">
        <v>77</v>
      </c>
      <c r="H508" s="3">
        <v>90</v>
      </c>
      <c r="I508" s="1">
        <f>COUNTA(ProductInfo[[#This Row],[P1]:[P15]])</f>
        <v>1</v>
      </c>
      <c r="J5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8" s="7" t="s">
        <v>12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s="1" customFormat="1">
      <c r="A509" s="8" t="s">
        <v>6448</v>
      </c>
      <c r="B509" s="8" t="s">
        <v>6448</v>
      </c>
      <c r="C509" s="1" t="str">
        <f>RIGHT(ProductInfo[[#This Row],[Drawing No]],1)</f>
        <v>0</v>
      </c>
      <c r="D509" s="179" t="s">
        <v>649</v>
      </c>
      <c r="E509" s="18"/>
      <c r="F50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09" s="32"/>
      <c r="H509" s="3">
        <v>90</v>
      </c>
      <c r="I509" s="1">
        <f>COUNTA(ProductInfo[[#This Row],[P1]:[P15]])</f>
        <v>0</v>
      </c>
      <c r="J5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s="1" customFormat="1">
      <c r="A510" s="8" t="s">
        <v>650</v>
      </c>
      <c r="B510" s="8" t="s">
        <v>4741</v>
      </c>
      <c r="C510" s="1" t="str">
        <f>RIGHT(ProductInfo[[#This Row],[Drawing No]],1)</f>
        <v>3</v>
      </c>
      <c r="D510" s="180" t="s">
        <v>4742</v>
      </c>
      <c r="E510" s="16" t="s">
        <v>3467</v>
      </c>
      <c r="F510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510" s="59">
        <v>92</v>
      </c>
      <c r="H510" s="3">
        <v>90</v>
      </c>
      <c r="I510" s="1">
        <f>COUNTA(ProductInfo[[#This Row],[P1]:[P15]])</f>
        <v>1</v>
      </c>
      <c r="J5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0" s="7" t="s">
        <v>12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s="1" customFormat="1">
      <c r="A511" s="8" t="s">
        <v>651</v>
      </c>
      <c r="B511" s="8" t="s">
        <v>4741</v>
      </c>
      <c r="C511" s="1" t="str">
        <f>RIGHT(ProductInfo[[#This Row],[Drawing No]],1)</f>
        <v>3</v>
      </c>
      <c r="D511" s="176" t="s">
        <v>4685</v>
      </c>
      <c r="E511" s="16" t="s">
        <v>3467</v>
      </c>
      <c r="F511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511" s="59">
        <v>107</v>
      </c>
      <c r="H511" s="3">
        <v>90</v>
      </c>
      <c r="I511" s="1">
        <f>COUNTA(ProductInfo[[#This Row],[P1]:[P15]])</f>
        <v>1</v>
      </c>
      <c r="J5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1" s="7" t="s">
        <v>12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s="1" customFormat="1">
      <c r="A512" s="8" t="s">
        <v>652</v>
      </c>
      <c r="B512" s="8" t="s">
        <v>4741</v>
      </c>
      <c r="C512" s="1" t="str">
        <f>RIGHT(ProductInfo[[#This Row],[Drawing No]],1)</f>
        <v>3</v>
      </c>
      <c r="D512" s="176" t="s">
        <v>3162</v>
      </c>
      <c r="E512" s="16" t="s">
        <v>3467</v>
      </c>
      <c r="F512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512" s="59">
        <v>122</v>
      </c>
      <c r="H512" s="3">
        <v>90</v>
      </c>
      <c r="I512" s="1">
        <f>COUNTA(ProductInfo[[#This Row],[P1]:[P15]])</f>
        <v>1</v>
      </c>
      <c r="J5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2" s="7" t="s">
        <v>12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s="1" customFormat="1">
      <c r="A513" s="8" t="s">
        <v>4503</v>
      </c>
      <c r="B513" s="8" t="s">
        <v>4503</v>
      </c>
      <c r="C513" s="1" t="str">
        <f>RIGHT(ProductInfo[[#This Row],[Drawing No]],1)</f>
        <v>0</v>
      </c>
      <c r="D513" s="179" t="s">
        <v>653</v>
      </c>
      <c r="E513" s="18"/>
      <c r="F51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13" s="32"/>
      <c r="H513" s="3">
        <v>90</v>
      </c>
      <c r="I513" s="1">
        <f>COUNTA(ProductInfo[[#This Row],[P1]:[P15]])</f>
        <v>0</v>
      </c>
      <c r="J5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s="1" customFormat="1">
      <c r="A514" s="8" t="s">
        <v>654</v>
      </c>
      <c r="B514" s="8" t="s">
        <v>3593</v>
      </c>
      <c r="C514" s="1" t="str">
        <f>RIGHT(ProductInfo[[#This Row],[Drawing No]],1)</f>
        <v>1</v>
      </c>
      <c r="D514" s="176" t="s">
        <v>3163</v>
      </c>
      <c r="E514" s="16" t="s">
        <v>3492</v>
      </c>
      <c r="F51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514" s="59">
        <v>112</v>
      </c>
      <c r="H514" s="59">
        <v>70</v>
      </c>
      <c r="I514" s="1">
        <f>COUNTA(ProductInfo[[#This Row],[P1]:[P15]])</f>
        <v>3</v>
      </c>
      <c r="J5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5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4" s="7" t="s">
        <v>12</v>
      </c>
      <c r="M514" s="7" t="s">
        <v>13</v>
      </c>
      <c r="N514" s="7" t="s">
        <v>14</v>
      </c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s="1" customFormat="1">
      <c r="A515" s="8" t="s">
        <v>655</v>
      </c>
      <c r="B515" s="8" t="s">
        <v>655</v>
      </c>
      <c r="C515" s="1" t="str">
        <f>RIGHT(ProductInfo[[#This Row],[Drawing No]],1)</f>
        <v>0</v>
      </c>
      <c r="D515" s="179" t="s">
        <v>656</v>
      </c>
      <c r="E515" s="18"/>
      <c r="F51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15" s="32"/>
      <c r="H515" s="32"/>
      <c r="I515" s="1">
        <f>COUNTA(ProductInfo[[#This Row],[P1]:[P15]])</f>
        <v>0</v>
      </c>
      <c r="J5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s="1" customFormat="1">
      <c r="A516" s="8" t="s">
        <v>657</v>
      </c>
      <c r="B516" s="8" t="s">
        <v>3308</v>
      </c>
      <c r="C516" s="1" t="str">
        <f>RIGHT(ProductInfo[[#This Row],[Drawing No]],1)</f>
        <v>0</v>
      </c>
      <c r="D516" s="176" t="s">
        <v>3164</v>
      </c>
      <c r="E516" s="16" t="s">
        <v>3506</v>
      </c>
      <c r="F516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516" s="59">
        <v>77</v>
      </c>
      <c r="H516" s="59">
        <v>100</v>
      </c>
      <c r="I516" s="1">
        <f>COUNTA(ProductInfo[[#This Row],[P1]:[P15]])</f>
        <v>1</v>
      </c>
      <c r="J5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6" s="7" t="s">
        <v>12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s="1" customFormat="1">
      <c r="A517" s="8" t="s">
        <v>658</v>
      </c>
      <c r="B517" s="8" t="s">
        <v>3308</v>
      </c>
      <c r="C517" s="1" t="str">
        <f>RIGHT(ProductInfo[[#This Row],[Drawing No]],1)</f>
        <v>0</v>
      </c>
      <c r="D517" s="176" t="s">
        <v>3165</v>
      </c>
      <c r="E517" s="16" t="s">
        <v>3506</v>
      </c>
      <c r="F517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517" s="59">
        <v>87</v>
      </c>
      <c r="H517" s="59">
        <v>100</v>
      </c>
      <c r="I517" s="1">
        <f>COUNTA(ProductInfo[[#This Row],[P1]:[P15]])</f>
        <v>1</v>
      </c>
      <c r="J5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7" s="7" t="s">
        <v>12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s="1" customFormat="1">
      <c r="A518" s="8" t="s">
        <v>659</v>
      </c>
      <c r="B518" s="8" t="s">
        <v>3308</v>
      </c>
      <c r="C518" s="1" t="str">
        <f>RIGHT(ProductInfo[[#This Row],[Drawing No]],1)</f>
        <v>0</v>
      </c>
      <c r="D518" s="176" t="s">
        <v>3279</v>
      </c>
      <c r="E518" s="16" t="s">
        <v>3506</v>
      </c>
      <c r="F518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518" s="59">
        <v>102</v>
      </c>
      <c r="H518" s="59">
        <v>100</v>
      </c>
      <c r="I518" s="1">
        <f>COUNTA(ProductInfo[[#This Row],[P1]:[P15]])</f>
        <v>1</v>
      </c>
      <c r="J5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8" s="7" t="s">
        <v>12</v>
      </c>
      <c r="M518" s="7"/>
      <c r="N518" s="7"/>
      <c r="O518" s="7"/>
      <c r="P518" s="7"/>
      <c r="Q518" s="7"/>
      <c r="R518" s="7"/>
      <c r="S518" s="7"/>
      <c r="T518" s="4"/>
      <c r="U518" s="4"/>
      <c r="V518" s="4"/>
      <c r="W518" s="4"/>
      <c r="X518" s="4"/>
      <c r="Y518" s="4"/>
      <c r="Z518" s="4"/>
    </row>
    <row r="519" spans="1:26" s="1" customFormat="1">
      <c r="A519" s="8" t="s">
        <v>660</v>
      </c>
      <c r="B519" s="8" t="s">
        <v>3308</v>
      </c>
      <c r="C519" s="1" t="str">
        <f>RIGHT(ProductInfo[[#This Row],[Drawing No]],1)</f>
        <v>0</v>
      </c>
      <c r="D519" s="176" t="s">
        <v>3166</v>
      </c>
      <c r="E519" s="16" t="s">
        <v>3506</v>
      </c>
      <c r="F519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519" s="59">
        <v>122</v>
      </c>
      <c r="H519" s="59">
        <v>100</v>
      </c>
      <c r="I519" s="1">
        <f>COUNTA(ProductInfo[[#This Row],[P1]:[P15]])</f>
        <v>1</v>
      </c>
      <c r="J5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5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19" s="7" t="s">
        <v>12</v>
      </c>
      <c r="M519" s="7"/>
      <c r="N519" s="7"/>
      <c r="O519" s="7"/>
      <c r="P519" s="7"/>
      <c r="Q519" s="7"/>
      <c r="R519" s="7"/>
      <c r="S519" s="7"/>
      <c r="T519" s="4"/>
      <c r="U519" s="4"/>
      <c r="V519" s="4"/>
      <c r="W519" s="4"/>
      <c r="X519" s="4"/>
      <c r="Y519" s="4"/>
      <c r="Z519" s="4"/>
    </row>
    <row r="520" spans="1:26" s="1" customFormat="1">
      <c r="A520" s="8" t="s">
        <v>661</v>
      </c>
      <c r="B520" s="8" t="s">
        <v>5804</v>
      </c>
      <c r="C520" s="1" t="str">
        <f>RIGHT(ProductInfo[[#This Row],[Drawing No]],1)</f>
        <v>1</v>
      </c>
      <c r="D520" s="176" t="s">
        <v>3167</v>
      </c>
      <c r="E520" s="16"/>
      <c r="F5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0" s="31"/>
      <c r="H520" s="31"/>
      <c r="I520" s="1">
        <f>COUNTA(ProductInfo[[#This Row],[P1]:[P15]])</f>
        <v>3</v>
      </c>
      <c r="J5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5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0" s="7" t="s">
        <v>12</v>
      </c>
      <c r="M520" s="7" t="s">
        <v>13</v>
      </c>
      <c r="N520" s="7" t="s">
        <v>14</v>
      </c>
      <c r="O520" s="7"/>
      <c r="P520" s="7"/>
      <c r="Q520" s="7"/>
      <c r="R520" s="7"/>
      <c r="S520" s="7"/>
      <c r="T520" s="4"/>
      <c r="U520" s="4"/>
      <c r="V520" s="4"/>
      <c r="W520" s="4"/>
      <c r="X520" s="4"/>
      <c r="Y520" s="4"/>
      <c r="Z520" s="4"/>
    </row>
    <row r="521" spans="1:26" s="1" customFormat="1">
      <c r="A521" s="8" t="s">
        <v>662</v>
      </c>
      <c r="B521" s="8" t="s">
        <v>662</v>
      </c>
      <c r="C521" s="1" t="str">
        <f>RIGHT(ProductInfo[[#This Row],[Drawing No]],1)</f>
        <v>7</v>
      </c>
      <c r="D521" s="176" t="s">
        <v>663</v>
      </c>
      <c r="E521" s="16"/>
      <c r="F5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1" s="31"/>
      <c r="H521" s="59">
        <v>100</v>
      </c>
      <c r="I521" s="1">
        <f>COUNTA(ProductInfo[[#This Row],[P1]:[P15]])</f>
        <v>0</v>
      </c>
      <c r="J5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s="1" customFormat="1">
      <c r="A522" s="8" t="s">
        <v>664</v>
      </c>
      <c r="B522" s="8" t="s">
        <v>664</v>
      </c>
      <c r="C522" s="1" t="str">
        <f>RIGHT(ProductInfo[[#This Row],[Drawing No]],1)</f>
        <v>8</v>
      </c>
      <c r="D522" s="176" t="s">
        <v>3168</v>
      </c>
      <c r="E522" s="16"/>
      <c r="F5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2" s="31"/>
      <c r="H522" s="59">
        <v>100</v>
      </c>
      <c r="I522" s="1">
        <f>COUNTA(ProductInfo[[#This Row],[P1]:[P15]])</f>
        <v>0</v>
      </c>
      <c r="J5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s="1" customFormat="1">
      <c r="A523" s="8" t="s">
        <v>665</v>
      </c>
      <c r="B523" s="8" t="s">
        <v>665</v>
      </c>
      <c r="C523" s="1" t="str">
        <f>RIGHT(ProductInfo[[#This Row],[Drawing No]],1)</f>
        <v>7</v>
      </c>
      <c r="D523" s="176" t="s">
        <v>2871</v>
      </c>
      <c r="E523" s="16"/>
      <c r="F5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3" s="31"/>
      <c r="H523" s="59">
        <v>100</v>
      </c>
      <c r="I523" s="1">
        <f>COUNTA(ProductInfo[[#This Row],[P1]:[P15]])</f>
        <v>0</v>
      </c>
      <c r="J5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s="1" customFormat="1">
      <c r="A524" s="8" t="s">
        <v>666</v>
      </c>
      <c r="B524" s="8" t="s">
        <v>666</v>
      </c>
      <c r="C524" s="1" t="str">
        <f>RIGHT(ProductInfo[[#This Row],[Drawing No]],1)</f>
        <v>8</v>
      </c>
      <c r="D524" s="176" t="s">
        <v>2815</v>
      </c>
      <c r="E524" s="16"/>
      <c r="F5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4" s="31"/>
      <c r="H524" s="59">
        <v>100</v>
      </c>
      <c r="I524" s="1">
        <f>COUNTA(ProductInfo[[#This Row],[P1]:[P15]])</f>
        <v>0</v>
      </c>
      <c r="J5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s="1" customFormat="1">
      <c r="A525" s="8" t="s">
        <v>667</v>
      </c>
      <c r="B525" s="8" t="s">
        <v>667</v>
      </c>
      <c r="C525" s="1" t="str">
        <f>RIGHT(ProductInfo[[#This Row],[Drawing No]],1)</f>
        <v>7</v>
      </c>
      <c r="D525" s="176" t="s">
        <v>3169</v>
      </c>
      <c r="E525" s="16"/>
      <c r="F5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5" s="31"/>
      <c r="H525" s="59">
        <v>100</v>
      </c>
      <c r="I525" s="1">
        <f>COUNTA(ProductInfo[[#This Row],[P1]:[P15]])</f>
        <v>0</v>
      </c>
      <c r="J5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s="1" customFormat="1">
      <c r="A526" s="8" t="s">
        <v>668</v>
      </c>
      <c r="B526" s="8" t="s">
        <v>668</v>
      </c>
      <c r="C526" s="1" t="str">
        <f>RIGHT(ProductInfo[[#This Row],[Drawing No]],1)</f>
        <v>8</v>
      </c>
      <c r="D526" s="176" t="s">
        <v>2360</v>
      </c>
      <c r="E526" s="16"/>
      <c r="F5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6" s="31"/>
      <c r="H526" s="59">
        <v>100</v>
      </c>
      <c r="I526" s="1">
        <f>COUNTA(ProductInfo[[#This Row],[P1]:[P15]])</f>
        <v>0</v>
      </c>
      <c r="J5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s="1" customFormat="1">
      <c r="A527" s="8" t="s">
        <v>669</v>
      </c>
      <c r="B527" s="8" t="s">
        <v>5628</v>
      </c>
      <c r="C527" s="1" t="str">
        <f>RIGHT(ProductInfo[[#This Row],[Drawing No]],1)</f>
        <v>0</v>
      </c>
      <c r="D527" s="176" t="s">
        <v>2361</v>
      </c>
      <c r="E527" s="16" t="s">
        <v>4695</v>
      </c>
      <c r="F527" s="23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527" s="59">
        <v>28</v>
      </c>
      <c r="H527" s="59">
        <v>100</v>
      </c>
      <c r="I527" s="1">
        <f>COUNTA(ProductInfo[[#This Row],[P1]:[P15]])</f>
        <v>4</v>
      </c>
      <c r="J5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27" s="7" t="s">
        <v>12</v>
      </c>
      <c r="M527" s="7" t="s">
        <v>15</v>
      </c>
      <c r="N527" s="7" t="s">
        <v>16</v>
      </c>
      <c r="O527" s="7" t="s">
        <v>13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s="1" customFormat="1">
      <c r="A528" s="8" t="s">
        <v>670</v>
      </c>
      <c r="B528" s="8" t="s">
        <v>670</v>
      </c>
      <c r="C528" s="1" t="str">
        <f>RIGHT(ProductInfo[[#This Row],[Drawing No]],1)</f>
        <v>0</v>
      </c>
      <c r="D528" s="176" t="s">
        <v>2872</v>
      </c>
      <c r="E528" s="16"/>
      <c r="F5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8" s="31"/>
      <c r="H528" s="59">
        <v>100</v>
      </c>
      <c r="I528" s="1">
        <f>COUNTA(ProductInfo[[#This Row],[P1]:[P15]])</f>
        <v>0</v>
      </c>
      <c r="J5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s="1" customFormat="1">
      <c r="A529" s="8" t="s">
        <v>671</v>
      </c>
      <c r="B529" s="8" t="s">
        <v>671</v>
      </c>
      <c r="C529" s="1" t="str">
        <f>RIGHT(ProductInfo[[#This Row],[Drawing No]],1)</f>
        <v>1</v>
      </c>
      <c r="D529" s="176" t="s">
        <v>2362</v>
      </c>
      <c r="E529" s="16"/>
      <c r="F5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29" s="31"/>
      <c r="H529" s="59">
        <v>100</v>
      </c>
      <c r="I529" s="1">
        <f>COUNTA(ProductInfo[[#This Row],[P1]:[P15]])</f>
        <v>0</v>
      </c>
      <c r="J5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s="1" customFormat="1">
      <c r="A530" s="8" t="s">
        <v>672</v>
      </c>
      <c r="B530" s="8" t="s">
        <v>672</v>
      </c>
      <c r="C530" s="1" t="str">
        <f>RIGHT(ProductInfo[[#This Row],[Drawing No]],1)</f>
        <v>0</v>
      </c>
      <c r="D530" s="175" t="s">
        <v>2363</v>
      </c>
      <c r="E530" s="5"/>
      <c r="F530" s="22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0" s="4"/>
      <c r="H530" s="59">
        <v>100</v>
      </c>
      <c r="I530" s="1">
        <f>COUNTA(ProductInfo[[#This Row],[P1]:[P15]])</f>
        <v>0</v>
      </c>
      <c r="J5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s="1" customFormat="1">
      <c r="A531" s="8" t="s">
        <v>673</v>
      </c>
      <c r="B531" s="8" t="s">
        <v>673</v>
      </c>
      <c r="C531" s="1" t="str">
        <f>RIGHT(ProductInfo[[#This Row],[Drawing No]],1)</f>
        <v>1</v>
      </c>
      <c r="D531" s="175" t="s">
        <v>2364</v>
      </c>
      <c r="E531" s="5"/>
      <c r="F531" s="22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1" s="4"/>
      <c r="H531" s="59">
        <v>100</v>
      </c>
      <c r="I531" s="1">
        <f>COUNTA(ProductInfo[[#This Row],[P1]:[P15]])</f>
        <v>0</v>
      </c>
      <c r="J5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s="1" customFormat="1">
      <c r="A532" s="8" t="s">
        <v>674</v>
      </c>
      <c r="B532" s="8" t="s">
        <v>674</v>
      </c>
      <c r="C532" s="1" t="str">
        <f>RIGHT(ProductInfo[[#This Row],[Drawing No]],1)</f>
        <v>3</v>
      </c>
      <c r="D532" s="178" t="s">
        <v>2873</v>
      </c>
      <c r="E532" s="17"/>
      <c r="F532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2" s="38"/>
      <c r="H532" s="59">
        <v>100</v>
      </c>
      <c r="I532" s="1">
        <f>COUNTA(ProductInfo[[#This Row],[P1]:[P15]])</f>
        <v>0</v>
      </c>
      <c r="J5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s="1" customFormat="1" ht="19.8">
      <c r="A533" s="8" t="s">
        <v>675</v>
      </c>
      <c r="B533" s="8" t="s">
        <v>5584</v>
      </c>
      <c r="C533" s="1" t="str">
        <f>RIGHT(ProductInfo[[#This Row],[Drawing No]],1)</f>
        <v>0</v>
      </c>
      <c r="D533" s="176" t="s">
        <v>2365</v>
      </c>
      <c r="E533" s="121" t="s">
        <v>6530</v>
      </c>
      <c r="F53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533" s="59">
        <v>63.5</v>
      </c>
      <c r="H533" s="59">
        <v>100</v>
      </c>
      <c r="I533" s="1">
        <f>COUNTA(ProductInfo[[#This Row],[P1]:[P15]])</f>
        <v>4</v>
      </c>
      <c r="J5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33" s="7" t="s">
        <v>12</v>
      </c>
      <c r="M533" s="7" t="s">
        <v>13</v>
      </c>
      <c r="N533" s="7" t="s">
        <v>15</v>
      </c>
      <c r="O533" s="7" t="s">
        <v>16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s="1" customFormat="1">
      <c r="A534" s="8" t="s">
        <v>676</v>
      </c>
      <c r="B534" s="8" t="s">
        <v>3338</v>
      </c>
      <c r="C534" s="1" t="str">
        <f>RIGHT(ProductInfo[[#This Row],[Drawing No]],1)</f>
        <v>7</v>
      </c>
      <c r="D534" s="176" t="s">
        <v>2874</v>
      </c>
      <c r="E534" s="16" t="s">
        <v>3527</v>
      </c>
      <c r="F534" s="23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534" s="59">
        <v>28</v>
      </c>
      <c r="H534" s="59">
        <v>100</v>
      </c>
      <c r="I534" s="1">
        <f>COUNTA(ProductInfo[[#This Row],[P1]:[P15]])</f>
        <v>4</v>
      </c>
      <c r="J5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34" s="7" t="s">
        <v>12</v>
      </c>
      <c r="M534" s="7" t="s">
        <v>13</v>
      </c>
      <c r="N534" s="7" t="s">
        <v>15</v>
      </c>
      <c r="O534" s="7" t="s">
        <v>16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s="1" customFormat="1">
      <c r="A535" s="8" t="s">
        <v>677</v>
      </c>
      <c r="B535" s="8" t="s">
        <v>677</v>
      </c>
      <c r="C535" s="1" t="str">
        <f>RIGHT(ProductInfo[[#This Row],[Drawing No]],1)</f>
        <v>4</v>
      </c>
      <c r="D535" s="181" t="s">
        <v>2875</v>
      </c>
      <c r="E535" s="19"/>
      <c r="F53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5" s="41"/>
      <c r="H535" s="59">
        <v>100</v>
      </c>
      <c r="I535" s="1">
        <f>COUNTA(ProductInfo[[#This Row],[P1]:[P15]])</f>
        <v>3</v>
      </c>
      <c r="J5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35" s="7" t="s">
        <v>12</v>
      </c>
      <c r="M535" s="7" t="s">
        <v>13</v>
      </c>
      <c r="N535" s="7"/>
      <c r="O535" s="7"/>
      <c r="P535" s="7"/>
      <c r="Q535" s="7" t="s">
        <v>16</v>
      </c>
      <c r="R535" s="7"/>
      <c r="S535" s="7"/>
      <c r="T535" s="7"/>
      <c r="U535" s="7"/>
      <c r="V535" s="7"/>
      <c r="W535" s="7"/>
      <c r="X535" s="7"/>
      <c r="Y535" s="7"/>
      <c r="Z535" s="7"/>
    </row>
    <row r="536" spans="1:26" s="1" customFormat="1">
      <c r="A536" s="8" t="s">
        <v>678</v>
      </c>
      <c r="B536" s="8" t="s">
        <v>3672</v>
      </c>
      <c r="C536" s="1" t="str">
        <f>RIGHT(ProductInfo[[#This Row],[Drawing No]],1)</f>
        <v>1</v>
      </c>
      <c r="D536" s="181" t="s">
        <v>2876</v>
      </c>
      <c r="E536" s="19" t="s">
        <v>6530</v>
      </c>
      <c r="F536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536" s="60">
        <v>87.5</v>
      </c>
      <c r="H536" s="59">
        <v>100</v>
      </c>
      <c r="I536" s="1">
        <f>COUNTA(ProductInfo[[#This Row],[P1]:[P15]])</f>
        <v>4</v>
      </c>
      <c r="J5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36" s="7" t="s">
        <v>12</v>
      </c>
      <c r="M536" s="7" t="s">
        <v>13</v>
      </c>
      <c r="N536" s="7" t="s">
        <v>15</v>
      </c>
      <c r="O536" s="7" t="s">
        <v>16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s="1" customFormat="1">
      <c r="A537" s="8" t="s">
        <v>679</v>
      </c>
      <c r="B537" s="8" t="s">
        <v>679</v>
      </c>
      <c r="C537" s="1" t="str">
        <f>RIGHT(ProductInfo[[#This Row],[Drawing No]],1)</f>
        <v>7</v>
      </c>
      <c r="D537" s="176" t="s">
        <v>2877</v>
      </c>
      <c r="E537" s="16"/>
      <c r="F5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7" s="31"/>
      <c r="H537" s="59">
        <v>100</v>
      </c>
      <c r="I537" s="1">
        <f>COUNTA(ProductInfo[[#This Row],[P1]:[P15]])</f>
        <v>0</v>
      </c>
      <c r="J5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s="1" customFormat="1">
      <c r="A538" s="8" t="s">
        <v>680</v>
      </c>
      <c r="B538" s="8" t="s">
        <v>680</v>
      </c>
      <c r="C538" s="1" t="str">
        <f>RIGHT(ProductInfo[[#This Row],[Drawing No]],1)</f>
        <v>8</v>
      </c>
      <c r="D538" s="176" t="s">
        <v>2877</v>
      </c>
      <c r="E538" s="16"/>
      <c r="F5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8" s="31"/>
      <c r="H538" s="59">
        <v>100</v>
      </c>
      <c r="I538" s="1">
        <f>COUNTA(ProductInfo[[#This Row],[P1]:[P15]])</f>
        <v>0</v>
      </c>
      <c r="J5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s="1" customFormat="1">
      <c r="A539" s="8" t="s">
        <v>681</v>
      </c>
      <c r="B539" s="8" t="s">
        <v>681</v>
      </c>
      <c r="C539" s="1" t="str">
        <f>RIGHT(ProductInfo[[#This Row],[Drawing No]],1)</f>
        <v>9</v>
      </c>
      <c r="D539" s="176" t="s">
        <v>2878</v>
      </c>
      <c r="E539" s="16"/>
      <c r="F5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39" s="31"/>
      <c r="H539" s="59">
        <v>100</v>
      </c>
      <c r="I539" s="1">
        <f>COUNTA(ProductInfo[[#This Row],[P1]:[P15]])</f>
        <v>0</v>
      </c>
      <c r="J5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s="1" customFormat="1">
      <c r="A540" s="8" t="s">
        <v>682</v>
      </c>
      <c r="B540" s="8" t="s">
        <v>682</v>
      </c>
      <c r="C540" s="1" t="str">
        <f>RIGHT(ProductInfo[[#This Row],[Drawing No]],1)</f>
        <v>5</v>
      </c>
      <c r="D540" s="176" t="s">
        <v>2879</v>
      </c>
      <c r="E540" s="16"/>
      <c r="F5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0" s="31"/>
      <c r="H540" s="59">
        <v>100</v>
      </c>
      <c r="I540" s="1">
        <f>COUNTA(ProductInfo[[#This Row],[P1]:[P15]])</f>
        <v>0</v>
      </c>
      <c r="J5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s="1" customFormat="1">
      <c r="A541" s="8" t="s">
        <v>683</v>
      </c>
      <c r="B541" s="8" t="s">
        <v>683</v>
      </c>
      <c r="C541" s="1" t="str">
        <f>RIGHT(ProductInfo[[#This Row],[Drawing No]],1)</f>
        <v>6</v>
      </c>
      <c r="D541" s="176" t="s">
        <v>3170</v>
      </c>
      <c r="E541" s="16"/>
      <c r="F5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1" s="31"/>
      <c r="H541" s="59">
        <v>100</v>
      </c>
      <c r="I541" s="1">
        <f>COUNTA(ProductInfo[[#This Row],[P1]:[P15]])</f>
        <v>0</v>
      </c>
      <c r="J5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s="1" customFormat="1">
      <c r="A542" s="8" t="s">
        <v>684</v>
      </c>
      <c r="B542" s="8" t="s">
        <v>684</v>
      </c>
      <c r="C542" s="1" t="str">
        <f>RIGHT(ProductInfo[[#This Row],[Drawing No]],1)</f>
        <v>7</v>
      </c>
      <c r="D542" s="176" t="s">
        <v>3171</v>
      </c>
      <c r="E542" s="16"/>
      <c r="F5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2" s="31"/>
      <c r="H542" s="59">
        <v>100</v>
      </c>
      <c r="I542" s="1">
        <f>COUNTA(ProductInfo[[#This Row],[P1]:[P15]])</f>
        <v>0</v>
      </c>
      <c r="J5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s="1" customFormat="1">
      <c r="A543" s="8" t="s">
        <v>685</v>
      </c>
      <c r="B543" s="8" t="s">
        <v>685</v>
      </c>
      <c r="C543" s="1" t="str">
        <f>RIGHT(ProductInfo[[#This Row],[Drawing No]],1)</f>
        <v>3</v>
      </c>
      <c r="D543" s="176" t="s">
        <v>2366</v>
      </c>
      <c r="E543" s="16"/>
      <c r="F5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3" s="31"/>
      <c r="H543" s="59">
        <v>100</v>
      </c>
      <c r="I543" s="1">
        <f>COUNTA(ProductInfo[[#This Row],[P1]:[P15]])</f>
        <v>0</v>
      </c>
      <c r="J5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s="1" customFormat="1">
      <c r="A544" s="8" t="s">
        <v>686</v>
      </c>
      <c r="B544" s="8" t="s">
        <v>686</v>
      </c>
      <c r="C544" s="1" t="str">
        <f>RIGHT(ProductInfo[[#This Row],[Drawing No]],1)</f>
        <v>4</v>
      </c>
      <c r="D544" s="176" t="s">
        <v>2367</v>
      </c>
      <c r="E544" s="16"/>
      <c r="F5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4" s="31"/>
      <c r="H544" s="59">
        <v>100</v>
      </c>
      <c r="I544" s="1">
        <f>COUNTA(ProductInfo[[#This Row],[P1]:[P15]])</f>
        <v>0</v>
      </c>
      <c r="J5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s="1" customFormat="1">
      <c r="A545" s="8" t="s">
        <v>687</v>
      </c>
      <c r="B545" s="8" t="s">
        <v>3640</v>
      </c>
      <c r="C545" s="1" t="str">
        <f>RIGHT(ProductInfo[[#This Row],[Drawing No]],1)</f>
        <v>1</v>
      </c>
      <c r="D545" s="176" t="s">
        <v>2367</v>
      </c>
      <c r="E545" s="16" t="s">
        <v>6529</v>
      </c>
      <c r="F54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45" s="59">
        <v>134</v>
      </c>
      <c r="H545" s="59">
        <v>100</v>
      </c>
      <c r="I545" s="1">
        <f>COUNTA(ProductInfo[[#This Row],[P1]:[P15]])</f>
        <v>3</v>
      </c>
      <c r="J5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45" s="7" t="s">
        <v>12</v>
      </c>
      <c r="M545" s="7" t="s">
        <v>13</v>
      </c>
      <c r="N545" s="7" t="s">
        <v>15</v>
      </c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s="1" customFormat="1">
      <c r="A546" s="8" t="s">
        <v>5131</v>
      </c>
      <c r="B546" s="8" t="s">
        <v>5130</v>
      </c>
      <c r="C546" s="2" t="str">
        <f>RIGHT(ProductInfo[[#This Row],[Drawing No]],1)</f>
        <v>0</v>
      </c>
      <c r="D546" s="176" t="s">
        <v>2367</v>
      </c>
      <c r="E546" s="16" t="s">
        <v>6529</v>
      </c>
      <c r="F54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46" s="59">
        <v>134</v>
      </c>
      <c r="H546" s="59">
        <v>100</v>
      </c>
      <c r="I546" s="1">
        <f>COUNTA(ProductInfo[[#This Row],[P1]:[P15]])</f>
        <v>2</v>
      </c>
      <c r="J5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6" s="7" t="s">
        <v>12</v>
      </c>
      <c r="M546" s="7" t="s">
        <v>13</v>
      </c>
      <c r="N546" s="4"/>
      <c r="O546" s="4"/>
      <c r="P546" s="7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s="1" customFormat="1">
      <c r="A547" s="8" t="s">
        <v>688</v>
      </c>
      <c r="B547" s="8" t="s">
        <v>688</v>
      </c>
      <c r="C547" s="1" t="str">
        <f>RIGHT(ProductInfo[[#This Row],[Drawing No]],1)</f>
        <v>4</v>
      </c>
      <c r="D547" s="176" t="s">
        <v>2993</v>
      </c>
      <c r="E547" s="16"/>
      <c r="F5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7" s="31"/>
      <c r="H547" s="59">
        <v>100</v>
      </c>
      <c r="I547" s="1">
        <f>COUNTA(ProductInfo[[#This Row],[P1]:[P15]])</f>
        <v>0</v>
      </c>
      <c r="J5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s="1" customFormat="1">
      <c r="A548" s="8" t="s">
        <v>689</v>
      </c>
      <c r="B548" s="8" t="s">
        <v>689</v>
      </c>
      <c r="C548" s="1" t="str">
        <f>RIGHT(ProductInfo[[#This Row],[Drawing No]],1)</f>
        <v>5</v>
      </c>
      <c r="D548" s="176" t="s">
        <v>2816</v>
      </c>
      <c r="E548" s="16"/>
      <c r="F5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48" s="31"/>
      <c r="H548" s="59">
        <v>100</v>
      </c>
      <c r="I548" s="1">
        <f>COUNTA(ProductInfo[[#This Row],[P1]:[P15]])</f>
        <v>0</v>
      </c>
      <c r="J5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s="1" customFormat="1">
      <c r="A549" s="8" t="s">
        <v>690</v>
      </c>
      <c r="B549" s="8" t="s">
        <v>3659</v>
      </c>
      <c r="C549" s="1" t="str">
        <f>RIGHT(ProductInfo[[#This Row],[Drawing No]],1)</f>
        <v>4</v>
      </c>
      <c r="D549" s="179" t="s">
        <v>2994</v>
      </c>
      <c r="E549" s="18" t="s">
        <v>6529</v>
      </c>
      <c r="F549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49" s="3">
        <v>78.5</v>
      </c>
      <c r="H549" s="59">
        <v>100</v>
      </c>
      <c r="I549" s="1">
        <f>COUNTA(ProductInfo[[#This Row],[P1]:[P15]])</f>
        <v>4</v>
      </c>
      <c r="J5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49" s="7" t="s">
        <v>12</v>
      </c>
      <c r="M549" s="7" t="s">
        <v>13</v>
      </c>
      <c r="N549" s="7" t="s">
        <v>15</v>
      </c>
      <c r="O549" s="7" t="s">
        <v>16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s="1" customFormat="1">
      <c r="A550" s="8" t="s">
        <v>691</v>
      </c>
      <c r="B550" s="8" t="s">
        <v>5628</v>
      </c>
      <c r="C550" s="1" t="str">
        <f>RIGHT(ProductInfo[[#This Row],[Drawing No]],1)</f>
        <v>0</v>
      </c>
      <c r="D550" s="176" t="s">
        <v>2368</v>
      </c>
      <c r="E550" s="16" t="s">
        <v>4695</v>
      </c>
      <c r="F550" s="23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550" s="59">
        <v>28</v>
      </c>
      <c r="H550" s="59">
        <v>100</v>
      </c>
      <c r="I550" s="1">
        <f>COUNTA(ProductInfo[[#This Row],[P1]:[P15]])</f>
        <v>4</v>
      </c>
      <c r="J5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50" s="7" t="s">
        <v>12</v>
      </c>
      <c r="M550" s="7" t="s">
        <v>15</v>
      </c>
      <c r="N550" s="7" t="s">
        <v>16</v>
      </c>
      <c r="O550" s="7" t="s">
        <v>13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s="1" customFormat="1">
      <c r="A551" s="8" t="s">
        <v>692</v>
      </c>
      <c r="B551" s="8" t="s">
        <v>5433</v>
      </c>
      <c r="C551" s="1" t="str">
        <f>RIGHT(ProductInfo[[#This Row],[Drawing No]],1)</f>
        <v>2</v>
      </c>
      <c r="D551" s="176" t="s">
        <v>693</v>
      </c>
      <c r="E551" s="16" t="s">
        <v>6529</v>
      </c>
      <c r="F55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51" s="59">
        <v>96.5</v>
      </c>
      <c r="H551" s="59">
        <v>100</v>
      </c>
      <c r="I551" s="1">
        <f>COUNTA(ProductInfo[[#This Row],[P1]:[P15]])</f>
        <v>3</v>
      </c>
      <c r="J5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51" s="7" t="s">
        <v>12</v>
      </c>
      <c r="M551" s="7" t="s">
        <v>15</v>
      </c>
      <c r="N551" s="7" t="s">
        <v>13</v>
      </c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s="1" customFormat="1">
      <c r="A552" s="8" t="s">
        <v>694</v>
      </c>
      <c r="B552" s="8" t="s">
        <v>694</v>
      </c>
      <c r="C552" s="1" t="str">
        <f>RIGHT(ProductInfo[[#This Row],[Drawing No]],1)</f>
        <v>0</v>
      </c>
      <c r="D552" s="176" t="s">
        <v>2369</v>
      </c>
      <c r="E552" s="16" t="s">
        <v>6529</v>
      </c>
      <c r="F55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52" s="59">
        <v>77</v>
      </c>
      <c r="H552" s="59">
        <v>100</v>
      </c>
      <c r="I552" s="1">
        <f>COUNTA(ProductInfo[[#This Row],[P1]:[P15]])</f>
        <v>2</v>
      </c>
      <c r="J5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52" s="7" t="s">
        <v>12</v>
      </c>
      <c r="M552" s="7" t="s">
        <v>13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s="1" customFormat="1">
      <c r="A553" s="8" t="s">
        <v>4306</v>
      </c>
      <c r="B553" s="8" t="s">
        <v>4305</v>
      </c>
      <c r="C553" s="2" t="str">
        <f>RIGHT(ProductInfo[[#This Row],[Drawing No]],1)</f>
        <v>0</v>
      </c>
      <c r="D553" s="176" t="s">
        <v>4333</v>
      </c>
      <c r="E553" s="16" t="s">
        <v>3421</v>
      </c>
      <c r="F553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553" s="59">
        <v>111</v>
      </c>
      <c r="H553" s="59">
        <v>100</v>
      </c>
      <c r="I553" s="1">
        <f>COUNTA(ProductInfo[[#This Row],[P1]:[P15]])</f>
        <v>3</v>
      </c>
      <c r="J5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53" s="4" t="s">
        <v>12</v>
      </c>
      <c r="M553" s="4" t="s">
        <v>13</v>
      </c>
      <c r="N553" s="4"/>
      <c r="O553" s="4" t="s">
        <v>15</v>
      </c>
      <c r="P553" s="7"/>
      <c r="Q553" s="7"/>
      <c r="R553" s="4"/>
      <c r="S553" s="4"/>
      <c r="T553" s="4"/>
      <c r="U553" s="4"/>
      <c r="V553" s="4"/>
      <c r="W553" s="4"/>
      <c r="X553" s="4"/>
      <c r="Y553" s="4"/>
      <c r="Z553" s="4"/>
    </row>
    <row r="554" spans="1:26" s="1" customFormat="1">
      <c r="A554" s="8" t="s">
        <v>5230</v>
      </c>
      <c r="B554" s="8" t="s">
        <v>5231</v>
      </c>
      <c r="C554" s="2" t="str">
        <f>RIGHT(ProductInfo[[#This Row],[Drawing No]],1)</f>
        <v>0</v>
      </c>
      <c r="D554" s="176" t="s">
        <v>5232</v>
      </c>
      <c r="E554" s="16" t="s">
        <v>6529</v>
      </c>
      <c r="F55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54" s="59">
        <v>78</v>
      </c>
      <c r="H554" s="59">
        <v>100</v>
      </c>
      <c r="I554" s="1">
        <f>COUNTA(ProductInfo[[#This Row],[P1]:[P15]])</f>
        <v>3</v>
      </c>
      <c r="J5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54" s="4" t="s">
        <v>12</v>
      </c>
      <c r="M554" s="4" t="s">
        <v>13</v>
      </c>
      <c r="N554" s="4" t="s">
        <v>15</v>
      </c>
      <c r="O554" s="4"/>
      <c r="P554" s="7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s="1" customFormat="1">
      <c r="A555" s="8" t="s">
        <v>695</v>
      </c>
      <c r="B555" s="8" t="s">
        <v>695</v>
      </c>
      <c r="C555" s="1" t="str">
        <f>RIGHT(ProductInfo[[#This Row],[Drawing No]],1)</f>
        <v>6</v>
      </c>
      <c r="D555" s="181" t="s">
        <v>2880</v>
      </c>
      <c r="E555" s="19"/>
      <c r="F55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55" s="41"/>
      <c r="H555" s="59">
        <v>100</v>
      </c>
      <c r="I555" s="1">
        <f>COUNTA(ProductInfo[[#This Row],[P1]:[P15]])</f>
        <v>0</v>
      </c>
      <c r="J5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s="1" customFormat="1">
      <c r="A556" s="8" t="s">
        <v>696</v>
      </c>
      <c r="B556" s="8" t="s">
        <v>5628</v>
      </c>
      <c r="C556" s="1" t="str">
        <f>RIGHT(ProductInfo[[#This Row],[Drawing No]],1)</f>
        <v>0</v>
      </c>
      <c r="D556" s="181" t="s">
        <v>2881</v>
      </c>
      <c r="E556" s="19" t="s">
        <v>4695</v>
      </c>
      <c r="F556" s="27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556" s="41" t="s">
        <v>6202</v>
      </c>
      <c r="H556" s="59">
        <v>100</v>
      </c>
      <c r="I556" s="1">
        <f>COUNTA(ProductInfo[[#This Row],[P1]:[P15]])</f>
        <v>4</v>
      </c>
      <c r="J5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56" s="7" t="s">
        <v>12</v>
      </c>
      <c r="M556" s="7" t="s">
        <v>15</v>
      </c>
      <c r="N556" s="7" t="s">
        <v>16</v>
      </c>
      <c r="O556" s="7" t="s">
        <v>13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s="1" customFormat="1">
      <c r="A557" s="8" t="s">
        <v>697</v>
      </c>
      <c r="B557" s="8" t="s">
        <v>697</v>
      </c>
      <c r="C557" s="1" t="str">
        <f>RIGHT(ProductInfo[[#This Row],[Drawing No]],1)</f>
        <v>6</v>
      </c>
      <c r="D557" s="181" t="s">
        <v>2882</v>
      </c>
      <c r="E557" s="19"/>
      <c r="F55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57" s="41"/>
      <c r="H557" s="59">
        <v>100</v>
      </c>
      <c r="I557" s="1">
        <f>COUNTA(ProductInfo[[#This Row],[P1]:[P15]])</f>
        <v>0</v>
      </c>
      <c r="J5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s="1" customFormat="1">
      <c r="A558" s="8" t="s">
        <v>698</v>
      </c>
      <c r="B558" s="8" t="s">
        <v>5628</v>
      </c>
      <c r="C558" s="1" t="str">
        <f>RIGHT(ProductInfo[[#This Row],[Drawing No]],1)</f>
        <v>0</v>
      </c>
      <c r="D558" s="181" t="s">
        <v>3172</v>
      </c>
      <c r="E558" s="19" t="s">
        <v>4695</v>
      </c>
      <c r="F558" s="27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558" s="60">
        <v>28</v>
      </c>
      <c r="H558" s="59">
        <v>100</v>
      </c>
      <c r="I558" s="1">
        <f>COUNTA(ProductInfo[[#This Row],[P1]:[P15]])</f>
        <v>4</v>
      </c>
      <c r="J5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58" s="7" t="s">
        <v>12</v>
      </c>
      <c r="M558" s="7" t="s">
        <v>15</v>
      </c>
      <c r="N558" s="7" t="s">
        <v>16</v>
      </c>
      <c r="O558" s="7" t="s">
        <v>13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s="1" customFormat="1">
      <c r="A559" s="8" t="s">
        <v>699</v>
      </c>
      <c r="B559" s="8" t="s">
        <v>699</v>
      </c>
      <c r="C559" s="1" t="str">
        <f>RIGHT(ProductInfo[[#This Row],[Drawing No]],1)</f>
        <v>4</v>
      </c>
      <c r="D559" s="181" t="s">
        <v>2370</v>
      </c>
      <c r="E559" s="19"/>
      <c r="F55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59" s="41"/>
      <c r="H559" s="59">
        <v>100</v>
      </c>
      <c r="I559" s="1">
        <f>COUNTA(ProductInfo[[#This Row],[P1]:[P15]])</f>
        <v>0</v>
      </c>
      <c r="J5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s="1" customFormat="1">
      <c r="A560" s="8" t="s">
        <v>700</v>
      </c>
      <c r="B560" s="8" t="s">
        <v>700</v>
      </c>
      <c r="C560" s="1" t="str">
        <f>RIGHT(ProductInfo[[#This Row],[Drawing No]],1)</f>
        <v>5</v>
      </c>
      <c r="D560" s="176" t="s">
        <v>2371</v>
      </c>
      <c r="E560" s="16"/>
      <c r="F5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0" s="31"/>
      <c r="H560" s="59">
        <v>100</v>
      </c>
      <c r="I560" s="1">
        <f>COUNTA(ProductInfo[[#This Row],[P1]:[P15]])</f>
        <v>0</v>
      </c>
      <c r="J5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s="1" customFormat="1">
      <c r="A561" s="8" t="s">
        <v>701</v>
      </c>
      <c r="B561" s="8" t="s">
        <v>701</v>
      </c>
      <c r="C561" s="1" t="str">
        <f>RIGHT(ProductInfo[[#This Row],[Drawing No]],1)</f>
        <v>6</v>
      </c>
      <c r="D561" s="176" t="s">
        <v>2372</v>
      </c>
      <c r="E561" s="16"/>
      <c r="F5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1" s="31"/>
      <c r="H561" s="59">
        <v>100</v>
      </c>
      <c r="I561" s="1">
        <f>COUNTA(ProductInfo[[#This Row],[P1]:[P15]])</f>
        <v>0</v>
      </c>
      <c r="J5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s="1" customFormat="1">
      <c r="A562" s="8" t="s">
        <v>702</v>
      </c>
      <c r="B562" s="8" t="s">
        <v>702</v>
      </c>
      <c r="C562" s="1" t="str">
        <f>RIGHT(ProductInfo[[#This Row],[Drawing No]],1)</f>
        <v>7</v>
      </c>
      <c r="D562" s="176" t="s">
        <v>3173</v>
      </c>
      <c r="E562" s="16"/>
      <c r="F5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2" s="31"/>
      <c r="H562" s="59">
        <v>100</v>
      </c>
      <c r="I562" s="1">
        <f>COUNTA(ProductInfo[[#This Row],[P1]:[P15]])</f>
        <v>0</v>
      </c>
      <c r="J5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s="1" customFormat="1">
      <c r="A563" s="8" t="s">
        <v>703</v>
      </c>
      <c r="B563" s="8" t="s">
        <v>3673</v>
      </c>
      <c r="C563" s="1" t="str">
        <f>RIGHT(ProductInfo[[#This Row],[Drawing No]],1)</f>
        <v>0</v>
      </c>
      <c r="D563" s="176" t="s">
        <v>2373</v>
      </c>
      <c r="E563" s="16" t="s">
        <v>6529</v>
      </c>
      <c r="F56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63" s="59">
        <v>79.5</v>
      </c>
      <c r="H563" s="59">
        <v>100</v>
      </c>
      <c r="I563" s="1">
        <f>COUNTA(ProductInfo[[#This Row],[P1]:[P15]])</f>
        <v>4</v>
      </c>
      <c r="J5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63" s="7" t="s">
        <v>12</v>
      </c>
      <c r="M563" s="7" t="s">
        <v>13</v>
      </c>
      <c r="N563" s="7" t="s">
        <v>15</v>
      </c>
      <c r="O563" s="7" t="s">
        <v>16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s="1" customFormat="1">
      <c r="A564" s="8" t="s">
        <v>704</v>
      </c>
      <c r="B564" s="8" t="s">
        <v>704</v>
      </c>
      <c r="C564" s="1" t="str">
        <f>RIGHT(ProductInfo[[#This Row],[Drawing No]],1)</f>
        <v>1</v>
      </c>
      <c r="D564" s="176" t="s">
        <v>2883</v>
      </c>
      <c r="E564" s="16"/>
      <c r="F5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4" s="31"/>
      <c r="H564" s="59">
        <v>100</v>
      </c>
      <c r="I564" s="1">
        <f>COUNTA(ProductInfo[[#This Row],[P1]:[P15]])</f>
        <v>0</v>
      </c>
      <c r="J5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s="1" customFormat="1">
      <c r="A565" s="8" t="s">
        <v>705</v>
      </c>
      <c r="B565" s="8" t="s">
        <v>705</v>
      </c>
      <c r="C565" s="1" t="str">
        <f>RIGHT(ProductInfo[[#This Row],[Drawing No]],1)</f>
        <v>6</v>
      </c>
      <c r="D565" s="176" t="s">
        <v>2374</v>
      </c>
      <c r="E565" s="16"/>
      <c r="F5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5" s="31"/>
      <c r="H565" s="59">
        <v>100</v>
      </c>
      <c r="I565" s="1">
        <f>COUNTA(ProductInfo[[#This Row],[P1]:[P15]])</f>
        <v>0</v>
      </c>
      <c r="J5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s="1" customFormat="1">
      <c r="A566" s="8" t="s">
        <v>706</v>
      </c>
      <c r="B566" s="8" t="s">
        <v>3674</v>
      </c>
      <c r="C566" s="1" t="str">
        <f>RIGHT(ProductInfo[[#This Row],[Drawing No]],1)</f>
        <v>0</v>
      </c>
      <c r="D566" s="176" t="s">
        <v>2375</v>
      </c>
      <c r="E566" s="16" t="s">
        <v>6529</v>
      </c>
      <c r="F56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66" s="59">
        <v>87.5</v>
      </c>
      <c r="H566" s="59">
        <v>100</v>
      </c>
      <c r="I566" s="1">
        <f>COUNTA(ProductInfo[[#This Row],[P1]:[P15]])</f>
        <v>4</v>
      </c>
      <c r="J5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66" s="7" t="s">
        <v>12</v>
      </c>
      <c r="M566" s="7" t="s">
        <v>13</v>
      </c>
      <c r="N566" s="7" t="s">
        <v>15</v>
      </c>
      <c r="O566" s="7" t="s">
        <v>16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s="1" customFormat="1">
      <c r="A567" s="8" t="s">
        <v>707</v>
      </c>
      <c r="B567" s="8" t="s">
        <v>707</v>
      </c>
      <c r="C567" s="1" t="str">
        <f>RIGHT(ProductInfo[[#This Row],[Drawing No]],1)</f>
        <v>9</v>
      </c>
      <c r="D567" s="176" t="s">
        <v>2376</v>
      </c>
      <c r="E567" s="16" t="s">
        <v>6529</v>
      </c>
      <c r="F56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67" s="59">
        <v>87.5</v>
      </c>
      <c r="H567" s="59">
        <v>100</v>
      </c>
      <c r="I567" s="1">
        <f>COUNTA(ProductInfo[[#This Row],[P1]:[P15]])</f>
        <v>4</v>
      </c>
      <c r="J5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67" s="7" t="s">
        <v>12</v>
      </c>
      <c r="M567" s="7" t="s">
        <v>13</v>
      </c>
      <c r="N567" s="7" t="s">
        <v>15</v>
      </c>
      <c r="O567" s="7" t="s">
        <v>16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s="1" customFormat="1">
      <c r="A568" s="8" t="s">
        <v>708</v>
      </c>
      <c r="B568" s="8" t="s">
        <v>708</v>
      </c>
      <c r="C568" s="1" t="str">
        <f>RIGHT(ProductInfo[[#This Row],[Drawing No]],1)</f>
        <v>0</v>
      </c>
      <c r="D568" s="176" t="s">
        <v>2377</v>
      </c>
      <c r="E568" s="16"/>
      <c r="F5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68" s="31"/>
      <c r="H568" s="59">
        <v>100</v>
      </c>
      <c r="I568" s="1">
        <f>COUNTA(ProductInfo[[#This Row],[P1]:[P15]])</f>
        <v>0</v>
      </c>
      <c r="J5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s="1" customFormat="1">
      <c r="A569" s="8" t="s">
        <v>709</v>
      </c>
      <c r="B569" s="8" t="s">
        <v>3641</v>
      </c>
      <c r="C569" s="1" t="str">
        <f>RIGHT(ProductInfo[[#This Row],[Drawing No]],1)</f>
        <v>1</v>
      </c>
      <c r="D569" s="176" t="s">
        <v>2378</v>
      </c>
      <c r="E569" s="16" t="s">
        <v>3516</v>
      </c>
      <c r="F569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 *รู 46 มม.</v>
      </c>
      <c r="G569" s="59">
        <v>79.5</v>
      </c>
      <c r="H569" s="59">
        <v>100</v>
      </c>
      <c r="I569" s="1">
        <f>COUNTA(ProductInfo[[#This Row],[P1]:[P15]])</f>
        <v>2</v>
      </c>
      <c r="J5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69" s="7" t="s">
        <v>12</v>
      </c>
      <c r="M569" s="7" t="s">
        <v>13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s="1" customFormat="1">
      <c r="A570" s="8" t="s">
        <v>710</v>
      </c>
      <c r="B570" s="8" t="s">
        <v>3633</v>
      </c>
      <c r="C570" s="1" t="str">
        <f>RIGHT(ProductInfo[[#This Row],[Drawing No]],1)</f>
        <v>0</v>
      </c>
      <c r="D570" s="176" t="s">
        <v>2379</v>
      </c>
      <c r="E570" s="16"/>
      <c r="F5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0" s="31"/>
      <c r="H570" s="59">
        <v>100</v>
      </c>
      <c r="I570" s="1">
        <f>COUNTA(ProductInfo[[#This Row],[P1]:[P15]])</f>
        <v>3</v>
      </c>
      <c r="J5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570" s="7" t="s">
        <v>12</v>
      </c>
      <c r="M570" s="7" t="s">
        <v>13</v>
      </c>
      <c r="N570" s="7" t="s">
        <v>15</v>
      </c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s="1" customFormat="1" ht="19.8">
      <c r="A571" s="8" t="s">
        <v>5073</v>
      </c>
      <c r="B571" s="8" t="s">
        <v>3678</v>
      </c>
      <c r="C571" s="1" t="str">
        <f>RIGHT(ProductInfo[[#This Row],[Drawing No]],1)</f>
        <v>0</v>
      </c>
      <c r="D571" s="179" t="s">
        <v>711</v>
      </c>
      <c r="E571" s="121" t="s">
        <v>6530</v>
      </c>
      <c r="F571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571" s="3">
        <v>85.5</v>
      </c>
      <c r="H571" s="59">
        <v>100</v>
      </c>
      <c r="I571" s="1">
        <f>COUNTA(ProductInfo[[#This Row],[P1]:[P15]])</f>
        <v>4</v>
      </c>
      <c r="J5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71" s="7" t="s">
        <v>12</v>
      </c>
      <c r="M571" s="7" t="s">
        <v>13</v>
      </c>
      <c r="N571" s="7" t="s">
        <v>15</v>
      </c>
      <c r="O571" s="7" t="s">
        <v>16</v>
      </c>
      <c r="P571" s="7"/>
      <c r="Q571" s="4"/>
      <c r="R571" s="7"/>
      <c r="S571" s="7"/>
      <c r="T571" s="7"/>
      <c r="U571" s="7"/>
      <c r="V571" s="7"/>
      <c r="W571" s="7"/>
      <c r="X571" s="7"/>
      <c r="Y571" s="7"/>
      <c r="Z571" s="7"/>
    </row>
    <row r="572" spans="1:26" s="1" customFormat="1">
      <c r="A572" s="8" t="s">
        <v>712</v>
      </c>
      <c r="B572" s="8" t="s">
        <v>712</v>
      </c>
      <c r="C572" s="1" t="str">
        <f>RIGHT(ProductInfo[[#This Row],[Drawing No]],1)</f>
        <v>1</v>
      </c>
      <c r="D572" s="176" t="s">
        <v>2884</v>
      </c>
      <c r="E572" s="16"/>
      <c r="F5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2" s="31"/>
      <c r="H572" s="59">
        <v>100</v>
      </c>
      <c r="I572" s="1">
        <f>COUNTA(ProductInfo[[#This Row],[P1]:[P15]])</f>
        <v>0</v>
      </c>
      <c r="J5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s="1" customFormat="1">
      <c r="A573" s="8" t="s">
        <v>713</v>
      </c>
      <c r="B573" s="8" t="s">
        <v>713</v>
      </c>
      <c r="C573" s="1" t="str">
        <f>RIGHT(ProductInfo[[#This Row],[Drawing No]],1)</f>
        <v>4</v>
      </c>
      <c r="D573" s="176" t="s">
        <v>714</v>
      </c>
      <c r="E573" s="16"/>
      <c r="F5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3" s="31"/>
      <c r="H573" s="59">
        <v>100</v>
      </c>
      <c r="I573" s="1">
        <f>COUNTA(ProductInfo[[#This Row],[P1]:[P15]])</f>
        <v>0</v>
      </c>
      <c r="J5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s="1" customFormat="1">
      <c r="A574" s="8" t="s">
        <v>715</v>
      </c>
      <c r="B574" s="8" t="s">
        <v>715</v>
      </c>
      <c r="C574" s="1" t="str">
        <f>RIGHT(ProductInfo[[#This Row],[Drawing No]],1)</f>
        <v>0</v>
      </c>
      <c r="D574" s="179" t="s">
        <v>2958</v>
      </c>
      <c r="E574" s="18"/>
      <c r="F57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4" s="32"/>
      <c r="H574" s="59">
        <v>100</v>
      </c>
      <c r="I574" s="1">
        <f>COUNTA(ProductInfo[[#This Row],[P1]:[P15]])</f>
        <v>0</v>
      </c>
      <c r="J5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s="1" customFormat="1">
      <c r="A575" s="8" t="s">
        <v>716</v>
      </c>
      <c r="B575" s="8" t="s">
        <v>716</v>
      </c>
      <c r="C575" s="1" t="str">
        <f>RIGHT(ProductInfo[[#This Row],[Drawing No]],1)</f>
        <v>5</v>
      </c>
      <c r="D575" s="181" t="s">
        <v>717</v>
      </c>
      <c r="E575" s="19"/>
      <c r="F57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5" s="41"/>
      <c r="H575" s="59">
        <v>100</v>
      </c>
      <c r="I575" s="1">
        <f>COUNTA(ProductInfo[[#This Row],[P1]:[P15]])</f>
        <v>0</v>
      </c>
      <c r="J5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s="1" customFormat="1">
      <c r="A576" s="8" t="s">
        <v>718</v>
      </c>
      <c r="B576" s="8" t="s">
        <v>718</v>
      </c>
      <c r="C576" s="1" t="str">
        <f>RIGHT(ProductInfo[[#This Row],[Drawing No]],1)</f>
        <v>5</v>
      </c>
      <c r="D576" s="181" t="s">
        <v>719</v>
      </c>
      <c r="E576" s="19"/>
      <c r="F57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6" s="41"/>
      <c r="H576" s="59">
        <v>100</v>
      </c>
      <c r="I576" s="1">
        <f>COUNTA(ProductInfo[[#This Row],[P1]:[P15]])</f>
        <v>0</v>
      </c>
      <c r="J5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s="1" customFormat="1">
      <c r="A577" s="8" t="s">
        <v>720</v>
      </c>
      <c r="B577" s="8" t="s">
        <v>720</v>
      </c>
      <c r="C577" s="1" t="str">
        <f>RIGHT(ProductInfo[[#This Row],[Drawing No]],1)</f>
        <v>3</v>
      </c>
      <c r="D577" s="181" t="s">
        <v>721</v>
      </c>
      <c r="E577" s="19"/>
      <c r="F57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7" s="41"/>
      <c r="H577" s="59">
        <v>100</v>
      </c>
      <c r="I577" s="1">
        <f>COUNTA(ProductInfo[[#This Row],[P1]:[P15]])</f>
        <v>0</v>
      </c>
      <c r="J5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s="1" customFormat="1">
      <c r="A578" s="8" t="s">
        <v>722</v>
      </c>
      <c r="B578" s="8" t="s">
        <v>6569</v>
      </c>
      <c r="C578" s="1" t="str">
        <f>RIGHT(ProductInfo[[#This Row],[Drawing No]],1)</f>
        <v>0</v>
      </c>
      <c r="D578" s="179" t="s">
        <v>2817</v>
      </c>
      <c r="E578" s="18" t="s">
        <v>5150</v>
      </c>
      <c r="F578" s="26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578" s="32" t="s">
        <v>6568</v>
      </c>
      <c r="H578" s="59">
        <v>110</v>
      </c>
      <c r="I578" s="1">
        <f>COUNTA(ProductInfo[[#This Row],[P1]:[P15]])</f>
        <v>4</v>
      </c>
      <c r="J5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78" s="7" t="s">
        <v>12</v>
      </c>
      <c r="M578" s="7" t="s">
        <v>13</v>
      </c>
      <c r="N578" s="7" t="s">
        <v>15</v>
      </c>
      <c r="O578" s="7" t="s">
        <v>16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s="1" customFormat="1">
      <c r="A579" s="8" t="s">
        <v>723</v>
      </c>
      <c r="B579" s="8" t="s">
        <v>723</v>
      </c>
      <c r="C579" s="1" t="str">
        <f>RIGHT(ProductInfo[[#This Row],[Drawing No]],1)</f>
        <v>3</v>
      </c>
      <c r="D579" s="181" t="s">
        <v>724</v>
      </c>
      <c r="E579" s="19"/>
      <c r="F57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79" s="41"/>
      <c r="H579" s="59">
        <v>100</v>
      </c>
      <c r="I579" s="1">
        <f>COUNTA(ProductInfo[[#This Row],[P1]:[P15]])</f>
        <v>0</v>
      </c>
      <c r="J5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s="1" customFormat="1">
      <c r="A580" s="8" t="s">
        <v>725</v>
      </c>
      <c r="B580" s="8" t="s">
        <v>725</v>
      </c>
      <c r="C580" s="1" t="str">
        <f>RIGHT(ProductInfo[[#This Row],[Drawing No]],1)</f>
        <v>1</v>
      </c>
      <c r="D580" s="176" t="s">
        <v>726</v>
      </c>
      <c r="E580" s="16"/>
      <c r="F5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0" s="31"/>
      <c r="H580" s="59">
        <v>100</v>
      </c>
      <c r="I580" s="1">
        <f>COUNTA(ProductInfo[[#This Row],[P1]:[P15]])</f>
        <v>0</v>
      </c>
      <c r="J5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s="1" customFormat="1">
      <c r="A581" s="8" t="s">
        <v>727</v>
      </c>
      <c r="B581" s="8" t="s">
        <v>727</v>
      </c>
      <c r="C581" s="1" t="str">
        <f>RIGHT(ProductInfo[[#This Row],[Drawing No]],1)</f>
        <v>5</v>
      </c>
      <c r="D581" s="176" t="s">
        <v>2380</v>
      </c>
      <c r="E581" s="16"/>
      <c r="F5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1" s="31"/>
      <c r="H581" s="59">
        <v>100</v>
      </c>
      <c r="I581" s="1">
        <f>COUNTA(ProductInfo[[#This Row],[P1]:[P15]])</f>
        <v>0</v>
      </c>
      <c r="J5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s="1" customFormat="1">
      <c r="A582" s="8" t="s">
        <v>728</v>
      </c>
      <c r="B582" s="8" t="s">
        <v>6436</v>
      </c>
      <c r="C582" s="1" t="str">
        <f>RIGHT(ProductInfo[[#This Row],[Drawing No]],1)</f>
        <v>1</v>
      </c>
      <c r="D582" s="179" t="s">
        <v>2959</v>
      </c>
      <c r="E582" s="18" t="s">
        <v>6529</v>
      </c>
      <c r="F582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82" s="32" t="s">
        <v>6437</v>
      </c>
      <c r="H582" s="59">
        <v>110</v>
      </c>
      <c r="I582" s="1">
        <f>COUNTA(ProductInfo[[#This Row],[P1]:[P15]])</f>
        <v>4</v>
      </c>
      <c r="J5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82" s="7" t="s">
        <v>12</v>
      </c>
      <c r="M582" s="7" t="s">
        <v>13</v>
      </c>
      <c r="N582" s="7" t="s">
        <v>15</v>
      </c>
      <c r="O582" s="7" t="s">
        <v>16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s="1" customFormat="1">
      <c r="A583" s="8" t="s">
        <v>729</v>
      </c>
      <c r="B583" s="8" t="s">
        <v>729</v>
      </c>
      <c r="C583" s="1" t="str">
        <f>RIGHT(ProductInfo[[#This Row],[Drawing No]],1)</f>
        <v>5</v>
      </c>
      <c r="D583" s="176" t="s">
        <v>2381</v>
      </c>
      <c r="E583" s="16"/>
      <c r="F5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3" s="31"/>
      <c r="H583" s="59">
        <v>100</v>
      </c>
      <c r="I583" s="1">
        <f>COUNTA(ProductInfo[[#This Row],[P1]:[P15]])</f>
        <v>0</v>
      </c>
      <c r="J5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s="1" customFormat="1">
      <c r="A584" s="8" t="s">
        <v>730</v>
      </c>
      <c r="B584" s="8" t="s">
        <v>730</v>
      </c>
      <c r="C584" s="1" t="str">
        <f>RIGHT(ProductInfo[[#This Row],[Drawing No]],1)</f>
        <v>6</v>
      </c>
      <c r="D584" s="176" t="s">
        <v>2382</v>
      </c>
      <c r="E584" s="16"/>
      <c r="F5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4" s="31"/>
      <c r="H584" s="59">
        <v>100</v>
      </c>
      <c r="I584" s="1">
        <f>COUNTA(ProductInfo[[#This Row],[P1]:[P15]])</f>
        <v>0</v>
      </c>
      <c r="J5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s="1" customFormat="1" ht="19.8">
      <c r="A585" s="8" t="s">
        <v>731</v>
      </c>
      <c r="B585" s="8" t="s">
        <v>6436</v>
      </c>
      <c r="C585" s="1" t="str">
        <f>RIGHT(ProductInfo[[#This Row],[Drawing No]],1)</f>
        <v>1</v>
      </c>
      <c r="D585" s="179" t="s">
        <v>2960</v>
      </c>
      <c r="E585" s="121" t="s">
        <v>6530</v>
      </c>
      <c r="F585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585" s="32" t="s">
        <v>6437</v>
      </c>
      <c r="H585" s="59">
        <v>110</v>
      </c>
      <c r="I585" s="1">
        <f>COUNTA(ProductInfo[[#This Row],[P1]:[P15]])</f>
        <v>4</v>
      </c>
      <c r="J5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85" s="7" t="s">
        <v>12</v>
      </c>
      <c r="M585" s="7" t="s">
        <v>13</v>
      </c>
      <c r="N585" s="7" t="s">
        <v>15</v>
      </c>
      <c r="O585" s="7" t="s">
        <v>16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s="1" customFormat="1">
      <c r="A586" s="8" t="s">
        <v>732</v>
      </c>
      <c r="B586" s="8" t="s">
        <v>732</v>
      </c>
      <c r="C586" s="1" t="str">
        <f>RIGHT(ProductInfo[[#This Row],[Drawing No]],1)</f>
        <v>3</v>
      </c>
      <c r="D586" s="176" t="s">
        <v>2383</v>
      </c>
      <c r="E586" s="16"/>
      <c r="F5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6" s="31"/>
      <c r="H586" s="59">
        <v>100</v>
      </c>
      <c r="I586" s="1">
        <f>COUNTA(ProductInfo[[#This Row],[P1]:[P15]])</f>
        <v>0</v>
      </c>
      <c r="J5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s="1" customFormat="1">
      <c r="A587" s="8" t="s">
        <v>733</v>
      </c>
      <c r="B587" s="8" t="s">
        <v>733</v>
      </c>
      <c r="C587" s="1" t="str">
        <f>RIGHT(ProductInfo[[#This Row],[Drawing No]],1)</f>
        <v>4</v>
      </c>
      <c r="D587" s="176" t="s">
        <v>2384</v>
      </c>
      <c r="E587" s="16"/>
      <c r="F5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87" s="31"/>
      <c r="H587" s="59">
        <v>100</v>
      </c>
      <c r="I587" s="1">
        <f>COUNTA(ProductInfo[[#This Row],[P1]:[P15]])</f>
        <v>0</v>
      </c>
      <c r="J5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s="1" customFormat="1">
      <c r="A588" s="8" t="s">
        <v>734</v>
      </c>
      <c r="B588" s="8" t="s">
        <v>3661</v>
      </c>
      <c r="C588" s="1" t="str">
        <f>RIGHT(ProductInfo[[#This Row],[Drawing No]],1)</f>
        <v>8</v>
      </c>
      <c r="D588" s="179" t="s">
        <v>2996</v>
      </c>
      <c r="E588" s="18" t="s">
        <v>3441</v>
      </c>
      <c r="F588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588" s="3">
        <v>105.5</v>
      </c>
      <c r="H588" s="59">
        <v>100</v>
      </c>
      <c r="I588" s="1">
        <f>COUNTA(ProductInfo[[#This Row],[P1]:[P15]])</f>
        <v>4</v>
      </c>
      <c r="J5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88" s="7" t="s">
        <v>12</v>
      </c>
      <c r="M588" s="7" t="s">
        <v>13</v>
      </c>
      <c r="N588" s="4" t="s">
        <v>15</v>
      </c>
      <c r="O588" s="4" t="s">
        <v>16</v>
      </c>
      <c r="P588" s="7"/>
      <c r="Q588" s="4"/>
      <c r="R588" s="7"/>
      <c r="S588" s="7"/>
      <c r="T588" s="7"/>
      <c r="U588" s="7"/>
      <c r="V588" s="7"/>
      <c r="W588" s="7"/>
      <c r="X588" s="7"/>
      <c r="Y588" s="7"/>
      <c r="Z588" s="7"/>
    </row>
    <row r="589" spans="1:26" s="1" customFormat="1">
      <c r="A589" s="8" t="s">
        <v>735</v>
      </c>
      <c r="B589" s="8" t="s">
        <v>4153</v>
      </c>
      <c r="C589" s="1" t="str">
        <f>RIGHT(ProductInfo[[#This Row],[Drawing No]],1)</f>
        <v>5</v>
      </c>
      <c r="D589" s="176" t="s">
        <v>2385</v>
      </c>
      <c r="E589" s="16" t="s">
        <v>4561</v>
      </c>
      <c r="F589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589" s="59">
        <v>85</v>
      </c>
      <c r="H589" s="59">
        <v>100</v>
      </c>
      <c r="I589" s="1">
        <f>COUNTA(ProductInfo[[#This Row],[P1]:[P15]])</f>
        <v>4</v>
      </c>
      <c r="J5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89" s="7" t="s">
        <v>12</v>
      </c>
      <c r="M589" s="7" t="s">
        <v>13</v>
      </c>
      <c r="N589" s="7" t="s">
        <v>15</v>
      </c>
      <c r="O589" s="7" t="s">
        <v>16</v>
      </c>
      <c r="P589" s="7"/>
      <c r="Q589" s="4"/>
      <c r="R589" s="7"/>
      <c r="S589" s="7"/>
      <c r="T589" s="7"/>
      <c r="U589" s="7"/>
      <c r="V589" s="7"/>
      <c r="W589" s="7"/>
      <c r="X589" s="7"/>
      <c r="Y589" s="7"/>
      <c r="Z589" s="7"/>
    </row>
    <row r="590" spans="1:26" s="1" customFormat="1">
      <c r="A590" s="8" t="s">
        <v>736</v>
      </c>
      <c r="B590" s="8" t="s">
        <v>736</v>
      </c>
      <c r="C590" s="1" t="str">
        <f>RIGHT(ProductInfo[[#This Row],[Drawing No]],1)</f>
        <v>0</v>
      </c>
      <c r="D590" s="176" t="s">
        <v>2386</v>
      </c>
      <c r="E590" s="16"/>
      <c r="F5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0" s="31"/>
      <c r="H590" s="59">
        <v>100</v>
      </c>
      <c r="I590" s="1">
        <f>COUNTA(ProductInfo[[#This Row],[P1]:[P15]])</f>
        <v>0</v>
      </c>
      <c r="J5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s="1" customFormat="1">
      <c r="A591" s="8" t="s">
        <v>737</v>
      </c>
      <c r="B591" s="8" t="s">
        <v>737</v>
      </c>
      <c r="C591" s="1" t="str">
        <f>RIGHT(ProductInfo[[#This Row],[Drawing No]],1)</f>
        <v>1</v>
      </c>
      <c r="D591" s="179" t="s">
        <v>2997</v>
      </c>
      <c r="E591" s="18"/>
      <c r="F59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1" s="32"/>
      <c r="H591" s="59">
        <v>100</v>
      </c>
      <c r="I591" s="1">
        <f>COUNTA(ProductInfo[[#This Row],[P1]:[P15]])</f>
        <v>0</v>
      </c>
      <c r="J5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s="1" customFormat="1">
      <c r="A592" s="8" t="s">
        <v>738</v>
      </c>
      <c r="B592" s="8" t="s">
        <v>738</v>
      </c>
      <c r="C592" s="1" t="str">
        <f>RIGHT(ProductInfo[[#This Row],[Drawing No]],1)</f>
        <v>0</v>
      </c>
      <c r="D592" s="176" t="s">
        <v>2387</v>
      </c>
      <c r="E592" s="16"/>
      <c r="F5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2" s="31"/>
      <c r="H592" s="59">
        <v>100</v>
      </c>
      <c r="I592" s="1">
        <f>COUNTA(ProductInfo[[#This Row],[P1]:[P15]])</f>
        <v>0</v>
      </c>
      <c r="J5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s="1" customFormat="1">
      <c r="A593" s="8" t="s">
        <v>739</v>
      </c>
      <c r="B593" s="8" t="s">
        <v>739</v>
      </c>
      <c r="C593" s="1" t="str">
        <f>RIGHT(ProductInfo[[#This Row],[Drawing No]],1)</f>
        <v>4</v>
      </c>
      <c r="D593" s="176" t="s">
        <v>2388</v>
      </c>
      <c r="E593" s="16"/>
      <c r="F5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3" s="31"/>
      <c r="H593" s="59">
        <v>100</v>
      </c>
      <c r="I593" s="1">
        <f>COUNTA(ProductInfo[[#This Row],[P1]:[P15]])</f>
        <v>0</v>
      </c>
      <c r="J5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s="1" customFormat="1">
      <c r="A594" s="8" t="s">
        <v>740</v>
      </c>
      <c r="B594" s="8" t="s">
        <v>740</v>
      </c>
      <c r="C594" s="1" t="str">
        <f>RIGHT(ProductInfo[[#This Row],[Drawing No]],1)</f>
        <v>3</v>
      </c>
      <c r="D594" s="181" t="s">
        <v>2885</v>
      </c>
      <c r="E594" s="19"/>
      <c r="F59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4" s="41"/>
      <c r="H594" s="59">
        <v>100</v>
      </c>
      <c r="I594" s="1">
        <f>COUNTA(ProductInfo[[#This Row],[P1]:[P15]])</f>
        <v>0</v>
      </c>
      <c r="J5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s="1" customFormat="1">
      <c r="A595" s="8" t="s">
        <v>741</v>
      </c>
      <c r="B595" s="8" t="s">
        <v>3672</v>
      </c>
      <c r="C595" s="1" t="str">
        <f>RIGHT(ProductInfo[[#This Row],[Drawing No]],1)</f>
        <v>1</v>
      </c>
      <c r="D595" s="181" t="s">
        <v>2886</v>
      </c>
      <c r="E595" s="19" t="s">
        <v>4376</v>
      </c>
      <c r="F59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5" s="41"/>
      <c r="H595" s="59">
        <v>100</v>
      </c>
      <c r="I595" s="1">
        <f>COUNTA(ProductInfo[[#This Row],[P1]:[P15]])</f>
        <v>0</v>
      </c>
      <c r="J5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s="1" customFormat="1">
      <c r="A596" s="8" t="s">
        <v>742</v>
      </c>
      <c r="B596" s="8" t="s">
        <v>742</v>
      </c>
      <c r="C596" s="1" t="str">
        <f>RIGHT(ProductInfo[[#This Row],[Drawing No]],1)</f>
        <v>4</v>
      </c>
      <c r="D596" s="181" t="s">
        <v>2389</v>
      </c>
      <c r="E596" s="19"/>
      <c r="F59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6" s="41"/>
      <c r="H596" s="59">
        <v>100</v>
      </c>
      <c r="I596" s="1">
        <f>COUNTA(ProductInfo[[#This Row],[P1]:[P15]])</f>
        <v>0</v>
      </c>
      <c r="J5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s="1" customFormat="1">
      <c r="A597" s="8" t="s">
        <v>743</v>
      </c>
      <c r="B597" s="8" t="s">
        <v>3659</v>
      </c>
      <c r="C597" s="1" t="str">
        <f>RIGHT(ProductInfo[[#This Row],[Drawing No]],1)</f>
        <v>4</v>
      </c>
      <c r="D597" s="179" t="s">
        <v>2961</v>
      </c>
      <c r="E597" s="18" t="s">
        <v>6529</v>
      </c>
      <c r="F597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597" s="3">
        <v>78.5</v>
      </c>
      <c r="H597" s="59">
        <v>100</v>
      </c>
      <c r="I597" s="1">
        <f>COUNTA(ProductInfo[[#This Row],[P1]:[P15]])</f>
        <v>4</v>
      </c>
      <c r="J5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5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597" s="7" t="s">
        <v>12</v>
      </c>
      <c r="M597" s="7" t="s">
        <v>13</v>
      </c>
      <c r="N597" s="7" t="s">
        <v>15</v>
      </c>
      <c r="O597" s="7" t="s">
        <v>16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s="1" customFormat="1">
      <c r="A598" s="8" t="s">
        <v>744</v>
      </c>
      <c r="B598" s="8" t="s">
        <v>744</v>
      </c>
      <c r="C598" s="1" t="str">
        <f>RIGHT(ProductInfo[[#This Row],[Drawing No]],1)</f>
        <v>3</v>
      </c>
      <c r="D598" s="181" t="s">
        <v>2887</v>
      </c>
      <c r="E598" s="19"/>
      <c r="F59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8" s="41"/>
      <c r="H598" s="59">
        <v>100</v>
      </c>
      <c r="I598" s="1">
        <f>COUNTA(ProductInfo[[#This Row],[P1]:[P15]])</f>
        <v>0</v>
      </c>
      <c r="J5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s="1" customFormat="1">
      <c r="A599" s="8" t="s">
        <v>745</v>
      </c>
      <c r="B599" s="8" t="s">
        <v>745</v>
      </c>
      <c r="C599" s="1" t="str">
        <f>RIGHT(ProductInfo[[#This Row],[Drawing No]],1)</f>
        <v>7</v>
      </c>
      <c r="D599" s="181" t="s">
        <v>2390</v>
      </c>
      <c r="E599" s="19"/>
      <c r="F59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599" s="41"/>
      <c r="H599" s="59">
        <v>100</v>
      </c>
      <c r="I599" s="1">
        <f>COUNTA(ProductInfo[[#This Row],[P1]:[P15]])</f>
        <v>0</v>
      </c>
      <c r="J5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5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s="1" customFormat="1" ht="19.8">
      <c r="A600" s="8" t="s">
        <v>4288</v>
      </c>
      <c r="B600" s="8" t="s">
        <v>4331</v>
      </c>
      <c r="C600" s="1" t="str">
        <f>RIGHT(ProductInfo[[#This Row],[Drawing No]],1)</f>
        <v>1</v>
      </c>
      <c r="D600" s="181" t="s">
        <v>2391</v>
      </c>
      <c r="E600" s="121" t="s">
        <v>6530</v>
      </c>
      <c r="F600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00" s="60">
        <v>83.5</v>
      </c>
      <c r="H600" s="59">
        <v>100</v>
      </c>
      <c r="I600" s="1">
        <f>COUNTA(ProductInfo[[#This Row],[P1]:[P15]])</f>
        <v>3</v>
      </c>
      <c r="J6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00" s="7" t="s">
        <v>12</v>
      </c>
      <c r="M600" s="7" t="s">
        <v>13</v>
      </c>
      <c r="N600" s="7" t="s">
        <v>16</v>
      </c>
      <c r="O600" s="4"/>
      <c r="P600" s="7"/>
      <c r="Q600" s="4"/>
      <c r="R600" s="7"/>
      <c r="S600" s="7"/>
      <c r="T600" s="7"/>
      <c r="U600" s="7"/>
      <c r="V600" s="7"/>
      <c r="W600" s="7"/>
      <c r="X600" s="7"/>
      <c r="Y600" s="7"/>
      <c r="Z600" s="7"/>
    </row>
    <row r="601" spans="1:26" s="1" customFormat="1">
      <c r="A601" s="8" t="s">
        <v>746</v>
      </c>
      <c r="B601" s="8" t="s">
        <v>746</v>
      </c>
      <c r="C601" s="1" t="str">
        <f>RIGHT(ProductInfo[[#This Row],[Drawing No]],1)</f>
        <v>3</v>
      </c>
      <c r="D601" s="181" t="s">
        <v>2888</v>
      </c>
      <c r="E601" s="19"/>
      <c r="F60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1" s="41"/>
      <c r="H601" s="59">
        <v>100</v>
      </c>
      <c r="I601" s="1">
        <f>COUNTA(ProductInfo[[#This Row],[P1]:[P15]])</f>
        <v>0</v>
      </c>
      <c r="J6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s="1" customFormat="1">
      <c r="A602" s="8" t="s">
        <v>747</v>
      </c>
      <c r="B602" s="8" t="s">
        <v>747</v>
      </c>
      <c r="C602" s="1" t="str">
        <f>RIGHT(ProductInfo[[#This Row],[Drawing No]],1)</f>
        <v>4</v>
      </c>
      <c r="D602" s="179" t="s">
        <v>2962</v>
      </c>
      <c r="E602" s="18"/>
      <c r="F60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2" s="32"/>
      <c r="H602" s="59">
        <v>100</v>
      </c>
      <c r="I602" s="1">
        <f>COUNTA(ProductInfo[[#This Row],[P1]:[P15]])</f>
        <v>0</v>
      </c>
      <c r="J6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s="1" customFormat="1">
      <c r="A603" s="8" t="s">
        <v>748</v>
      </c>
      <c r="B603" s="8" t="s">
        <v>748</v>
      </c>
      <c r="C603" s="1" t="str">
        <f>RIGHT(ProductInfo[[#This Row],[Drawing No]],1)</f>
        <v>7</v>
      </c>
      <c r="D603" s="181" t="s">
        <v>2392</v>
      </c>
      <c r="E603" s="19"/>
      <c r="F60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3" s="41"/>
      <c r="H603" s="59">
        <v>100</v>
      </c>
      <c r="I603" s="1">
        <f>COUNTA(ProductInfo[[#This Row],[P1]:[P15]])</f>
        <v>0</v>
      </c>
      <c r="J6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s="1" customFormat="1">
      <c r="A604" s="8" t="s">
        <v>749</v>
      </c>
      <c r="B604" s="8" t="s">
        <v>749</v>
      </c>
      <c r="C604" s="1" t="str">
        <f>RIGHT(ProductInfo[[#This Row],[Drawing No]],1)</f>
        <v>4</v>
      </c>
      <c r="D604" s="181" t="s">
        <v>2393</v>
      </c>
      <c r="E604" s="19"/>
      <c r="F60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4" s="41"/>
      <c r="H604" s="59">
        <v>100</v>
      </c>
      <c r="I604" s="1">
        <f>COUNTA(ProductInfo[[#This Row],[P1]:[P15]])</f>
        <v>0</v>
      </c>
      <c r="J6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s="1" customFormat="1">
      <c r="A605" s="8" t="s">
        <v>750</v>
      </c>
      <c r="B605" s="8" t="s">
        <v>750</v>
      </c>
      <c r="C605" s="1" t="str">
        <f>RIGHT(ProductInfo[[#This Row],[Drawing No]],1)</f>
        <v>6</v>
      </c>
      <c r="D605" s="179" t="s">
        <v>2998</v>
      </c>
      <c r="E605" s="18"/>
      <c r="F60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5" s="32"/>
      <c r="H605" s="59">
        <v>100</v>
      </c>
      <c r="I605" s="1">
        <f>COUNTA(ProductInfo[[#This Row],[P1]:[P15]])</f>
        <v>3</v>
      </c>
      <c r="J6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05" s="7" t="s">
        <v>12</v>
      </c>
      <c r="M605" s="7" t="s">
        <v>13</v>
      </c>
      <c r="N605" s="7"/>
      <c r="O605" s="7"/>
      <c r="P605" s="7"/>
      <c r="Q605" s="7" t="s">
        <v>16</v>
      </c>
      <c r="R605" s="7"/>
      <c r="S605" s="7"/>
      <c r="T605" s="7"/>
      <c r="U605" s="7"/>
      <c r="V605" s="7"/>
      <c r="W605" s="7"/>
      <c r="X605" s="7"/>
      <c r="Y605" s="7"/>
      <c r="Z605" s="7"/>
    </row>
    <row r="606" spans="1:26" s="1" customFormat="1" ht="19.8">
      <c r="A606" s="8" t="s">
        <v>751</v>
      </c>
      <c r="B606" s="8" t="s">
        <v>6441</v>
      </c>
      <c r="C606" s="1" t="str">
        <f>RIGHT(ProductInfo[[#This Row],[Drawing No]],1)</f>
        <v>0</v>
      </c>
      <c r="D606" s="176" t="s">
        <v>2394</v>
      </c>
      <c r="E606" s="121" t="s">
        <v>6530</v>
      </c>
      <c r="F606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06" s="31" t="s">
        <v>6273</v>
      </c>
      <c r="H606" s="59">
        <v>110</v>
      </c>
      <c r="I606" s="1">
        <f>COUNTA(ProductInfo[[#This Row],[P1]:[P15]])</f>
        <v>4</v>
      </c>
      <c r="J6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06" s="7" t="s">
        <v>12</v>
      </c>
      <c r="M606" s="7" t="s">
        <v>13</v>
      </c>
      <c r="N606" s="7" t="s">
        <v>15</v>
      </c>
      <c r="O606" s="7" t="s">
        <v>16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s="1" customFormat="1">
      <c r="A607" s="8" t="s">
        <v>752</v>
      </c>
      <c r="B607" s="8" t="s">
        <v>752</v>
      </c>
      <c r="C607" s="1" t="str">
        <f>RIGHT(ProductInfo[[#This Row],[Drawing No]],1)</f>
        <v>4</v>
      </c>
      <c r="D607" s="181" t="s">
        <v>2889</v>
      </c>
      <c r="E607" s="19"/>
      <c r="F60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7" s="41"/>
      <c r="H607" s="59">
        <v>100</v>
      </c>
      <c r="I607" s="1">
        <f>COUNTA(ProductInfo[[#This Row],[P1]:[P15]])</f>
        <v>0</v>
      </c>
      <c r="J6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s="1" customFormat="1">
      <c r="A608" s="8" t="s">
        <v>753</v>
      </c>
      <c r="B608" s="8" t="s">
        <v>753</v>
      </c>
      <c r="C608" s="1" t="str">
        <f>RIGHT(ProductInfo[[#This Row],[Drawing No]],1)</f>
        <v>6</v>
      </c>
      <c r="D608" s="181" t="s">
        <v>2890</v>
      </c>
      <c r="E608" s="19"/>
      <c r="F60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08" s="41"/>
      <c r="H608" s="59">
        <v>100</v>
      </c>
      <c r="I608" s="1">
        <f>COUNTA(ProductInfo[[#This Row],[P1]:[P15]])</f>
        <v>0</v>
      </c>
      <c r="J6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s="1" customFormat="1">
      <c r="A609" s="8" t="s">
        <v>754</v>
      </c>
      <c r="B609" s="8" t="s">
        <v>3672</v>
      </c>
      <c r="C609" s="1" t="str">
        <f>RIGHT(ProductInfo[[#This Row],[Drawing No]],1)</f>
        <v>1</v>
      </c>
      <c r="D609" s="181" t="s">
        <v>2890</v>
      </c>
      <c r="E609" s="19" t="s">
        <v>7030</v>
      </c>
      <c r="F609" s="27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609" s="60">
        <v>87.5</v>
      </c>
      <c r="H609" s="59">
        <v>100</v>
      </c>
      <c r="I609" s="1">
        <f>COUNTA(ProductInfo[[#This Row],[P1]:[P15]])</f>
        <v>4</v>
      </c>
      <c r="J6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09" s="7" t="s">
        <v>12</v>
      </c>
      <c r="M609" s="7" t="s">
        <v>13</v>
      </c>
      <c r="N609" s="7" t="s">
        <v>15</v>
      </c>
      <c r="O609" s="7" t="s">
        <v>16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s="1" customFormat="1">
      <c r="A610" s="8" t="s">
        <v>755</v>
      </c>
      <c r="B610" s="8" t="s">
        <v>755</v>
      </c>
      <c r="C610" s="1" t="str">
        <f>RIGHT(ProductInfo[[#This Row],[Drawing No]],1)</f>
        <v>5</v>
      </c>
      <c r="D610" s="181" t="s">
        <v>2395</v>
      </c>
      <c r="E610" s="19"/>
      <c r="F610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0" s="41"/>
      <c r="H610" s="59">
        <v>100</v>
      </c>
      <c r="I610" s="1">
        <f>COUNTA(ProductInfo[[#This Row],[P1]:[P15]])</f>
        <v>0</v>
      </c>
      <c r="J6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s="1" customFormat="1" ht="18.75" customHeight="1">
      <c r="A611" s="8" t="s">
        <v>756</v>
      </c>
      <c r="B611" s="8" t="s">
        <v>756</v>
      </c>
      <c r="C611" s="1" t="str">
        <f>RIGHT(ProductInfo[[#This Row],[Drawing No]],1)</f>
        <v>6</v>
      </c>
      <c r="D611" s="181" t="s">
        <v>2396</v>
      </c>
      <c r="E611" s="19"/>
      <c r="F61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1" s="41"/>
      <c r="H611" s="59">
        <v>100</v>
      </c>
      <c r="I611" s="1">
        <f>COUNTA(ProductInfo[[#This Row],[P1]:[P15]])</f>
        <v>0</v>
      </c>
      <c r="J6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s="1" customFormat="1">
      <c r="A612" s="8" t="s">
        <v>757</v>
      </c>
      <c r="B612" s="8" t="s">
        <v>3659</v>
      </c>
      <c r="C612" s="1" t="str">
        <f>RIGHT(ProductInfo[[#This Row],[Drawing No]],1)</f>
        <v>4</v>
      </c>
      <c r="D612" s="179" t="s">
        <v>2999</v>
      </c>
      <c r="E612" s="18" t="s">
        <v>3660</v>
      </c>
      <c r="F61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2" s="3">
        <v>78.5</v>
      </c>
      <c r="H612" s="59">
        <v>100</v>
      </c>
      <c r="I612" s="1">
        <f>COUNTA(ProductInfo[[#This Row],[P1]:[P15]])</f>
        <v>4</v>
      </c>
      <c r="J6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12" s="7" t="s">
        <v>12</v>
      </c>
      <c r="M612" s="7" t="s">
        <v>13</v>
      </c>
      <c r="N612" s="7" t="s">
        <v>15</v>
      </c>
      <c r="O612" s="7" t="s">
        <v>16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s="1" customFormat="1">
      <c r="A613" s="8" t="s">
        <v>758</v>
      </c>
      <c r="B613" s="8" t="s">
        <v>758</v>
      </c>
      <c r="C613" s="1" t="str">
        <f>RIGHT(ProductInfo[[#This Row],[Drawing No]],1)</f>
        <v>0</v>
      </c>
      <c r="D613" s="176" t="s">
        <v>3096</v>
      </c>
      <c r="E613" s="16"/>
      <c r="F6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3" s="31"/>
      <c r="H613" s="59">
        <v>100</v>
      </c>
      <c r="I613" s="1">
        <f>COUNTA(ProductInfo[[#This Row],[P1]:[P15]])</f>
        <v>0</v>
      </c>
      <c r="J6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s="1" customFormat="1">
      <c r="A614" s="8" t="s">
        <v>759</v>
      </c>
      <c r="B614" s="75" t="s">
        <v>4052</v>
      </c>
      <c r="C614" s="1" t="str">
        <f>RIGHT(ProductInfo[[#This Row],[Drawing No]],1)</f>
        <v>0</v>
      </c>
      <c r="D614" s="176" t="s">
        <v>3097</v>
      </c>
      <c r="E614" s="16" t="s">
        <v>6530</v>
      </c>
      <c r="F61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14" s="31" t="s">
        <v>4898</v>
      </c>
      <c r="H614" s="59">
        <v>100</v>
      </c>
      <c r="I614" s="1">
        <f>COUNTA(ProductInfo[[#This Row],[P1]:[P15]])</f>
        <v>4</v>
      </c>
      <c r="J6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14" s="7" t="s">
        <v>12</v>
      </c>
      <c r="M614" s="7" t="s">
        <v>13</v>
      </c>
      <c r="N614" s="7" t="s">
        <v>15</v>
      </c>
      <c r="O614" s="7" t="s">
        <v>16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s="1" customFormat="1">
      <c r="A615" s="8" t="s">
        <v>760</v>
      </c>
      <c r="B615" s="8" t="s">
        <v>760</v>
      </c>
      <c r="C615" s="1" t="str">
        <f>RIGHT(ProductInfo[[#This Row],[Drawing No]],1)</f>
        <v>2</v>
      </c>
      <c r="D615" s="176" t="s">
        <v>2891</v>
      </c>
      <c r="E615" s="16"/>
      <c r="F6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5" s="31"/>
      <c r="H615" s="59">
        <v>100</v>
      </c>
      <c r="I615" s="1">
        <f>COUNTA(ProductInfo[[#This Row],[P1]:[P15]])</f>
        <v>0</v>
      </c>
      <c r="J6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s="1" customFormat="1">
      <c r="A616" s="8" t="s">
        <v>761</v>
      </c>
      <c r="B616" s="8" t="s">
        <v>3632</v>
      </c>
      <c r="C616" s="1" t="str">
        <f>RIGHT(ProductInfo[[#This Row],[Drawing No]],1)</f>
        <v>0</v>
      </c>
      <c r="D616" s="176" t="s">
        <v>762</v>
      </c>
      <c r="E616" s="16" t="s">
        <v>5150</v>
      </c>
      <c r="F616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616" s="59">
        <v>96.5</v>
      </c>
      <c r="H616" s="59">
        <v>100</v>
      </c>
      <c r="I616" s="1">
        <f>COUNTA(ProductInfo[[#This Row],[P1]:[P15]])</f>
        <v>3</v>
      </c>
      <c r="J6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16" s="7" t="s">
        <v>12</v>
      </c>
      <c r="M616" s="7" t="s">
        <v>13</v>
      </c>
      <c r="N616" s="7" t="s">
        <v>15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s="1" customFormat="1">
      <c r="A617" s="8" t="s">
        <v>763</v>
      </c>
      <c r="B617" s="8" t="s">
        <v>763</v>
      </c>
      <c r="C617" s="1" t="str">
        <f>RIGHT(ProductInfo[[#This Row],[Drawing No]],1)</f>
        <v>1</v>
      </c>
      <c r="D617" s="176" t="s">
        <v>764</v>
      </c>
      <c r="E617" s="16"/>
      <c r="F6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7" s="31"/>
      <c r="H617" s="59">
        <v>100</v>
      </c>
      <c r="I617" s="1">
        <f>COUNTA(ProductInfo[[#This Row],[P1]:[P15]])</f>
        <v>0</v>
      </c>
      <c r="J6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s="1" customFormat="1">
      <c r="A618" s="8" t="s">
        <v>765</v>
      </c>
      <c r="B618" s="8" t="s">
        <v>3633</v>
      </c>
      <c r="C618" s="1" t="str">
        <f>RIGHT(ProductInfo[[#This Row],[Drawing No]],1)</f>
        <v>0</v>
      </c>
      <c r="D618" s="176" t="s">
        <v>2397</v>
      </c>
      <c r="E618" s="16"/>
      <c r="F6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8" s="31"/>
      <c r="H618" s="59">
        <v>100</v>
      </c>
      <c r="I618" s="1">
        <f>COUNTA(ProductInfo[[#This Row],[P1]:[P15]])</f>
        <v>0</v>
      </c>
      <c r="J6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s="1" customFormat="1">
      <c r="A619" s="8" t="s">
        <v>766</v>
      </c>
      <c r="B619" s="8" t="s">
        <v>766</v>
      </c>
      <c r="C619" s="1" t="str">
        <f>RIGHT(ProductInfo[[#This Row],[Drawing No]],1)</f>
        <v>1</v>
      </c>
      <c r="D619" s="176" t="s">
        <v>2892</v>
      </c>
      <c r="E619" s="16"/>
      <c r="F6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19" s="31"/>
      <c r="H619" s="59">
        <v>100</v>
      </c>
      <c r="I619" s="1">
        <f>COUNTA(ProductInfo[[#This Row],[P1]:[P15]])</f>
        <v>0</v>
      </c>
      <c r="J6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s="1" customFormat="1">
      <c r="A620" s="8" t="s">
        <v>767</v>
      </c>
      <c r="B620" s="8" t="s">
        <v>767</v>
      </c>
      <c r="C620" s="1" t="str">
        <f>RIGHT(ProductInfo[[#This Row],[Drawing No]],1)</f>
        <v>2</v>
      </c>
      <c r="D620" s="176" t="s">
        <v>2892</v>
      </c>
      <c r="E620" s="16"/>
      <c r="F6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0" s="31"/>
      <c r="H620" s="59">
        <v>100</v>
      </c>
      <c r="I620" s="1">
        <f>COUNTA(ProductInfo[[#This Row],[P1]:[P15]])</f>
        <v>0</v>
      </c>
      <c r="J6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s="1" customFormat="1">
      <c r="A621" s="8" t="s">
        <v>768</v>
      </c>
      <c r="B621" s="8" t="s">
        <v>3634</v>
      </c>
      <c r="C621" s="1" t="str">
        <f>RIGHT(ProductInfo[[#This Row],[Drawing No]],1)</f>
        <v>4</v>
      </c>
      <c r="D621" s="176" t="s">
        <v>2893</v>
      </c>
      <c r="E621" s="16" t="s">
        <v>6529</v>
      </c>
      <c r="F62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21" s="59">
        <v>96.5</v>
      </c>
      <c r="H621" s="59">
        <v>100</v>
      </c>
      <c r="I621" s="1">
        <f>COUNTA(ProductInfo[[#This Row],[P1]:[P15]])</f>
        <v>3</v>
      </c>
      <c r="J6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21" s="7" t="s">
        <v>12</v>
      </c>
      <c r="M621" s="7" t="s">
        <v>13</v>
      </c>
      <c r="N621" s="7" t="s">
        <v>15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s="1" customFormat="1">
      <c r="A622" s="8" t="s">
        <v>769</v>
      </c>
      <c r="B622" s="8" t="s">
        <v>3633</v>
      </c>
      <c r="C622" s="1" t="str">
        <f>RIGHT(ProductInfo[[#This Row],[Drawing No]],1)</f>
        <v>0</v>
      </c>
      <c r="D622" s="176" t="s">
        <v>2894</v>
      </c>
      <c r="E622" s="16"/>
      <c r="F6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2" s="31"/>
      <c r="H622" s="59">
        <v>100</v>
      </c>
      <c r="I622" s="1">
        <f>COUNTA(ProductInfo[[#This Row],[P1]:[P15]])</f>
        <v>0</v>
      </c>
      <c r="J6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s="1" customFormat="1">
      <c r="A623" s="8" t="s">
        <v>770</v>
      </c>
      <c r="B623" s="8" t="s">
        <v>3633</v>
      </c>
      <c r="C623" s="1" t="str">
        <f>RIGHT(ProductInfo[[#This Row],[Drawing No]],1)</f>
        <v>0</v>
      </c>
      <c r="D623" s="179" t="s">
        <v>3000</v>
      </c>
      <c r="E623" s="18"/>
      <c r="F62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3" s="32"/>
      <c r="H623" s="59">
        <v>100</v>
      </c>
      <c r="I623" s="1">
        <f>COUNTA(ProductInfo[[#This Row],[P1]:[P15]])</f>
        <v>0</v>
      </c>
      <c r="J6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s="1" customFormat="1">
      <c r="A624" s="8" t="s">
        <v>771</v>
      </c>
      <c r="B624" s="8" t="s">
        <v>771</v>
      </c>
      <c r="C624" s="1" t="str">
        <f>RIGHT(ProductInfo[[#This Row],[Drawing No]],1)</f>
        <v>1</v>
      </c>
      <c r="D624" s="176" t="s">
        <v>3001</v>
      </c>
      <c r="E624" s="16"/>
      <c r="F6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4" s="31"/>
      <c r="H624" s="59">
        <v>100</v>
      </c>
      <c r="I624" s="1">
        <f>COUNTA(ProductInfo[[#This Row],[P1]:[P15]])</f>
        <v>0</v>
      </c>
      <c r="J6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s="1" customFormat="1">
      <c r="A625" s="8" t="s">
        <v>772</v>
      </c>
      <c r="B625" s="8" t="s">
        <v>772</v>
      </c>
      <c r="C625" s="1" t="str">
        <f>RIGHT(ProductInfo[[#This Row],[Drawing No]],1)</f>
        <v>0</v>
      </c>
      <c r="D625" s="176" t="s">
        <v>2895</v>
      </c>
      <c r="E625" s="16"/>
      <c r="F6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5" s="31"/>
      <c r="H625" s="59">
        <v>100</v>
      </c>
      <c r="I625" s="1">
        <f>COUNTA(ProductInfo[[#This Row],[P1]:[P15]])</f>
        <v>0</v>
      </c>
      <c r="J6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s="1" customFormat="1">
      <c r="A626" s="8" t="s">
        <v>773</v>
      </c>
      <c r="B626" s="8" t="s">
        <v>773</v>
      </c>
      <c r="C626" s="1" t="str">
        <f>RIGHT(ProductInfo[[#This Row],[Drawing No]],1)</f>
        <v>1</v>
      </c>
      <c r="D626" s="176" t="s">
        <v>2896</v>
      </c>
      <c r="E626" s="16"/>
      <c r="F6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6" s="31"/>
      <c r="H626" s="59">
        <v>100</v>
      </c>
      <c r="I626" s="1">
        <f>COUNTA(ProductInfo[[#This Row],[P1]:[P15]])</f>
        <v>0</v>
      </c>
      <c r="J6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s="1" customFormat="1" ht="15" customHeight="1">
      <c r="A627" s="8" t="s">
        <v>4395</v>
      </c>
      <c r="B627" s="8" t="s">
        <v>4558</v>
      </c>
      <c r="C627" s="2" t="str">
        <f>RIGHT(ProductInfo[[#This Row],[Drawing No]],1)</f>
        <v>1</v>
      </c>
      <c r="D627" s="176" t="s">
        <v>4394</v>
      </c>
      <c r="E627" s="16" t="s">
        <v>6529</v>
      </c>
      <c r="F62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27" s="59">
        <v>65</v>
      </c>
      <c r="H627" s="59">
        <v>100</v>
      </c>
      <c r="I627" s="1">
        <f>COUNTA(ProductInfo[[#This Row],[P1]:[P15]])</f>
        <v>3</v>
      </c>
      <c r="J6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27" s="7" t="s">
        <v>12</v>
      </c>
      <c r="M627" s="7" t="s">
        <v>13</v>
      </c>
      <c r="N627" s="7" t="s">
        <v>15</v>
      </c>
      <c r="O627" s="4"/>
      <c r="P627" s="7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s="1" customFormat="1">
      <c r="A628" s="8" t="s">
        <v>5133</v>
      </c>
      <c r="B628" s="8" t="s">
        <v>5132</v>
      </c>
      <c r="C628" s="2" t="str">
        <f>RIGHT(ProductInfo[[#This Row],[Drawing No]],1)</f>
        <v>0</v>
      </c>
      <c r="D628" s="176" t="s">
        <v>4394</v>
      </c>
      <c r="E628" s="16" t="s">
        <v>6529</v>
      </c>
      <c r="F628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28" s="59">
        <v>65</v>
      </c>
      <c r="H628" s="59">
        <v>100</v>
      </c>
      <c r="I628" s="1">
        <f>COUNTA(ProductInfo[[#This Row],[P1]:[P15]])</f>
        <v>2</v>
      </c>
      <c r="J6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8" s="7" t="s">
        <v>12</v>
      </c>
      <c r="M628" s="7" t="s">
        <v>13</v>
      </c>
      <c r="N628" s="4"/>
      <c r="O628" s="4"/>
      <c r="P628" s="7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s="1" customFormat="1">
      <c r="A629" s="8" t="s">
        <v>774</v>
      </c>
      <c r="B629" s="8" t="s">
        <v>774</v>
      </c>
      <c r="C629" s="1" t="str">
        <f>RIGHT(ProductInfo[[#This Row],[Drawing No]],1)</f>
        <v>4</v>
      </c>
      <c r="D629" s="176" t="s">
        <v>2896</v>
      </c>
      <c r="E629" s="16"/>
      <c r="F6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29" s="31"/>
      <c r="H629" s="59">
        <v>100</v>
      </c>
      <c r="I629" s="1">
        <f>COUNTA(ProductInfo[[#This Row],[P1]:[P15]])</f>
        <v>0</v>
      </c>
      <c r="J6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s="1" customFormat="1">
      <c r="A630" s="8" t="s">
        <v>775</v>
      </c>
      <c r="B630" s="8" t="s">
        <v>775</v>
      </c>
      <c r="C630" s="1" t="str">
        <f>RIGHT(ProductInfo[[#This Row],[Drawing No]],1)</f>
        <v>0</v>
      </c>
      <c r="D630" s="176" t="s">
        <v>776</v>
      </c>
      <c r="E630" s="16"/>
      <c r="F6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0" s="31"/>
      <c r="H630" s="59">
        <v>100</v>
      </c>
      <c r="I630" s="1">
        <f>COUNTA(ProductInfo[[#This Row],[P1]:[P15]])</f>
        <v>0</v>
      </c>
      <c r="J6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s="1" customFormat="1">
      <c r="A631" s="8" t="s">
        <v>777</v>
      </c>
      <c r="B631" s="8" t="s">
        <v>777</v>
      </c>
      <c r="C631" s="1" t="str">
        <f>RIGHT(ProductInfo[[#This Row],[Drawing No]],1)</f>
        <v>0</v>
      </c>
      <c r="D631" s="176" t="s">
        <v>778</v>
      </c>
      <c r="E631" s="16"/>
      <c r="F6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1" s="31"/>
      <c r="H631" s="59">
        <v>100</v>
      </c>
      <c r="I631" s="1">
        <f>COUNTA(ProductInfo[[#This Row],[P1]:[P15]])</f>
        <v>0</v>
      </c>
      <c r="J6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s="1" customFormat="1">
      <c r="A632" s="8" t="s">
        <v>779</v>
      </c>
      <c r="B632" s="8" t="s">
        <v>779</v>
      </c>
      <c r="C632" s="1" t="str">
        <f>RIGHT(ProductInfo[[#This Row],[Drawing No]],1)</f>
        <v>0</v>
      </c>
      <c r="D632" s="176" t="s">
        <v>2398</v>
      </c>
      <c r="E632" s="16"/>
      <c r="F6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2" s="31"/>
      <c r="H632" s="59">
        <v>100</v>
      </c>
      <c r="I632" s="1">
        <f>COUNTA(ProductInfo[[#This Row],[P1]:[P15]])</f>
        <v>0</v>
      </c>
      <c r="J6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s="1" customFormat="1">
      <c r="A633" s="8" t="s">
        <v>780</v>
      </c>
      <c r="B633" s="8" t="s">
        <v>780</v>
      </c>
      <c r="C633" s="1" t="str">
        <f>RIGHT(ProductInfo[[#This Row],[Drawing No]],1)</f>
        <v>2</v>
      </c>
      <c r="D633" s="176" t="s">
        <v>2399</v>
      </c>
      <c r="E633" s="16"/>
      <c r="F6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3" s="31"/>
      <c r="H633" s="59">
        <v>100</v>
      </c>
      <c r="I633" s="1">
        <f>COUNTA(ProductInfo[[#This Row],[P1]:[P15]])</f>
        <v>0</v>
      </c>
      <c r="J6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s="1" customFormat="1">
      <c r="A634" s="8" t="s">
        <v>781</v>
      </c>
      <c r="B634" s="8" t="s">
        <v>781</v>
      </c>
      <c r="C634" s="1" t="str">
        <f>RIGHT(ProductInfo[[#This Row],[Drawing No]],1)</f>
        <v>3</v>
      </c>
      <c r="D634" s="176" t="s">
        <v>2400</v>
      </c>
      <c r="E634" s="16"/>
      <c r="F6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4" s="31"/>
      <c r="H634" s="59">
        <v>100</v>
      </c>
      <c r="I634" s="1">
        <f>COUNTA(ProductInfo[[#This Row],[P1]:[P15]])</f>
        <v>0</v>
      </c>
      <c r="J6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s="1" customFormat="1">
      <c r="A635" s="8" t="s">
        <v>782</v>
      </c>
      <c r="B635" s="8" t="s">
        <v>782</v>
      </c>
      <c r="C635" s="1" t="str">
        <f>RIGHT(ProductInfo[[#This Row],[Drawing No]],1)</f>
        <v>2</v>
      </c>
      <c r="D635" s="176" t="s">
        <v>2401</v>
      </c>
      <c r="E635" s="16"/>
      <c r="F6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5" s="31"/>
      <c r="H635" s="59">
        <v>100</v>
      </c>
      <c r="I635" s="1">
        <f>COUNTA(ProductInfo[[#This Row],[P1]:[P15]])</f>
        <v>0</v>
      </c>
      <c r="J6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s="1" customFormat="1">
      <c r="A636" s="8" t="s">
        <v>783</v>
      </c>
      <c r="B636" s="8" t="s">
        <v>783</v>
      </c>
      <c r="C636" s="1" t="str">
        <f>RIGHT(ProductInfo[[#This Row],[Drawing No]],1)</f>
        <v>6</v>
      </c>
      <c r="D636" s="176" t="s">
        <v>2402</v>
      </c>
      <c r="E636" s="16"/>
      <c r="F6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6" s="31"/>
      <c r="H636" s="59">
        <v>100</v>
      </c>
      <c r="I636" s="1">
        <f>COUNTA(ProductInfo[[#This Row],[P1]:[P15]])</f>
        <v>0</v>
      </c>
      <c r="J6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s="1" customFormat="1">
      <c r="A637" s="8" t="s">
        <v>784</v>
      </c>
      <c r="B637" s="8" t="s">
        <v>784</v>
      </c>
      <c r="C637" s="1" t="str">
        <f>RIGHT(ProductInfo[[#This Row],[Drawing No]],1)</f>
        <v>8</v>
      </c>
      <c r="D637" s="179" t="s">
        <v>3002</v>
      </c>
      <c r="E637" s="18"/>
      <c r="F63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7" s="32"/>
      <c r="H637" s="59">
        <v>100</v>
      </c>
      <c r="I637" s="1">
        <f>COUNTA(ProductInfo[[#This Row],[P1]:[P15]])</f>
        <v>0</v>
      </c>
      <c r="J6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s="1" customFormat="1">
      <c r="A638" s="8" t="s">
        <v>785</v>
      </c>
      <c r="B638" s="8" t="s">
        <v>785</v>
      </c>
      <c r="C638" s="1" t="str">
        <f>RIGHT(ProductInfo[[#This Row],[Drawing No]],1)</f>
        <v>1</v>
      </c>
      <c r="D638" s="176" t="s">
        <v>2403</v>
      </c>
      <c r="E638" s="16"/>
      <c r="F6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38" s="31"/>
      <c r="H638" s="59">
        <v>100</v>
      </c>
      <c r="I638" s="1">
        <f>COUNTA(ProductInfo[[#This Row],[P1]:[P15]])</f>
        <v>0</v>
      </c>
      <c r="J6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s="1" customFormat="1" ht="19.8">
      <c r="A639" s="8" t="s">
        <v>786</v>
      </c>
      <c r="B639" s="8" t="s">
        <v>4245</v>
      </c>
      <c r="C639" s="1" t="str">
        <f>RIGHT(ProductInfo[[#This Row],[Drawing No]],1)</f>
        <v>2</v>
      </c>
      <c r="D639" s="176" t="s">
        <v>2404</v>
      </c>
      <c r="E639" s="121" t="s">
        <v>6530</v>
      </c>
      <c r="F639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39" s="59">
        <v>85.5</v>
      </c>
      <c r="H639" s="59">
        <v>100</v>
      </c>
      <c r="I639" s="1">
        <f>COUNTA(ProductInfo[[#This Row],[P1]:[P15]])</f>
        <v>4</v>
      </c>
      <c r="J6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39" s="7" t="s">
        <v>12</v>
      </c>
      <c r="M639" s="7" t="s">
        <v>13</v>
      </c>
      <c r="N639" s="7" t="s">
        <v>15</v>
      </c>
      <c r="O639" s="7" t="s">
        <v>16</v>
      </c>
      <c r="P639" s="7"/>
      <c r="Q639" s="4"/>
      <c r="R639" s="7"/>
      <c r="S639" s="7"/>
      <c r="T639" s="7"/>
      <c r="U639" s="7"/>
      <c r="V639" s="7"/>
      <c r="W639" s="7"/>
      <c r="X639" s="7"/>
      <c r="Y639" s="7"/>
      <c r="Z639" s="7"/>
    </row>
    <row r="640" spans="1:26" s="1" customFormat="1" ht="19.8">
      <c r="A640" s="8" t="s">
        <v>787</v>
      </c>
      <c r="B640" s="8" t="s">
        <v>4245</v>
      </c>
      <c r="C640" s="1" t="str">
        <f>RIGHT(ProductInfo[[#This Row],[Drawing No]],1)</f>
        <v>2</v>
      </c>
      <c r="D640" s="176" t="s">
        <v>2405</v>
      </c>
      <c r="E640" s="121" t="s">
        <v>6530</v>
      </c>
      <c r="F640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40" s="59">
        <v>85.5</v>
      </c>
      <c r="H640" s="59">
        <v>100</v>
      </c>
      <c r="I640" s="1">
        <f>COUNTA(ProductInfo[[#This Row],[P1]:[P15]])</f>
        <v>4</v>
      </c>
      <c r="J6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40" s="7" t="s">
        <v>12</v>
      </c>
      <c r="M640" s="7" t="s">
        <v>13</v>
      </c>
      <c r="N640" s="7" t="s">
        <v>15</v>
      </c>
      <c r="O640" s="7" t="s">
        <v>16</v>
      </c>
      <c r="P640" s="7"/>
      <c r="Q640" s="7"/>
      <c r="R640" s="4"/>
      <c r="S640" s="7"/>
      <c r="T640" s="4"/>
      <c r="U640" s="4"/>
      <c r="V640" s="4"/>
      <c r="W640" s="4"/>
      <c r="X640" s="4"/>
      <c r="Y640" s="4"/>
      <c r="Z640" s="4"/>
    </row>
    <row r="641" spans="1:26" s="1" customFormat="1">
      <c r="A641" s="8" t="s">
        <v>788</v>
      </c>
      <c r="B641" s="8" t="s">
        <v>788</v>
      </c>
      <c r="C641" s="1" t="str">
        <f>RIGHT(ProductInfo[[#This Row],[Drawing No]],1)</f>
        <v>0</v>
      </c>
      <c r="D641" s="176" t="s">
        <v>2406</v>
      </c>
      <c r="E641" s="16"/>
      <c r="F6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1" s="31"/>
      <c r="H641" s="59">
        <v>100</v>
      </c>
      <c r="I641" s="1">
        <f>COUNTA(ProductInfo[[#This Row],[P1]:[P15]])</f>
        <v>0</v>
      </c>
      <c r="J6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s="1" customFormat="1">
      <c r="A642" s="8" t="s">
        <v>789</v>
      </c>
      <c r="B642" s="8" t="s">
        <v>3679</v>
      </c>
      <c r="C642" s="1" t="str">
        <f>RIGHT(ProductInfo[[#This Row],[Drawing No]],1)</f>
        <v>5</v>
      </c>
      <c r="D642" s="179" t="s">
        <v>2963</v>
      </c>
      <c r="E642" s="18"/>
      <c r="F64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2" s="32"/>
      <c r="H642" s="59">
        <v>100</v>
      </c>
      <c r="I642" s="1">
        <f>COUNTA(ProductInfo[[#This Row],[P1]:[P15]])</f>
        <v>4</v>
      </c>
      <c r="J6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42" s="7" t="s">
        <v>12</v>
      </c>
      <c r="M642" s="7" t="s">
        <v>13</v>
      </c>
      <c r="N642" s="7" t="s">
        <v>15</v>
      </c>
      <c r="O642" s="7" t="s">
        <v>16</v>
      </c>
      <c r="P642" s="7"/>
      <c r="Q642" s="4"/>
      <c r="R642" s="7"/>
      <c r="S642" s="7"/>
      <c r="T642" s="7"/>
      <c r="U642" s="7"/>
      <c r="V642" s="7"/>
      <c r="W642" s="7"/>
      <c r="X642" s="7"/>
      <c r="Y642" s="7"/>
      <c r="Z642" s="7"/>
    </row>
    <row r="643" spans="1:26" s="1" customFormat="1" ht="19.8">
      <c r="A643" s="8" t="s">
        <v>7044</v>
      </c>
      <c r="B643" s="8" t="s">
        <v>4153</v>
      </c>
      <c r="C643" s="1" t="str">
        <f>RIGHT(ProductInfo[[#This Row],[Drawing No]],1)</f>
        <v>5</v>
      </c>
      <c r="D643" s="176" t="s">
        <v>2407</v>
      </c>
      <c r="E643" s="121" t="s">
        <v>4561</v>
      </c>
      <c r="F643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643" s="59">
        <v>85.5</v>
      </c>
      <c r="H643" s="59">
        <v>110</v>
      </c>
      <c r="I643" s="1">
        <f>COUNTA(ProductInfo[[#This Row],[P1]:[P15]])</f>
        <v>4</v>
      </c>
      <c r="J6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43" s="7" t="s">
        <v>12</v>
      </c>
      <c r="M643" s="7" t="s">
        <v>13</v>
      </c>
      <c r="N643" s="7" t="s">
        <v>15</v>
      </c>
      <c r="O643" s="7" t="s">
        <v>16</v>
      </c>
      <c r="P643" s="7"/>
      <c r="Q643" s="4"/>
      <c r="R643" s="7"/>
      <c r="S643" s="7"/>
      <c r="T643" s="7"/>
      <c r="U643" s="7"/>
      <c r="V643" s="7"/>
      <c r="W643" s="7"/>
      <c r="X643" s="7"/>
      <c r="Y643" s="7"/>
      <c r="Z643" s="7"/>
    </row>
    <row r="644" spans="1:26" s="1" customFormat="1">
      <c r="A644" s="8" t="s">
        <v>790</v>
      </c>
      <c r="B644" s="8" t="s">
        <v>790</v>
      </c>
      <c r="C644" s="1" t="str">
        <f>RIGHT(ProductInfo[[#This Row],[Drawing No]],1)</f>
        <v>0</v>
      </c>
      <c r="D644" s="176" t="s">
        <v>2408</v>
      </c>
      <c r="E644" s="16"/>
      <c r="F6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4" s="31"/>
      <c r="H644" s="59">
        <v>100</v>
      </c>
      <c r="I644" s="1">
        <f>COUNTA(ProductInfo[[#This Row],[P1]:[P15]])</f>
        <v>0</v>
      </c>
      <c r="J6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s="1" customFormat="1" ht="10.5" customHeight="1">
      <c r="A645" s="8" t="s">
        <v>791</v>
      </c>
      <c r="B645" s="8" t="s">
        <v>791</v>
      </c>
      <c r="C645" s="1" t="str">
        <f>RIGHT(ProductInfo[[#This Row],[Drawing No]],1)</f>
        <v>0</v>
      </c>
      <c r="D645" s="181" t="s">
        <v>2897</v>
      </c>
      <c r="E645" s="19"/>
      <c r="F64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5" s="41"/>
      <c r="H645" s="59">
        <v>100</v>
      </c>
      <c r="I645" s="1">
        <f>COUNTA(ProductInfo[[#This Row],[P1]:[P15]])</f>
        <v>0</v>
      </c>
      <c r="J6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s="1" customFormat="1">
      <c r="A646" s="8" t="s">
        <v>792</v>
      </c>
      <c r="B646" s="8" t="s">
        <v>792</v>
      </c>
      <c r="C646" s="1" t="str">
        <f>RIGHT(ProductInfo[[#This Row],[Drawing No]],1)</f>
        <v>2</v>
      </c>
      <c r="D646" s="181" t="s">
        <v>2898</v>
      </c>
      <c r="E646" s="19"/>
      <c r="F64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6" s="41"/>
      <c r="H646" s="59">
        <v>100</v>
      </c>
      <c r="I646" s="1">
        <f>COUNTA(ProductInfo[[#This Row],[P1]:[P15]])</f>
        <v>0</v>
      </c>
      <c r="J6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s="1" customFormat="1">
      <c r="A647" s="8" t="s">
        <v>793</v>
      </c>
      <c r="B647" s="8" t="s">
        <v>793</v>
      </c>
      <c r="C647" s="1" t="str">
        <f>RIGHT(ProductInfo[[#This Row],[Drawing No]],1)</f>
        <v>2</v>
      </c>
      <c r="D647" s="176" t="s">
        <v>2899</v>
      </c>
      <c r="E647" s="16"/>
      <c r="F6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7" s="31"/>
      <c r="H647" s="59">
        <v>100</v>
      </c>
      <c r="I647" s="1">
        <f>COUNTA(ProductInfo[[#This Row],[P1]:[P15]])</f>
        <v>0</v>
      </c>
      <c r="J6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s="1" customFormat="1">
      <c r="A648" s="8" t="s">
        <v>794</v>
      </c>
      <c r="B648" s="8" t="s">
        <v>3338</v>
      </c>
      <c r="C648" s="1" t="str">
        <f>RIGHT(ProductInfo[[#This Row],[Drawing No]],1)</f>
        <v>7</v>
      </c>
      <c r="D648" s="176" t="s">
        <v>2409</v>
      </c>
      <c r="E648" s="16" t="s">
        <v>3527</v>
      </c>
      <c r="F648" s="23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48" s="31" t="s">
        <v>6202</v>
      </c>
      <c r="H648" s="59">
        <v>100</v>
      </c>
      <c r="I648" s="1">
        <f>COUNTA(ProductInfo[[#This Row],[P1]:[P15]])</f>
        <v>4</v>
      </c>
      <c r="J6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48" s="7" t="s">
        <v>12</v>
      </c>
      <c r="M648" s="7" t="s">
        <v>13</v>
      </c>
      <c r="N648" s="7" t="s">
        <v>15</v>
      </c>
      <c r="O648" s="7" t="s">
        <v>16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s="1" customFormat="1">
      <c r="A649" s="8" t="s">
        <v>795</v>
      </c>
      <c r="B649" s="8" t="s">
        <v>795</v>
      </c>
      <c r="C649" s="1" t="str">
        <f>RIGHT(ProductInfo[[#This Row],[Drawing No]],1)</f>
        <v>2</v>
      </c>
      <c r="D649" s="181" t="s">
        <v>796</v>
      </c>
      <c r="E649" s="19"/>
      <c r="F64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49" s="41"/>
      <c r="H649" s="59">
        <v>100</v>
      </c>
      <c r="I649" s="1">
        <f>COUNTA(ProductInfo[[#This Row],[P1]:[P15]])</f>
        <v>0</v>
      </c>
      <c r="J6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s="1" customFormat="1">
      <c r="A650" s="8" t="s">
        <v>797</v>
      </c>
      <c r="B650" s="8" t="s">
        <v>3653</v>
      </c>
      <c r="C650" s="1" t="str">
        <f>RIGHT(ProductInfo[[#This Row],[Drawing No]],1)</f>
        <v>1</v>
      </c>
      <c r="D650" s="181" t="s">
        <v>2410</v>
      </c>
      <c r="E650" s="19" t="s">
        <v>3527</v>
      </c>
      <c r="F650" s="27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50" s="60">
        <v>28</v>
      </c>
      <c r="H650" s="59">
        <v>100</v>
      </c>
      <c r="I650" s="1">
        <f>COUNTA(ProductInfo[[#This Row],[P1]:[P15]])</f>
        <v>3</v>
      </c>
      <c r="J6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50" s="7" t="s">
        <v>12</v>
      </c>
      <c r="M650" s="7" t="s">
        <v>13</v>
      </c>
      <c r="N650" s="7" t="s">
        <v>15</v>
      </c>
      <c r="O650" s="7"/>
      <c r="P650" s="7"/>
      <c r="Q650" s="7"/>
      <c r="R650" s="4"/>
      <c r="S650" s="7"/>
      <c r="T650" s="4"/>
      <c r="U650" s="4"/>
      <c r="V650" s="4"/>
      <c r="W650" s="4"/>
      <c r="X650" s="4"/>
      <c r="Y650" s="4"/>
      <c r="Z650" s="4"/>
    </row>
    <row r="651" spans="1:26" s="1" customFormat="1">
      <c r="A651" s="8" t="s">
        <v>798</v>
      </c>
      <c r="B651" s="8" t="s">
        <v>798</v>
      </c>
      <c r="C651" s="1" t="str">
        <f>RIGHT(ProductInfo[[#This Row],[Drawing No]],1)</f>
        <v>1</v>
      </c>
      <c r="D651" s="181" t="s">
        <v>799</v>
      </c>
      <c r="E651" s="19"/>
      <c r="F65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1" s="41"/>
      <c r="H651" s="59">
        <v>100</v>
      </c>
      <c r="I651" s="1">
        <f>COUNTA(ProductInfo[[#This Row],[P1]:[P15]])</f>
        <v>0</v>
      </c>
      <c r="J6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s="1" customFormat="1" ht="19.8">
      <c r="A652" s="8" t="s">
        <v>800</v>
      </c>
      <c r="B652" s="8" t="s">
        <v>6713</v>
      </c>
      <c r="C652" s="1" t="str">
        <f>RIGHT(ProductInfo[[#This Row],[Drawing No]],1)</f>
        <v>1</v>
      </c>
      <c r="D652" s="181" t="s">
        <v>2411</v>
      </c>
      <c r="E652" s="219" t="s">
        <v>6530</v>
      </c>
      <c r="F652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52" s="41" t="s">
        <v>6714</v>
      </c>
      <c r="H652" s="59">
        <v>110</v>
      </c>
      <c r="I652" s="1">
        <f>COUNTA(ProductInfo[[#This Row],[P1]:[P15]])</f>
        <v>4</v>
      </c>
      <c r="J6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52" s="7" t="s">
        <v>12</v>
      </c>
      <c r="M652" s="7" t="s">
        <v>13</v>
      </c>
      <c r="N652" s="7" t="s">
        <v>15</v>
      </c>
      <c r="O652" s="7" t="s">
        <v>16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s="1" customFormat="1">
      <c r="A653" s="8" t="s">
        <v>801</v>
      </c>
      <c r="B653" s="8" t="s">
        <v>801</v>
      </c>
      <c r="C653" s="1" t="str">
        <f>RIGHT(ProductInfo[[#This Row],[Drawing No]],1)</f>
        <v>0</v>
      </c>
      <c r="D653" s="181" t="s">
        <v>802</v>
      </c>
      <c r="E653" s="19"/>
      <c r="F65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3" s="41"/>
      <c r="H653" s="59">
        <v>100</v>
      </c>
      <c r="I653" s="1">
        <f>COUNTA(ProductInfo[[#This Row],[P1]:[P15]])</f>
        <v>0</v>
      </c>
      <c r="J6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s="1" customFormat="1">
      <c r="A654" s="8" t="s">
        <v>803</v>
      </c>
      <c r="B654" s="8" t="s">
        <v>803</v>
      </c>
      <c r="C654" s="1" t="str">
        <f>RIGHT(ProductInfo[[#This Row],[Drawing No]],1)</f>
        <v>0</v>
      </c>
      <c r="D654" s="181" t="s">
        <v>2412</v>
      </c>
      <c r="E654" s="19"/>
      <c r="F65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4" s="41"/>
      <c r="H654" s="59">
        <v>100</v>
      </c>
      <c r="I654" s="1">
        <f>COUNTA(ProductInfo[[#This Row],[P1]:[P15]])</f>
        <v>0</v>
      </c>
      <c r="J6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s="1" customFormat="1">
      <c r="A655" s="8" t="s">
        <v>804</v>
      </c>
      <c r="B655" s="8" t="s">
        <v>804</v>
      </c>
      <c r="C655" s="1" t="str">
        <f>RIGHT(ProductInfo[[#This Row],[Drawing No]],1)</f>
        <v>1</v>
      </c>
      <c r="D655" s="181" t="s">
        <v>2413</v>
      </c>
      <c r="E655" s="19"/>
      <c r="F65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5" s="41"/>
      <c r="H655" s="59">
        <v>100</v>
      </c>
      <c r="I655" s="1">
        <f>COUNTA(ProductInfo[[#This Row],[P1]:[P15]])</f>
        <v>0</v>
      </c>
      <c r="J6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s="1" customFormat="1" ht="19.8">
      <c r="A656" s="8" t="s">
        <v>805</v>
      </c>
      <c r="B656" s="8" t="s">
        <v>3659</v>
      </c>
      <c r="C656" s="1" t="str">
        <f>RIGHT(ProductInfo[[#This Row],[Drawing No]],1)</f>
        <v>4</v>
      </c>
      <c r="D656" s="179" t="s">
        <v>3003</v>
      </c>
      <c r="E656" s="121" t="s">
        <v>6530</v>
      </c>
      <c r="F656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56" s="32" t="s">
        <v>5664</v>
      </c>
      <c r="H656" s="59">
        <v>110</v>
      </c>
      <c r="I656" s="1">
        <f>COUNTA(ProductInfo[[#This Row],[P1]:[P15]])</f>
        <v>4</v>
      </c>
      <c r="J6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56" s="7" t="s">
        <v>12</v>
      </c>
      <c r="M656" s="7" t="s">
        <v>13</v>
      </c>
      <c r="N656" s="7" t="s">
        <v>15</v>
      </c>
      <c r="O656" s="7" t="s">
        <v>16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s="1" customFormat="1">
      <c r="A657" s="8" t="s">
        <v>806</v>
      </c>
      <c r="B657" s="8" t="s">
        <v>806</v>
      </c>
      <c r="C657" s="1" t="str">
        <f>RIGHT(ProductInfo[[#This Row],[Drawing No]],1)</f>
        <v>0</v>
      </c>
      <c r="D657" s="176" t="s">
        <v>2414</v>
      </c>
      <c r="E657" s="16"/>
      <c r="F6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7" s="31"/>
      <c r="H657" s="59">
        <v>100</v>
      </c>
      <c r="I657" s="1">
        <f>COUNTA(ProductInfo[[#This Row],[P1]:[P15]])</f>
        <v>0</v>
      </c>
      <c r="J6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s="1" customFormat="1">
      <c r="A658" s="8" t="s">
        <v>807</v>
      </c>
      <c r="B658" s="8" t="s">
        <v>3679</v>
      </c>
      <c r="C658" s="1" t="str">
        <f>RIGHT(ProductInfo[[#This Row],[Drawing No]],1)</f>
        <v>5</v>
      </c>
      <c r="D658" s="179" t="s">
        <v>3004</v>
      </c>
      <c r="E658" s="18" t="s">
        <v>7030</v>
      </c>
      <c r="F658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658" s="3">
        <v>85.5</v>
      </c>
      <c r="H658" s="59">
        <v>100</v>
      </c>
      <c r="I658" s="1">
        <f>COUNTA(ProductInfo[[#This Row],[P1]:[P15]])</f>
        <v>4</v>
      </c>
      <c r="J6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58" s="7" t="s">
        <v>12</v>
      </c>
      <c r="M658" s="7" t="s">
        <v>13</v>
      </c>
      <c r="N658" s="7" t="s">
        <v>15</v>
      </c>
      <c r="O658" s="7" t="s">
        <v>16</v>
      </c>
      <c r="P658" s="7"/>
      <c r="Q658" s="4"/>
      <c r="R658" s="7"/>
      <c r="S658" s="7"/>
      <c r="T658" s="7"/>
      <c r="U658" s="7"/>
      <c r="V658" s="7"/>
      <c r="W658" s="7"/>
      <c r="X658" s="7"/>
      <c r="Y658" s="7"/>
      <c r="Z658" s="7"/>
    </row>
    <row r="659" spans="1:26" s="1" customFormat="1">
      <c r="A659" s="8" t="s">
        <v>808</v>
      </c>
      <c r="B659" s="8" t="s">
        <v>808</v>
      </c>
      <c r="C659" s="1" t="str">
        <f>RIGHT(ProductInfo[[#This Row],[Drawing No]],1)</f>
        <v>0</v>
      </c>
      <c r="D659" s="181" t="s">
        <v>2415</v>
      </c>
      <c r="E659" s="19"/>
      <c r="F65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59" s="41"/>
      <c r="H659" s="59">
        <v>100</v>
      </c>
      <c r="I659" s="1">
        <f>COUNTA(ProductInfo[[#This Row],[P1]:[P15]])</f>
        <v>0</v>
      </c>
      <c r="J6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s="1" customFormat="1">
      <c r="A660" s="8" t="s">
        <v>809</v>
      </c>
      <c r="B660" s="8" t="s">
        <v>809</v>
      </c>
      <c r="C660" s="1" t="str">
        <f>RIGHT(ProductInfo[[#This Row],[Drawing No]],1)</f>
        <v>0</v>
      </c>
      <c r="D660" s="181" t="s">
        <v>810</v>
      </c>
      <c r="E660" s="19"/>
      <c r="F660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0" s="41"/>
      <c r="H660" s="59">
        <v>100</v>
      </c>
      <c r="I660" s="1">
        <f>COUNTA(ProductInfo[[#This Row],[P1]:[P15]])</f>
        <v>0</v>
      </c>
      <c r="J6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s="1" customFormat="1">
      <c r="A661" s="8" t="s">
        <v>811</v>
      </c>
      <c r="B661" s="8" t="s">
        <v>811</v>
      </c>
      <c r="C661" s="1" t="str">
        <f>RIGHT(ProductInfo[[#This Row],[Drawing No]],1)</f>
        <v>2</v>
      </c>
      <c r="D661" s="179" t="s">
        <v>3005</v>
      </c>
      <c r="E661" s="18"/>
      <c r="F66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1" s="32"/>
      <c r="H661" s="59">
        <v>100</v>
      </c>
      <c r="I661" s="1">
        <f>COUNTA(ProductInfo[[#This Row],[P1]:[P15]])</f>
        <v>0</v>
      </c>
      <c r="J6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s="1" customFormat="1">
      <c r="A662" s="8" t="s">
        <v>812</v>
      </c>
      <c r="B662" s="8" t="s">
        <v>3338</v>
      </c>
      <c r="C662" s="1" t="str">
        <f>RIGHT(ProductInfo[[#This Row],[Drawing No]],1)</f>
        <v>7</v>
      </c>
      <c r="D662" s="176" t="s">
        <v>2900</v>
      </c>
      <c r="E662" s="16" t="s">
        <v>3527</v>
      </c>
      <c r="F662" s="23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62" s="31" t="s">
        <v>6202</v>
      </c>
      <c r="H662" s="59">
        <v>100</v>
      </c>
      <c r="I662" s="1">
        <f>COUNTA(ProductInfo[[#This Row],[P1]:[P15]])</f>
        <v>4</v>
      </c>
      <c r="J6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62" s="4" t="s">
        <v>12</v>
      </c>
      <c r="M662" s="4" t="s">
        <v>13</v>
      </c>
      <c r="N662" s="7" t="s">
        <v>15</v>
      </c>
      <c r="O662" s="7" t="s">
        <v>16</v>
      </c>
      <c r="P662" s="7"/>
      <c r="Q662" s="4"/>
      <c r="R662" s="7"/>
      <c r="S662" s="7"/>
      <c r="T662" s="7"/>
      <c r="U662" s="7"/>
      <c r="V662" s="7"/>
      <c r="W662" s="7"/>
      <c r="X662" s="7"/>
      <c r="Y662" s="7"/>
      <c r="Z662" s="7"/>
    </row>
    <row r="663" spans="1:26" s="1" customFormat="1">
      <c r="A663" s="8" t="s">
        <v>813</v>
      </c>
      <c r="B663" s="8" t="s">
        <v>813</v>
      </c>
      <c r="C663" s="1" t="str">
        <f>RIGHT(ProductInfo[[#This Row],[Drawing No]],1)</f>
        <v>0</v>
      </c>
      <c r="D663" s="181" t="s">
        <v>814</v>
      </c>
      <c r="E663" s="19"/>
      <c r="F66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3" s="41"/>
      <c r="H663" s="59">
        <v>100</v>
      </c>
      <c r="I663" s="1">
        <f>COUNTA(ProductInfo[[#This Row],[P1]:[P15]])</f>
        <v>0</v>
      </c>
      <c r="J6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s="1" customFormat="1">
      <c r="A664" s="8" t="s">
        <v>815</v>
      </c>
      <c r="B664" s="8" t="s">
        <v>815</v>
      </c>
      <c r="C664" s="1" t="str">
        <f>RIGHT(ProductInfo[[#This Row],[Drawing No]],1)</f>
        <v>0</v>
      </c>
      <c r="D664" s="181" t="s">
        <v>2416</v>
      </c>
      <c r="E664" s="19"/>
      <c r="F66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4" s="41"/>
      <c r="H664" s="59">
        <v>100</v>
      </c>
      <c r="I664" s="1">
        <f>COUNTA(ProductInfo[[#This Row],[P1]:[P15]])</f>
        <v>0</v>
      </c>
      <c r="J6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s="1" customFormat="1">
      <c r="A665" s="8" t="s">
        <v>816</v>
      </c>
      <c r="B665" s="8" t="s">
        <v>816</v>
      </c>
      <c r="C665" s="1" t="str">
        <f>RIGHT(ProductInfo[[#This Row],[Drawing No]],1)</f>
        <v>1</v>
      </c>
      <c r="D665" s="179" t="s">
        <v>2964</v>
      </c>
      <c r="E665" s="18"/>
      <c r="F66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5" s="32"/>
      <c r="H665" s="59">
        <v>100</v>
      </c>
      <c r="I665" s="1">
        <f>COUNTA(ProductInfo[[#This Row],[P1]:[P15]])</f>
        <v>0</v>
      </c>
      <c r="J6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s="1" customFormat="1">
      <c r="A666" s="8" t="s">
        <v>817</v>
      </c>
      <c r="B666" s="8" t="s">
        <v>817</v>
      </c>
      <c r="C666" s="1" t="str">
        <f>RIGHT(ProductInfo[[#This Row],[Drawing No]],1)</f>
        <v>0</v>
      </c>
      <c r="D666" s="181" t="s">
        <v>2417</v>
      </c>
      <c r="E666" s="19"/>
      <c r="F66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6" s="41"/>
      <c r="H666" s="59">
        <v>100</v>
      </c>
      <c r="I666" s="1">
        <f>COUNTA(ProductInfo[[#This Row],[P1]:[P15]])</f>
        <v>0</v>
      </c>
      <c r="J6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s="1" customFormat="1" ht="19.8">
      <c r="A667" s="8" t="s">
        <v>818</v>
      </c>
      <c r="B667" s="8" t="s">
        <v>6201</v>
      </c>
      <c r="C667" s="1" t="str">
        <f>RIGHT(ProductInfo[[#This Row],[Drawing No]],1)</f>
        <v>2</v>
      </c>
      <c r="D667" s="181" t="s">
        <v>2417</v>
      </c>
      <c r="E667" s="121" t="s">
        <v>6530</v>
      </c>
      <c r="F667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67" s="41" t="s">
        <v>6442</v>
      </c>
      <c r="H667" s="59">
        <v>110</v>
      </c>
      <c r="I667" s="1">
        <f>COUNTA(ProductInfo[[#This Row],[P1]:[P15]])</f>
        <v>4</v>
      </c>
      <c r="J6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67" s="7" t="s">
        <v>12</v>
      </c>
      <c r="M667" s="7" t="s">
        <v>13</v>
      </c>
      <c r="N667" s="7" t="s">
        <v>15</v>
      </c>
      <c r="O667" s="7" t="s">
        <v>16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s="1" customFormat="1">
      <c r="A668" s="8" t="s">
        <v>819</v>
      </c>
      <c r="B668" s="8" t="s">
        <v>7057</v>
      </c>
      <c r="C668" s="1" t="str">
        <f>RIGHT(ProductInfo[[#This Row],[Drawing No]],1)</f>
        <v>0</v>
      </c>
      <c r="D668" s="181" t="s">
        <v>2418</v>
      </c>
      <c r="E668" s="19" t="s">
        <v>3527</v>
      </c>
      <c r="F668" s="27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68" s="41" t="s">
        <v>6202</v>
      </c>
      <c r="H668" s="59">
        <v>100</v>
      </c>
      <c r="I668" s="1">
        <f>COUNTA(ProductInfo[[#This Row],[P1]:[P15]])</f>
        <v>2</v>
      </c>
      <c r="J6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8" s="7" t="s">
        <v>12</v>
      </c>
      <c r="M668" s="7" t="s">
        <v>13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s="1" customFormat="1">
      <c r="A669" s="8" t="s">
        <v>820</v>
      </c>
      <c r="B669" s="8" t="s">
        <v>820</v>
      </c>
      <c r="C669" s="1" t="str">
        <f>RIGHT(ProductInfo[[#This Row],[Drawing No]],1)</f>
        <v>0</v>
      </c>
      <c r="D669" s="181" t="s">
        <v>2419</v>
      </c>
      <c r="E669" s="19"/>
      <c r="F66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69" s="41"/>
      <c r="H669" s="59">
        <v>100</v>
      </c>
      <c r="I669" s="1">
        <f>COUNTA(ProductInfo[[#This Row],[P1]:[P15]])</f>
        <v>0</v>
      </c>
      <c r="J6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s="1" customFormat="1">
      <c r="A670" s="8" t="s">
        <v>821</v>
      </c>
      <c r="B670" s="8" t="s">
        <v>5457</v>
      </c>
      <c r="C670" s="1" t="str">
        <f>RIGHT(ProductInfo[[#This Row],[Drawing No]],1)</f>
        <v>2</v>
      </c>
      <c r="D670" s="181" t="s">
        <v>2420</v>
      </c>
      <c r="E670" s="19" t="s">
        <v>3527</v>
      </c>
      <c r="F670" s="27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70" s="60">
        <v>28</v>
      </c>
      <c r="H670" s="59">
        <v>100</v>
      </c>
      <c r="I670" s="1">
        <f>COUNTA(ProductInfo[[#This Row],[P1]:[P15]])</f>
        <v>4</v>
      </c>
      <c r="J6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6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70" s="7" t="s">
        <v>12</v>
      </c>
      <c r="M670" s="7" t="s">
        <v>13</v>
      </c>
      <c r="N670" s="7" t="s">
        <v>14</v>
      </c>
      <c r="O670" s="7" t="s">
        <v>15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s="1" customFormat="1">
      <c r="A671" s="8" t="s">
        <v>822</v>
      </c>
      <c r="B671" s="8" t="s">
        <v>822</v>
      </c>
      <c r="C671" s="1" t="str">
        <f>RIGHT(ProductInfo[[#This Row],[Drawing No]],1)</f>
        <v>0</v>
      </c>
      <c r="D671" s="181" t="s">
        <v>2421</v>
      </c>
      <c r="E671" s="19"/>
      <c r="F67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71" s="41"/>
      <c r="H671" s="59">
        <v>100</v>
      </c>
      <c r="I671" s="1">
        <f>COUNTA(ProductInfo[[#This Row],[P1]:[P15]])</f>
        <v>0</v>
      </c>
      <c r="J6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s="1" customFormat="1">
      <c r="A672" s="8" t="s">
        <v>823</v>
      </c>
      <c r="B672" s="8" t="s">
        <v>6690</v>
      </c>
      <c r="C672" s="1" t="str">
        <f>RIGHT(ProductInfo[[#This Row],[Drawing No]],1)</f>
        <v>2</v>
      </c>
      <c r="D672" s="181" t="s">
        <v>2422</v>
      </c>
      <c r="E672" t="s">
        <v>4695</v>
      </c>
      <c r="F672" s="27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672" s="41" t="s">
        <v>6202</v>
      </c>
      <c r="H672" s="59">
        <v>100</v>
      </c>
      <c r="I672" s="1">
        <f>COUNTA(ProductInfo[[#This Row],[P1]:[P15]])</f>
        <v>4</v>
      </c>
      <c r="J6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72" s="7" t="s">
        <v>12</v>
      </c>
      <c r="M672" s="7" t="s">
        <v>13</v>
      </c>
      <c r="N672" s="7" t="s">
        <v>15</v>
      </c>
      <c r="O672" s="7" t="s">
        <v>16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s="1" customFormat="1">
      <c r="A673" s="8" t="s">
        <v>824</v>
      </c>
      <c r="B673" s="8" t="s">
        <v>824</v>
      </c>
      <c r="C673" s="1" t="str">
        <f>RIGHT(ProductInfo[[#This Row],[Drawing No]],1)</f>
        <v>0</v>
      </c>
      <c r="D673" s="181" t="s">
        <v>2423</v>
      </c>
      <c r="E673" s="19"/>
      <c r="F67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73" s="41"/>
      <c r="H673" s="59">
        <v>100</v>
      </c>
      <c r="I673" s="1">
        <f>COUNTA(ProductInfo[[#This Row],[P1]:[P15]])</f>
        <v>0</v>
      </c>
      <c r="J6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s="1" customFormat="1">
      <c r="A674" s="8" t="s">
        <v>825</v>
      </c>
      <c r="B674" s="8" t="s">
        <v>825</v>
      </c>
      <c r="C674" s="1" t="str">
        <f>RIGHT(ProductInfo[[#This Row],[Drawing No]],1)</f>
        <v>2</v>
      </c>
      <c r="D674" s="179" t="s">
        <v>3006</v>
      </c>
      <c r="E674" s="18" t="s">
        <v>3421</v>
      </c>
      <c r="F674" s="26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674" s="3">
        <v>78.5</v>
      </c>
      <c r="H674" s="59">
        <v>100</v>
      </c>
      <c r="I674" s="1">
        <f>COUNTA(ProductInfo[[#This Row],[P1]:[P15]])</f>
        <v>4</v>
      </c>
      <c r="J6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74" s="7" t="s">
        <v>12</v>
      </c>
      <c r="M674" s="7" t="s">
        <v>13</v>
      </c>
      <c r="N674" s="7" t="s">
        <v>15</v>
      </c>
      <c r="O674" s="7" t="s">
        <v>16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s="1" customFormat="1">
      <c r="A675" s="8" t="s">
        <v>826</v>
      </c>
      <c r="B675" s="8" t="s">
        <v>826</v>
      </c>
      <c r="C675" s="1" t="str">
        <f>RIGHT(ProductInfo[[#This Row],[Drawing No]],1)</f>
        <v>0</v>
      </c>
      <c r="D675" s="181" t="s">
        <v>2818</v>
      </c>
      <c r="E675" s="19"/>
      <c r="F67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75" s="41"/>
      <c r="H675" s="59">
        <v>100</v>
      </c>
      <c r="I675" s="1">
        <f>COUNTA(ProductInfo[[#This Row],[P1]:[P15]])</f>
        <v>0</v>
      </c>
      <c r="J6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s="1" customFormat="1">
      <c r="A676" s="8" t="s">
        <v>827</v>
      </c>
      <c r="B676" s="8" t="s">
        <v>6586</v>
      </c>
      <c r="C676" s="1" t="str">
        <f>RIGHT(ProductInfo[[#This Row],[Drawing No]],1)</f>
        <v>0</v>
      </c>
      <c r="D676" s="181" t="s">
        <v>2424</v>
      </c>
      <c r="E676" s="19" t="s">
        <v>3527</v>
      </c>
      <c r="F676" s="27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676" s="60">
        <v>28</v>
      </c>
      <c r="H676" s="59">
        <v>100</v>
      </c>
      <c r="I676" s="1">
        <f>COUNTA(ProductInfo[[#This Row],[P1]:[P15]])</f>
        <v>3</v>
      </c>
      <c r="J6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76" s="7" t="s">
        <v>12</v>
      </c>
      <c r="M676" s="7" t="s">
        <v>13</v>
      </c>
      <c r="N676" s="7"/>
      <c r="O676" s="7"/>
      <c r="P676" s="7"/>
      <c r="Q676" s="7" t="s">
        <v>16</v>
      </c>
      <c r="R676" s="7"/>
      <c r="S676" s="7"/>
      <c r="T676" s="7"/>
      <c r="U676" s="7"/>
      <c r="V676" s="7"/>
      <c r="W676" s="7"/>
      <c r="X676" s="7"/>
      <c r="Y676" s="7"/>
      <c r="Z676" s="7"/>
    </row>
    <row r="677" spans="1:26" s="1" customFormat="1" ht="19.8">
      <c r="A677" s="8" t="s">
        <v>828</v>
      </c>
      <c r="B677" s="8" t="s">
        <v>828</v>
      </c>
      <c r="C677" s="1" t="str">
        <f>RIGHT(ProductInfo[[#This Row],[Drawing No]],1)</f>
        <v>0</v>
      </c>
      <c r="D677" s="181" t="s">
        <v>2425</v>
      </c>
      <c r="E677" s="121" t="s">
        <v>6530</v>
      </c>
      <c r="F677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77" s="60">
        <v>103.5</v>
      </c>
      <c r="H677" s="59">
        <v>100</v>
      </c>
      <c r="I677" s="1">
        <f>COUNTA(ProductInfo[[#This Row],[P1]:[P15]])</f>
        <v>4</v>
      </c>
      <c r="J6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77" s="7" t="s">
        <v>12</v>
      </c>
      <c r="M677" s="7" t="s">
        <v>13</v>
      </c>
      <c r="N677" s="7" t="s">
        <v>15</v>
      </c>
      <c r="O677" s="7" t="s">
        <v>16</v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s="1" customFormat="1" ht="19.8">
      <c r="A678" s="8" t="s">
        <v>829</v>
      </c>
      <c r="B678" s="8" t="s">
        <v>6341</v>
      </c>
      <c r="C678" s="1" t="str">
        <f>RIGHT(ProductInfo[[#This Row],[Drawing No]],1)</f>
        <v>0</v>
      </c>
      <c r="D678" s="181" t="s">
        <v>2426</v>
      </c>
      <c r="E678" s="121" t="s">
        <v>6530</v>
      </c>
      <c r="F678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78" s="60">
        <v>103</v>
      </c>
      <c r="H678" s="59">
        <v>100</v>
      </c>
      <c r="I678" s="1">
        <f>COUNTA(ProductInfo[[#This Row],[P1]:[P15]])</f>
        <v>4</v>
      </c>
      <c r="J6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78" s="7" t="s">
        <v>12</v>
      </c>
      <c r="M678" s="7" t="s">
        <v>13</v>
      </c>
      <c r="N678" s="7" t="s">
        <v>15</v>
      </c>
      <c r="O678" s="7" t="s">
        <v>16</v>
      </c>
      <c r="P678" s="7"/>
      <c r="Q678" s="7"/>
      <c r="R678" s="4"/>
      <c r="S678" s="7"/>
      <c r="T678" s="4"/>
      <c r="U678" s="4"/>
      <c r="V678" s="4"/>
      <c r="W678" s="4"/>
      <c r="X678" s="4"/>
      <c r="Y678" s="4"/>
      <c r="Z678" s="4"/>
    </row>
    <row r="679" spans="1:26" s="1" customFormat="1">
      <c r="A679" s="8" t="s">
        <v>830</v>
      </c>
      <c r="B679" s="8" t="s">
        <v>830</v>
      </c>
      <c r="C679" s="1" t="str">
        <f>RIGHT(ProductInfo[[#This Row],[Drawing No]],1)</f>
        <v>0</v>
      </c>
      <c r="D679" s="181" t="s">
        <v>2427</v>
      </c>
      <c r="E679" s="19"/>
      <c r="F67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79" s="41"/>
      <c r="H679" s="59">
        <v>100</v>
      </c>
      <c r="I679" s="1">
        <f>COUNTA(ProductInfo[[#This Row],[P1]:[P15]])</f>
        <v>0</v>
      </c>
      <c r="J6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s="1" customFormat="1" ht="19.8">
      <c r="A680" s="8" t="s">
        <v>831</v>
      </c>
      <c r="B680" s="8" t="s">
        <v>831</v>
      </c>
      <c r="C680" s="1" t="str">
        <f>RIGHT(ProductInfo[[#This Row],[Drawing No]],1)</f>
        <v>1</v>
      </c>
      <c r="D680" s="179" t="s">
        <v>3007</v>
      </c>
      <c r="E680" s="121" t="s">
        <v>6530</v>
      </c>
      <c r="F680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680" s="3">
        <v>103</v>
      </c>
      <c r="H680" s="59">
        <v>100</v>
      </c>
      <c r="I680" s="1">
        <f>COUNTA(ProductInfo[[#This Row],[P1]:[P15]])</f>
        <v>3</v>
      </c>
      <c r="J6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80" s="7" t="s">
        <v>12</v>
      </c>
      <c r="M680" s="7" t="s">
        <v>13</v>
      </c>
      <c r="N680" s="7"/>
      <c r="O680" s="7"/>
      <c r="P680" s="7"/>
      <c r="Q680" s="7" t="s">
        <v>16</v>
      </c>
      <c r="R680" s="7"/>
      <c r="S680" s="7"/>
      <c r="T680" s="7"/>
      <c r="U680" s="7"/>
      <c r="V680" s="7"/>
      <c r="W680" s="7"/>
      <c r="X680" s="7"/>
      <c r="Y680" s="7"/>
      <c r="Z680" s="7"/>
    </row>
    <row r="681" spans="1:26" s="1" customFormat="1">
      <c r="A681" s="8" t="s">
        <v>832</v>
      </c>
      <c r="B681" s="8" t="s">
        <v>832</v>
      </c>
      <c r="C681" s="1" t="str">
        <f>RIGHT(ProductInfo[[#This Row],[Drawing No]],1)</f>
        <v>0</v>
      </c>
      <c r="D681" s="181" t="s">
        <v>2428</v>
      </c>
      <c r="E681" s="19"/>
      <c r="F68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1" s="41"/>
      <c r="H681" s="59">
        <v>100</v>
      </c>
      <c r="I681" s="1">
        <f>COUNTA(ProductInfo[[#This Row],[P1]:[P15]])</f>
        <v>0</v>
      </c>
      <c r="J6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s="1" customFormat="1">
      <c r="A682" s="8" t="s">
        <v>834</v>
      </c>
      <c r="B682" s="8" t="s">
        <v>3654</v>
      </c>
      <c r="C682" s="1" t="str">
        <f>RIGHT(ProductInfo[[#This Row],[Drawing No]],1)</f>
        <v>0</v>
      </c>
      <c r="D682" s="176" t="s">
        <v>2429</v>
      </c>
      <c r="E682" s="16" t="s">
        <v>5150</v>
      </c>
      <c r="F682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682" s="59">
        <v>62</v>
      </c>
      <c r="H682" s="59">
        <v>100</v>
      </c>
      <c r="I682" s="1">
        <f>COUNTA(ProductInfo[[#This Row],[P1]:[P15]])</f>
        <v>4</v>
      </c>
      <c r="J6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82" s="7" t="s">
        <v>12</v>
      </c>
      <c r="M682" s="7" t="s">
        <v>13</v>
      </c>
      <c r="N682" s="7" t="s">
        <v>15</v>
      </c>
      <c r="O682" s="7" t="s">
        <v>16</v>
      </c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s="1" customFormat="1">
      <c r="A683" s="8" t="s">
        <v>835</v>
      </c>
      <c r="B683" s="8" t="s">
        <v>835</v>
      </c>
      <c r="C683" s="1" t="str">
        <f>RIGHT(ProductInfo[[#This Row],[Drawing No]],1)</f>
        <v>0</v>
      </c>
      <c r="D683" s="181" t="s">
        <v>2430</v>
      </c>
      <c r="E683" s="19"/>
      <c r="F68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3" s="41"/>
      <c r="H683" s="59">
        <v>100</v>
      </c>
      <c r="I683" s="1">
        <f>COUNTA(ProductInfo[[#This Row],[P1]:[P15]])</f>
        <v>0</v>
      </c>
      <c r="J6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s="1" customFormat="1">
      <c r="A684" s="8" t="s">
        <v>836</v>
      </c>
      <c r="B684" s="8" t="s">
        <v>836</v>
      </c>
      <c r="C684" s="1" t="str">
        <f>RIGHT(ProductInfo[[#This Row],[Drawing No]],1)</f>
        <v>0</v>
      </c>
      <c r="D684" s="181" t="s">
        <v>3174</v>
      </c>
      <c r="E684" s="19"/>
      <c r="F68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4" s="41"/>
      <c r="H684" s="59">
        <v>100</v>
      </c>
      <c r="I684" s="1">
        <f>COUNTA(ProductInfo[[#This Row],[P1]:[P15]])</f>
        <v>0</v>
      </c>
      <c r="J6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s="1" customFormat="1">
      <c r="A685" s="8" t="s">
        <v>837</v>
      </c>
      <c r="B685" s="8" t="s">
        <v>837</v>
      </c>
      <c r="C685" s="1" t="str">
        <f>RIGHT(ProductInfo[[#This Row],[Drawing No]],1)</f>
        <v>0</v>
      </c>
      <c r="D685" s="181" t="s">
        <v>2431</v>
      </c>
      <c r="E685" s="19"/>
      <c r="F68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5" s="41"/>
      <c r="H685" s="59">
        <v>100</v>
      </c>
      <c r="I685" s="1">
        <f>COUNTA(ProductInfo[[#This Row],[P1]:[P15]])</f>
        <v>0</v>
      </c>
      <c r="J6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s="1" customFormat="1">
      <c r="A686" s="8" t="s">
        <v>838</v>
      </c>
      <c r="B686" s="8" t="s">
        <v>4863</v>
      </c>
      <c r="C686" s="1" t="str">
        <f>RIGHT(ProductInfo[[#This Row],[Drawing No]],1)</f>
        <v>0</v>
      </c>
      <c r="D686" s="181" t="s">
        <v>2432</v>
      </c>
      <c r="E686" s="19" t="s">
        <v>4695</v>
      </c>
      <c r="F686" s="27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686" s="60">
        <v>39.5</v>
      </c>
      <c r="H686" s="59">
        <v>100</v>
      </c>
      <c r="I686" s="1">
        <f>COUNTA(ProductInfo[[#This Row],[P1]:[P15]])</f>
        <v>3</v>
      </c>
      <c r="J6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86" s="7" t="s">
        <v>12</v>
      </c>
      <c r="M686" s="7" t="s">
        <v>13</v>
      </c>
      <c r="N686" s="7" t="s">
        <v>15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s="1" customFormat="1">
      <c r="A687" s="8" t="s">
        <v>839</v>
      </c>
      <c r="B687" s="8" t="s">
        <v>839</v>
      </c>
      <c r="C687" s="1" t="str">
        <f>RIGHT(ProductInfo[[#This Row],[Drawing No]],1)</f>
        <v>0</v>
      </c>
      <c r="D687" s="181" t="s">
        <v>2433</v>
      </c>
      <c r="E687" s="19"/>
      <c r="F68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7" s="41"/>
      <c r="H687" s="59">
        <v>100</v>
      </c>
      <c r="I687" s="1">
        <f>COUNTA(ProductInfo[[#This Row],[P1]:[P15]])</f>
        <v>0</v>
      </c>
      <c r="J6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s="1" customFormat="1">
      <c r="A688" s="8" t="s">
        <v>840</v>
      </c>
      <c r="B688" s="8" t="s">
        <v>840</v>
      </c>
      <c r="C688" s="1" t="str">
        <f>RIGHT(ProductInfo[[#This Row],[Drawing No]],1)</f>
        <v>0</v>
      </c>
      <c r="D688" s="181" t="s">
        <v>2434</v>
      </c>
      <c r="E688" s="19"/>
      <c r="F68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88" s="41"/>
      <c r="H688" s="59">
        <v>100</v>
      </c>
      <c r="I688" s="1">
        <f>COUNTA(ProductInfo[[#This Row],[P1]:[P15]])</f>
        <v>0</v>
      </c>
      <c r="J6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s="1" customFormat="1">
      <c r="A689" s="8" t="s">
        <v>841</v>
      </c>
      <c r="B689" s="8" t="s">
        <v>4463</v>
      </c>
      <c r="C689" s="2" t="str">
        <f>RIGHT(ProductInfo[[#This Row],[Drawing No]],1)</f>
        <v>1</v>
      </c>
      <c r="D689" s="176" t="s">
        <v>4464</v>
      </c>
      <c r="E689" s="18" t="s">
        <v>6529</v>
      </c>
      <c r="F68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89" s="3">
        <v>67.5</v>
      </c>
      <c r="H689" s="59">
        <v>100</v>
      </c>
      <c r="I689" s="1">
        <f>COUNTA(ProductInfo[[#This Row],[P1]:[P15]])</f>
        <v>4</v>
      </c>
      <c r="J6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89" s="7" t="s">
        <v>12</v>
      </c>
      <c r="M689" s="7" t="s">
        <v>13</v>
      </c>
      <c r="N689" s="7" t="s">
        <v>15</v>
      </c>
      <c r="O689" s="7" t="s">
        <v>16</v>
      </c>
      <c r="P689" s="7"/>
      <c r="Q689" s="7"/>
      <c r="R689" s="4"/>
      <c r="S689" s="4"/>
      <c r="T689" s="4"/>
      <c r="U689" s="4"/>
      <c r="V689" s="4"/>
      <c r="W689" s="4"/>
      <c r="X689" s="4"/>
      <c r="Y689" s="4"/>
      <c r="Z689" s="4"/>
    </row>
    <row r="690" spans="1:26" s="1" customFormat="1">
      <c r="A690" s="8" t="s">
        <v>4665</v>
      </c>
      <c r="B690" s="8" t="s">
        <v>5877</v>
      </c>
      <c r="C690" s="2" t="str">
        <f>RIGHT(ProductInfo[[#This Row],[Drawing No]],1)</f>
        <v>1</v>
      </c>
      <c r="D690" s="176" t="s">
        <v>4464</v>
      </c>
      <c r="E690" s="18" t="s">
        <v>6529</v>
      </c>
      <c r="F69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90" s="3">
        <v>67.5</v>
      </c>
      <c r="H690" s="59">
        <v>100</v>
      </c>
      <c r="I690" s="1">
        <f>COUNTA(ProductInfo[[#This Row],[P1]:[P15]])</f>
        <v>4</v>
      </c>
      <c r="J6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90" s="7" t="s">
        <v>12</v>
      </c>
      <c r="M690" s="7" t="s">
        <v>13</v>
      </c>
      <c r="N690" s="7" t="s">
        <v>15</v>
      </c>
      <c r="O690" s="7" t="s">
        <v>16</v>
      </c>
      <c r="P690" s="7"/>
      <c r="Q690" s="7"/>
      <c r="R690" s="4"/>
      <c r="S690" s="4"/>
      <c r="T690" s="4"/>
      <c r="U690" s="4"/>
      <c r="V690" s="4"/>
      <c r="W690" s="4"/>
      <c r="X690" s="4"/>
      <c r="Y690" s="4"/>
      <c r="Z690" s="4"/>
    </row>
    <row r="691" spans="1:26" s="1" customFormat="1">
      <c r="A691" s="8" t="s">
        <v>842</v>
      </c>
      <c r="B691" s="8" t="s">
        <v>842</v>
      </c>
      <c r="C691" s="1" t="str">
        <f>RIGHT(ProductInfo[[#This Row],[Drawing No]],1)</f>
        <v>0</v>
      </c>
      <c r="D691" s="181" t="s">
        <v>2819</v>
      </c>
      <c r="E691" s="19"/>
      <c r="F69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1" s="41"/>
      <c r="H691" s="59">
        <v>100</v>
      </c>
      <c r="I691" s="1">
        <f>COUNTA(ProductInfo[[#This Row],[P1]:[P15]])</f>
        <v>2</v>
      </c>
      <c r="J6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6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91" s="7" t="s">
        <v>12</v>
      </c>
      <c r="M691" s="7"/>
      <c r="N691" s="7"/>
      <c r="O691" s="7"/>
      <c r="P691" s="7"/>
      <c r="Q691" s="7" t="s">
        <v>16</v>
      </c>
      <c r="R691" s="7"/>
      <c r="S691" s="7"/>
      <c r="T691" s="7"/>
      <c r="U691" s="7"/>
      <c r="V691" s="7"/>
      <c r="W691" s="7"/>
      <c r="X691" s="7"/>
      <c r="Y691" s="7"/>
      <c r="Z691" s="7"/>
    </row>
    <row r="692" spans="1:26" s="1" customFormat="1">
      <c r="A692" s="8" t="s">
        <v>843</v>
      </c>
      <c r="B692" s="8" t="s">
        <v>4667</v>
      </c>
      <c r="C692" s="1" t="str">
        <f>RIGHT(ProductInfo[[#This Row],[Drawing No]],1)</f>
        <v>0</v>
      </c>
      <c r="D692" s="179" t="s">
        <v>3008</v>
      </c>
      <c r="E692" s="18" t="s">
        <v>6529</v>
      </c>
      <c r="F692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92" s="3">
        <v>67.5</v>
      </c>
      <c r="H692" s="59">
        <v>100</v>
      </c>
      <c r="I692" s="1">
        <f>COUNTA(ProductInfo[[#This Row],[P1]:[P15]])</f>
        <v>3</v>
      </c>
      <c r="J6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692" s="7" t="s">
        <v>12</v>
      </c>
      <c r="M692" s="7" t="s">
        <v>13</v>
      </c>
      <c r="N692" s="7" t="s">
        <v>16</v>
      </c>
      <c r="O692" s="4"/>
      <c r="P692" s="7"/>
      <c r="Q692" s="4"/>
      <c r="R692" s="7"/>
      <c r="S692" s="7"/>
      <c r="T692" s="7"/>
      <c r="U692" s="7"/>
      <c r="V692" s="7"/>
      <c r="W692" s="7"/>
      <c r="X692" s="7"/>
      <c r="Y692" s="7"/>
      <c r="Z692" s="7"/>
    </row>
    <row r="693" spans="1:26" s="1" customFormat="1">
      <c r="A693" s="8" t="s">
        <v>4666</v>
      </c>
      <c r="B693" s="8" t="s">
        <v>5877</v>
      </c>
      <c r="C693" s="2" t="str">
        <f>RIGHT(ProductInfo[[#This Row],[Drawing No]],1)</f>
        <v>1</v>
      </c>
      <c r="D693" s="179" t="s">
        <v>3008</v>
      </c>
      <c r="E693" s="18" t="s">
        <v>6529</v>
      </c>
      <c r="F693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693" s="3">
        <v>67.5</v>
      </c>
      <c r="H693" s="59">
        <v>100</v>
      </c>
      <c r="I693" s="1">
        <f>COUNTA(ProductInfo[[#This Row],[P1]:[P15]])</f>
        <v>4</v>
      </c>
      <c r="J6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6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693" s="7" t="s">
        <v>12</v>
      </c>
      <c r="M693" s="7" t="s">
        <v>13</v>
      </c>
      <c r="N693" s="7" t="s">
        <v>15</v>
      </c>
      <c r="O693" s="7" t="s">
        <v>16</v>
      </c>
      <c r="P693" s="7"/>
      <c r="Q693" s="7"/>
      <c r="R693" s="4"/>
      <c r="S693" s="4"/>
      <c r="T693" s="4"/>
      <c r="U693" s="4"/>
      <c r="V693" s="4"/>
      <c r="W693" s="4"/>
      <c r="X693" s="4"/>
      <c r="Y693" s="4"/>
      <c r="Z693" s="4"/>
    </row>
    <row r="694" spans="1:26" s="1" customFormat="1">
      <c r="A694" s="8" t="s">
        <v>844</v>
      </c>
      <c r="B694" s="8" t="s">
        <v>844</v>
      </c>
      <c r="C694" s="1" t="str">
        <f>RIGHT(ProductInfo[[#This Row],[Drawing No]],1)</f>
        <v>0</v>
      </c>
      <c r="D694" s="181" t="s">
        <v>2435</v>
      </c>
      <c r="E694" s="19"/>
      <c r="F69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4" s="41"/>
      <c r="H694" s="59">
        <v>100</v>
      </c>
      <c r="I694" s="1">
        <f>COUNTA(ProductInfo[[#This Row],[P1]:[P15]])</f>
        <v>0</v>
      </c>
      <c r="J6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s="1" customFormat="1">
      <c r="A695" s="8" t="s">
        <v>845</v>
      </c>
      <c r="B695" s="8" t="s">
        <v>845</v>
      </c>
      <c r="C695" s="1" t="str">
        <f>RIGHT(ProductInfo[[#This Row],[Drawing No]],1)</f>
        <v>0</v>
      </c>
      <c r="D695" s="181" t="s">
        <v>2436</v>
      </c>
      <c r="E695" s="19"/>
      <c r="F69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5" s="41"/>
      <c r="H695" s="59">
        <v>100</v>
      </c>
      <c r="I695" s="1">
        <f>COUNTA(ProductInfo[[#This Row],[P1]:[P15]])</f>
        <v>0</v>
      </c>
      <c r="J6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s="1" customFormat="1">
      <c r="A696" s="8" t="s">
        <v>846</v>
      </c>
      <c r="B696" s="8" t="s">
        <v>846</v>
      </c>
      <c r="C696" s="1" t="str">
        <f>RIGHT(ProductInfo[[#This Row],[Drawing No]],1)</f>
        <v>0</v>
      </c>
      <c r="D696" s="181" t="s">
        <v>2437</v>
      </c>
      <c r="E696" s="19"/>
      <c r="F69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6" s="41"/>
      <c r="H696" s="59">
        <v>100</v>
      </c>
      <c r="I696" s="1">
        <f>COUNTA(ProductInfo[[#This Row],[P1]:[P15]])</f>
        <v>0</v>
      </c>
      <c r="J6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s="1" customFormat="1">
      <c r="A697" s="8" t="s">
        <v>847</v>
      </c>
      <c r="B697" s="8" t="s">
        <v>847</v>
      </c>
      <c r="C697" s="1" t="str">
        <f>RIGHT(ProductInfo[[#This Row],[Drawing No]],1)</f>
        <v>1</v>
      </c>
      <c r="D697" s="181" t="s">
        <v>2437</v>
      </c>
      <c r="E697" s="19"/>
      <c r="F69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7" s="41"/>
      <c r="H697" s="59">
        <v>100</v>
      </c>
      <c r="I697" s="1">
        <f>COUNTA(ProductInfo[[#This Row],[P1]:[P15]])</f>
        <v>0</v>
      </c>
      <c r="J6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s="1" customFormat="1">
      <c r="A698" s="8" t="s">
        <v>848</v>
      </c>
      <c r="B698" s="8" t="s">
        <v>848</v>
      </c>
      <c r="C698" s="1" t="str">
        <f>RIGHT(ProductInfo[[#This Row],[Drawing No]],1)</f>
        <v>0</v>
      </c>
      <c r="D698" s="181" t="s">
        <v>2438</v>
      </c>
      <c r="E698" s="19"/>
      <c r="F69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8" s="41"/>
      <c r="H698" s="59">
        <v>100</v>
      </c>
      <c r="I698" s="1">
        <f>COUNTA(ProductInfo[[#This Row],[P1]:[P15]])</f>
        <v>0</v>
      </c>
      <c r="J6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s="1" customFormat="1">
      <c r="A699" s="8" t="s">
        <v>849</v>
      </c>
      <c r="B699" s="8" t="s">
        <v>849</v>
      </c>
      <c r="C699" s="1" t="str">
        <f>RIGHT(ProductInfo[[#This Row],[Drawing No]],1)</f>
        <v>0</v>
      </c>
      <c r="D699" s="179" t="s">
        <v>850</v>
      </c>
      <c r="E699" s="18"/>
      <c r="F69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699" s="32"/>
      <c r="H699" s="59">
        <v>100</v>
      </c>
      <c r="I699" s="1">
        <f>COUNTA(ProductInfo[[#This Row],[P1]:[P15]])</f>
        <v>0</v>
      </c>
      <c r="J6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6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s="1" customFormat="1">
      <c r="A700" s="8" t="s">
        <v>851</v>
      </c>
      <c r="B700" s="8" t="s">
        <v>851</v>
      </c>
      <c r="C700" s="1" t="str">
        <f>RIGHT(ProductInfo[[#This Row],[Drawing No]],1)</f>
        <v>0</v>
      </c>
      <c r="D700" s="179" t="s">
        <v>3009</v>
      </c>
      <c r="E700" s="18" t="s">
        <v>6529</v>
      </c>
      <c r="F700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00" s="3">
        <v>67.5</v>
      </c>
      <c r="H700" s="59">
        <v>100</v>
      </c>
      <c r="I700" s="1">
        <f>COUNTA(ProductInfo[[#This Row],[P1]:[P15]])</f>
        <v>3</v>
      </c>
      <c r="J7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0" s="7" t="s">
        <v>12</v>
      </c>
      <c r="M700" s="7" t="s">
        <v>13</v>
      </c>
      <c r="N700" s="7"/>
      <c r="O700" s="7"/>
      <c r="P700" s="7"/>
      <c r="Q700" s="7" t="s">
        <v>16</v>
      </c>
      <c r="R700" s="7"/>
      <c r="S700" s="7"/>
      <c r="T700" s="7"/>
      <c r="U700" s="7"/>
      <c r="V700" s="7"/>
      <c r="W700" s="7"/>
      <c r="X700" s="7"/>
      <c r="Y700" s="7"/>
      <c r="Z700" s="7"/>
    </row>
    <row r="701" spans="1:26" s="1" customFormat="1" ht="15" customHeight="1">
      <c r="A701" s="8" t="s">
        <v>852</v>
      </c>
      <c r="B701" s="8" t="s">
        <v>852</v>
      </c>
      <c r="C701" s="1" t="str">
        <f>RIGHT(ProductInfo[[#This Row],[Drawing No]],1)</f>
        <v>0</v>
      </c>
      <c r="D701" s="181" t="s">
        <v>2439</v>
      </c>
      <c r="E701" s="19"/>
      <c r="F70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01" s="41"/>
      <c r="H701" s="59">
        <v>100</v>
      </c>
      <c r="I701" s="1">
        <f>COUNTA(ProductInfo[[#This Row],[P1]:[P15]])</f>
        <v>0</v>
      </c>
      <c r="J7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s="1" customFormat="1">
      <c r="A702" s="8" t="s">
        <v>853</v>
      </c>
      <c r="B702" s="8" t="s">
        <v>3655</v>
      </c>
      <c r="C702" s="1" t="str">
        <f>RIGHT(ProductInfo[[#This Row],[Drawing No]],1)</f>
        <v>1</v>
      </c>
      <c r="D702" s="181" t="s">
        <v>2440</v>
      </c>
      <c r="E702" s="19" t="s">
        <v>5150</v>
      </c>
      <c r="F702" s="27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702" s="60">
        <v>63.5</v>
      </c>
      <c r="H702" s="59">
        <v>100</v>
      </c>
      <c r="I702" s="1">
        <f>COUNTA(ProductInfo[[#This Row],[P1]:[P15]])</f>
        <v>4</v>
      </c>
      <c r="J7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02" s="7" t="s">
        <v>12</v>
      </c>
      <c r="M702" s="7" t="s">
        <v>13</v>
      </c>
      <c r="N702" s="7" t="s">
        <v>15</v>
      </c>
      <c r="O702" s="7" t="s">
        <v>16</v>
      </c>
      <c r="P702" s="7"/>
      <c r="Q702" s="4"/>
      <c r="R702" s="4"/>
      <c r="S702" s="7"/>
      <c r="T702" s="4"/>
      <c r="U702" s="4"/>
      <c r="V702" s="4"/>
      <c r="W702" s="4"/>
      <c r="X702" s="4"/>
      <c r="Y702" s="4"/>
      <c r="Z702" s="4"/>
    </row>
    <row r="703" spans="1:26" s="1" customFormat="1" ht="19.8">
      <c r="A703" s="8" t="s">
        <v>854</v>
      </c>
      <c r="B703" s="8" t="s">
        <v>3656</v>
      </c>
      <c r="C703" s="1" t="str">
        <f>RIGHT(ProductInfo[[#This Row],[Drawing No]],1)</f>
        <v>0</v>
      </c>
      <c r="D703" s="179" t="s">
        <v>3010</v>
      </c>
      <c r="E703" s="121" t="s">
        <v>6530</v>
      </c>
      <c r="F703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03" s="3">
        <v>75.5</v>
      </c>
      <c r="H703" s="59">
        <v>100</v>
      </c>
      <c r="I703" s="1">
        <f>COUNTA(ProductInfo[[#This Row],[P1]:[P15]])</f>
        <v>3</v>
      </c>
      <c r="J7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3" s="7" t="s">
        <v>12</v>
      </c>
      <c r="M703" s="7" t="s">
        <v>13</v>
      </c>
      <c r="N703" s="7" t="s">
        <v>16</v>
      </c>
      <c r="O703" s="4"/>
      <c r="P703" s="7"/>
      <c r="Q703" s="7"/>
      <c r="R703" s="4"/>
      <c r="S703" s="7"/>
      <c r="T703" s="4"/>
      <c r="U703" s="4"/>
      <c r="V703" s="4"/>
      <c r="W703" s="4"/>
      <c r="X703" s="4"/>
      <c r="Y703" s="4"/>
      <c r="Z703" s="4"/>
    </row>
    <row r="704" spans="1:26">
      <c r="A704" s="8" t="s">
        <v>5448</v>
      </c>
      <c r="B704" s="8" t="s">
        <v>5447</v>
      </c>
      <c r="C704" s="2" t="str">
        <f>RIGHT(ProductInfo[[#This Row],[Drawing No]],1)</f>
        <v>0</v>
      </c>
      <c r="D704" s="176" t="s">
        <v>5450</v>
      </c>
      <c r="E704" s="16" t="s">
        <v>4695</v>
      </c>
      <c r="F704" s="23" t="str">
        <f>IFERROR(INDEX(MaterialCode[รายละเอียด],MATCH(ProductInfo[[#This Row],[Material Code]],MaterialCode[Material Code],0)),"ไม่พบวัตถุดิบ")</f>
        <v>เพลาหน้าตัด ตัวU-BAR</v>
      </c>
      <c r="G704" s="59">
        <v>39.5</v>
      </c>
      <c r="H704" s="59">
        <v>100</v>
      </c>
      <c r="I704" s="1">
        <f>COUNTA(ProductInfo[[#This Row],[P1]:[P15]])</f>
        <v>3</v>
      </c>
      <c r="J7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4" s="7" t="s">
        <v>12</v>
      </c>
      <c r="M704" s="7" t="s">
        <v>15</v>
      </c>
      <c r="N704" s="7" t="s">
        <v>13</v>
      </c>
      <c r="O704" s="7"/>
    </row>
    <row r="705" spans="1:26" s="1" customFormat="1">
      <c r="A705" s="8" t="s">
        <v>855</v>
      </c>
      <c r="B705" s="8" t="s">
        <v>3657</v>
      </c>
      <c r="C705" s="1" t="str">
        <f>RIGHT(ProductInfo[[#This Row],[Drawing No]],1)</f>
        <v>0</v>
      </c>
      <c r="D705" s="181" t="s">
        <v>2441</v>
      </c>
      <c r="E705" s="19" t="s">
        <v>6529</v>
      </c>
      <c r="F705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05" s="60">
        <v>103.5</v>
      </c>
      <c r="H705" s="59">
        <v>100</v>
      </c>
      <c r="I705" s="1">
        <f>COUNTA(ProductInfo[[#This Row],[P1]:[P15]])</f>
        <v>3</v>
      </c>
      <c r="J7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5" s="7" t="s">
        <v>12</v>
      </c>
      <c r="M705" s="7" t="s">
        <v>13</v>
      </c>
      <c r="N705" s="7" t="s">
        <v>16</v>
      </c>
      <c r="O705" s="7"/>
      <c r="P705" s="7"/>
      <c r="Q705" s="7"/>
      <c r="R705" s="4"/>
      <c r="S705" s="7"/>
      <c r="T705" s="4"/>
      <c r="U705" s="4"/>
      <c r="V705" s="4"/>
      <c r="W705" s="4"/>
      <c r="X705" s="4"/>
      <c r="Y705" s="4"/>
      <c r="Z705" s="4"/>
    </row>
    <row r="706" spans="1:26" s="1" customFormat="1">
      <c r="A706" s="8" t="s">
        <v>856</v>
      </c>
      <c r="B706" s="8" t="s">
        <v>856</v>
      </c>
      <c r="C706" s="1" t="str">
        <f>RIGHT(ProductInfo[[#This Row],[Drawing No]],1)</f>
        <v>0</v>
      </c>
      <c r="D706" s="179" t="s">
        <v>2965</v>
      </c>
      <c r="E706" s="18"/>
      <c r="F70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06" s="32"/>
      <c r="H706" s="59">
        <v>100</v>
      </c>
      <c r="I706" s="1">
        <f>COUNTA(ProductInfo[[#This Row],[P1]:[P15]])</f>
        <v>0</v>
      </c>
      <c r="J7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s="1" customFormat="1">
      <c r="A707" s="8" t="s">
        <v>4366</v>
      </c>
      <c r="B707" s="8" t="s">
        <v>4365</v>
      </c>
      <c r="C707" s="2" t="str">
        <f>RIGHT(ProductInfo[[#This Row],[Drawing No]],1)</f>
        <v>0</v>
      </c>
      <c r="D707" s="176" t="s">
        <v>4367</v>
      </c>
      <c r="E707" s="16"/>
      <c r="F7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07" s="31"/>
      <c r="H707" s="59">
        <v>100</v>
      </c>
      <c r="I707" s="1">
        <f>COUNTA(ProductInfo[[#This Row],[P1]:[P15]])</f>
        <v>3</v>
      </c>
      <c r="J7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7" s="4" t="s">
        <v>12</v>
      </c>
      <c r="M707" s="4" t="s">
        <v>13</v>
      </c>
      <c r="N707" s="4"/>
      <c r="O707" s="4"/>
      <c r="P707" s="7"/>
      <c r="Q707" s="7"/>
      <c r="R707" s="4" t="s">
        <v>16</v>
      </c>
      <c r="S707" s="4"/>
      <c r="T707" s="4"/>
      <c r="U707" s="4"/>
      <c r="V707" s="4"/>
      <c r="W707" s="4"/>
      <c r="X707" s="4"/>
      <c r="Y707" s="4"/>
      <c r="Z707" s="4"/>
    </row>
    <row r="708" spans="1:26" s="1" customFormat="1">
      <c r="A708" s="8" t="s">
        <v>857</v>
      </c>
      <c r="B708" s="8" t="s">
        <v>857</v>
      </c>
      <c r="C708" s="1" t="str">
        <f>RIGHT(ProductInfo[[#This Row],[Drawing No]],1)</f>
        <v>0</v>
      </c>
      <c r="D708" s="179" t="s">
        <v>2820</v>
      </c>
      <c r="E708" s="18"/>
      <c r="F70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08" s="32"/>
      <c r="H708" s="59">
        <v>100</v>
      </c>
      <c r="I708" s="1">
        <f>COUNTA(ProductInfo[[#This Row],[P1]:[P15]])</f>
        <v>0</v>
      </c>
      <c r="J7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s="1" customFormat="1">
      <c r="A709" s="8" t="s">
        <v>858</v>
      </c>
      <c r="B709" s="8" t="s">
        <v>858</v>
      </c>
      <c r="C709" s="1" t="str">
        <f>RIGHT(ProductInfo[[#This Row],[Drawing No]],1)</f>
        <v>3</v>
      </c>
      <c r="D709" s="179" t="s">
        <v>2966</v>
      </c>
      <c r="E709" s="18" t="s">
        <v>6529</v>
      </c>
      <c r="F709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09" s="3">
        <v>78.5</v>
      </c>
      <c r="H709" s="59">
        <v>100</v>
      </c>
      <c r="I709" s="1">
        <f>COUNTA(ProductInfo[[#This Row],[P1]:[P15]])</f>
        <v>3</v>
      </c>
      <c r="J7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09" s="7" t="s">
        <v>12</v>
      </c>
      <c r="M709" s="7" t="s">
        <v>13</v>
      </c>
      <c r="N709" s="7"/>
      <c r="O709" s="7"/>
      <c r="P709" s="7"/>
      <c r="Q709" s="7" t="s">
        <v>16</v>
      </c>
      <c r="R709" s="7"/>
      <c r="S709" s="7"/>
      <c r="T709" s="7"/>
      <c r="U709" s="7"/>
      <c r="V709" s="7"/>
      <c r="W709" s="7"/>
      <c r="X709" s="7"/>
      <c r="Y709" s="7"/>
      <c r="Z709" s="7"/>
    </row>
    <row r="710" spans="1:26" s="1" customFormat="1">
      <c r="A710" s="8" t="s">
        <v>859</v>
      </c>
      <c r="B710" s="8" t="s">
        <v>859</v>
      </c>
      <c r="C710" s="1" t="str">
        <f>RIGHT(ProductInfo[[#This Row],[Drawing No]],1)</f>
        <v>0</v>
      </c>
      <c r="D710" s="181" t="s">
        <v>2442</v>
      </c>
      <c r="E710" s="19"/>
      <c r="F710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0" s="41"/>
      <c r="H710" s="59">
        <v>100</v>
      </c>
      <c r="I710" s="1">
        <f>COUNTA(ProductInfo[[#This Row],[P1]:[P15]])</f>
        <v>0</v>
      </c>
      <c r="J7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s="1" customFormat="1">
      <c r="A711" s="8" t="s">
        <v>860</v>
      </c>
      <c r="B711" s="8" t="s">
        <v>860</v>
      </c>
      <c r="C711" s="1" t="str">
        <f>RIGHT(ProductInfo[[#This Row],[Drawing No]],1)</f>
        <v>1</v>
      </c>
      <c r="D711" s="181" t="s">
        <v>2443</v>
      </c>
      <c r="E711" s="19"/>
      <c r="F71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1" s="41"/>
      <c r="H711" s="59">
        <v>100</v>
      </c>
      <c r="I711" s="1">
        <f>COUNTA(ProductInfo[[#This Row],[P1]:[P15]])</f>
        <v>0</v>
      </c>
      <c r="J7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s="1" customFormat="1">
      <c r="A712" s="8" t="s">
        <v>861</v>
      </c>
      <c r="B712" s="8" t="s">
        <v>861</v>
      </c>
      <c r="C712" s="1" t="str">
        <f>RIGHT(ProductInfo[[#This Row],[Drawing No]],1)</f>
        <v>2</v>
      </c>
      <c r="D712" s="179" t="s">
        <v>2967</v>
      </c>
      <c r="E712" s="16" t="s">
        <v>6529</v>
      </c>
      <c r="F712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12" s="59">
        <v>78.5</v>
      </c>
      <c r="H712" s="59">
        <v>100</v>
      </c>
      <c r="I712" s="1">
        <f>COUNTA(ProductInfo[[#This Row],[P1]:[P15]])</f>
        <v>3</v>
      </c>
      <c r="J7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12" s="7" t="s">
        <v>12</v>
      </c>
      <c r="M712" s="7" t="s">
        <v>13</v>
      </c>
      <c r="N712" s="7"/>
      <c r="O712" s="7"/>
      <c r="P712" s="7"/>
      <c r="Q712" s="7" t="s">
        <v>16</v>
      </c>
      <c r="R712" s="7"/>
      <c r="S712" s="7"/>
      <c r="T712" s="7"/>
      <c r="U712" s="7"/>
      <c r="V712" s="7"/>
      <c r="W712" s="7"/>
      <c r="X712" s="7"/>
      <c r="Y712" s="7"/>
      <c r="Z712" s="7"/>
    </row>
    <row r="713" spans="1:26" s="1" customFormat="1">
      <c r="A713" s="8" t="s">
        <v>862</v>
      </c>
      <c r="B713" s="8" t="s">
        <v>862</v>
      </c>
      <c r="C713" s="1" t="str">
        <f>RIGHT(ProductInfo[[#This Row],[Drawing No]],1)</f>
        <v>4</v>
      </c>
      <c r="D713" s="181" t="s">
        <v>2444</v>
      </c>
      <c r="E713" s="19"/>
      <c r="F71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3" s="41"/>
      <c r="H713" s="59">
        <v>100</v>
      </c>
      <c r="I713" s="1">
        <f>COUNTA(ProductInfo[[#This Row],[P1]:[P15]])</f>
        <v>0</v>
      </c>
      <c r="J7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s="1" customFormat="1">
      <c r="A714" s="8" t="s">
        <v>863</v>
      </c>
      <c r="B714" s="8" t="s">
        <v>863</v>
      </c>
      <c r="C714" s="1" t="str">
        <f>RIGHT(ProductInfo[[#This Row],[Drawing No]],1)</f>
        <v>5</v>
      </c>
      <c r="D714" s="181" t="s">
        <v>2444</v>
      </c>
      <c r="E714" s="19"/>
      <c r="F71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4" s="41"/>
      <c r="H714" s="59">
        <v>100</v>
      </c>
      <c r="I714" s="1">
        <f>COUNTA(ProductInfo[[#This Row],[P1]:[P15]])</f>
        <v>0</v>
      </c>
      <c r="J7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s="1" customFormat="1">
      <c r="A715" s="8" t="s">
        <v>864</v>
      </c>
      <c r="B715" s="8" t="s">
        <v>864</v>
      </c>
      <c r="C715" s="1" t="str">
        <f>RIGHT(ProductInfo[[#This Row],[Drawing No]],1)</f>
        <v>6</v>
      </c>
      <c r="D715" s="179" t="s">
        <v>3011</v>
      </c>
      <c r="E715" s="18"/>
      <c r="F71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5" s="32"/>
      <c r="H715" s="59">
        <v>100</v>
      </c>
      <c r="I715" s="1">
        <f>COUNTA(ProductInfo[[#This Row],[P1]:[P15]])</f>
        <v>0</v>
      </c>
      <c r="J7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s="1" customFormat="1">
      <c r="A716" s="8" t="s">
        <v>865</v>
      </c>
      <c r="B716" s="8" t="s">
        <v>865</v>
      </c>
      <c r="C716" s="1" t="str">
        <f>RIGHT(ProductInfo[[#This Row],[Drawing No]],1)</f>
        <v>0</v>
      </c>
      <c r="D716" s="181" t="s">
        <v>2445</v>
      </c>
      <c r="E716" s="19"/>
      <c r="F71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6" s="41"/>
      <c r="H716" s="59">
        <v>100</v>
      </c>
      <c r="I716" s="1">
        <f>COUNTA(ProductInfo[[#This Row],[P1]:[P15]])</f>
        <v>0</v>
      </c>
      <c r="J7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s="1" customFormat="1">
      <c r="A717" s="8" t="s">
        <v>866</v>
      </c>
      <c r="B717" s="8" t="s">
        <v>866</v>
      </c>
      <c r="C717" s="1" t="str">
        <f>RIGHT(ProductInfo[[#This Row],[Drawing No]],1)</f>
        <v>1</v>
      </c>
      <c r="D717" s="179" t="s">
        <v>2968</v>
      </c>
      <c r="E717" s="18"/>
      <c r="F71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7" s="32"/>
      <c r="H717" s="59">
        <v>100</v>
      </c>
      <c r="I717" s="1">
        <f>COUNTA(ProductInfo[[#This Row],[P1]:[P15]])</f>
        <v>0</v>
      </c>
      <c r="J7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s="1" customFormat="1">
      <c r="A718" s="8" t="s">
        <v>867</v>
      </c>
      <c r="B718" s="8" t="s">
        <v>867</v>
      </c>
      <c r="C718" s="1" t="str">
        <f>RIGHT(ProductInfo[[#This Row],[Drawing No]],1)</f>
        <v>1</v>
      </c>
      <c r="D718" s="181" t="s">
        <v>2446</v>
      </c>
      <c r="E718" s="19"/>
      <c r="F71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8" s="41"/>
      <c r="H718" s="59">
        <v>100</v>
      </c>
      <c r="I718" s="1">
        <f>COUNTA(ProductInfo[[#This Row],[P1]:[P15]])</f>
        <v>0</v>
      </c>
      <c r="J7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s="1" customFormat="1">
      <c r="A719" s="8" t="s">
        <v>868</v>
      </c>
      <c r="B719" s="8" t="s">
        <v>868</v>
      </c>
      <c r="C719" s="1" t="str">
        <f>RIGHT(ProductInfo[[#This Row],[Drawing No]],1)</f>
        <v>0</v>
      </c>
      <c r="D719" s="181" t="s">
        <v>2447</v>
      </c>
      <c r="E719" s="19"/>
      <c r="F71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19" s="41"/>
      <c r="H719" s="59">
        <v>100</v>
      </c>
      <c r="I719" s="1">
        <f>COUNTA(ProductInfo[[#This Row],[P1]:[P15]])</f>
        <v>0</v>
      </c>
      <c r="J7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s="1" customFormat="1">
      <c r="A720" s="8" t="s">
        <v>869</v>
      </c>
      <c r="B720" s="8" t="s">
        <v>869</v>
      </c>
      <c r="C720" s="1" t="str">
        <f>RIGHT(ProductInfo[[#This Row],[Drawing No]],1)</f>
        <v>2</v>
      </c>
      <c r="D720" s="179" t="s">
        <v>2969</v>
      </c>
      <c r="E720" s="18"/>
      <c r="F72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0" s="32"/>
      <c r="H720" s="59">
        <v>100</v>
      </c>
      <c r="I720" s="1">
        <f>COUNTA(ProductInfo[[#This Row],[P1]:[P15]])</f>
        <v>0</v>
      </c>
      <c r="J7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s="1" customFormat="1">
      <c r="A721" s="8" t="s">
        <v>870</v>
      </c>
      <c r="B721" s="8" t="s">
        <v>870</v>
      </c>
      <c r="C721" s="1" t="str">
        <f>RIGHT(ProductInfo[[#This Row],[Drawing No]],1)</f>
        <v>0</v>
      </c>
      <c r="D721" s="179" t="s">
        <v>2970</v>
      </c>
      <c r="E721" s="18"/>
      <c r="F72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1" s="32"/>
      <c r="H721" s="59">
        <v>100</v>
      </c>
      <c r="I721" s="1">
        <f>COUNTA(ProductInfo[[#This Row],[P1]:[P15]])</f>
        <v>0</v>
      </c>
      <c r="J7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s="1" customFormat="1">
      <c r="A722" s="8" t="s">
        <v>871</v>
      </c>
      <c r="B722" s="8" t="s">
        <v>871</v>
      </c>
      <c r="C722" s="1" t="str">
        <f>RIGHT(ProductInfo[[#This Row],[Drawing No]],1)</f>
        <v>0</v>
      </c>
      <c r="D722" s="179" t="s">
        <v>3012</v>
      </c>
      <c r="E722" s="18"/>
      <c r="F72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2" s="32"/>
      <c r="H722" s="59">
        <v>100</v>
      </c>
      <c r="I722" s="1">
        <f>COUNTA(ProductInfo[[#This Row],[P1]:[P15]])</f>
        <v>0</v>
      </c>
      <c r="J7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s="1" customFormat="1">
      <c r="A723" s="8" t="s">
        <v>872</v>
      </c>
      <c r="B723" s="8" t="s">
        <v>872</v>
      </c>
      <c r="C723" s="1" t="str">
        <f>RIGHT(ProductInfo[[#This Row],[Drawing No]],1)</f>
        <v>2</v>
      </c>
      <c r="D723" s="181" t="s">
        <v>2448</v>
      </c>
      <c r="E723" s="19"/>
      <c r="F72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3" s="41"/>
      <c r="H723" s="59">
        <v>100</v>
      </c>
      <c r="I723" s="1">
        <f>COUNTA(ProductInfo[[#This Row],[P1]:[P15]])</f>
        <v>0</v>
      </c>
      <c r="J7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s="1" customFormat="1">
      <c r="A724" s="8" t="s">
        <v>873</v>
      </c>
      <c r="B724" s="88" t="s">
        <v>873</v>
      </c>
      <c r="C724" s="1" t="str">
        <f>RIGHT(ProductInfo[[#This Row],[Drawing No]],1)</f>
        <v>0</v>
      </c>
      <c r="D724" s="181" t="s">
        <v>2449</v>
      </c>
      <c r="E724" s="19"/>
      <c r="F72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4" s="41"/>
      <c r="H724" s="59">
        <v>100</v>
      </c>
      <c r="I724" s="1">
        <f>COUNTA(ProductInfo[[#This Row],[P1]:[P15]])</f>
        <v>0</v>
      </c>
      <c r="J7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s="1" customFormat="1">
      <c r="A725" s="8" t="s">
        <v>874</v>
      </c>
      <c r="B725" s="8" t="s">
        <v>4245</v>
      </c>
      <c r="C725" s="1" t="str">
        <f>RIGHT(ProductInfo[[#This Row],[Drawing No]],1)</f>
        <v>2</v>
      </c>
      <c r="D725" s="181" t="s">
        <v>6567</v>
      </c>
      <c r="E725" s="19" t="s">
        <v>6529</v>
      </c>
      <c r="F725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25" s="41" t="s">
        <v>6437</v>
      </c>
      <c r="H725" s="59">
        <v>110</v>
      </c>
      <c r="I725" s="1">
        <f>COUNTA(ProductInfo[[#This Row],[P1]:[P15]])</f>
        <v>4</v>
      </c>
      <c r="J7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25" s="7" t="s">
        <v>12</v>
      </c>
      <c r="M725" s="7" t="s">
        <v>13</v>
      </c>
      <c r="N725" s="7" t="s">
        <v>15</v>
      </c>
      <c r="O725" s="7" t="s">
        <v>16</v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s="1" customFormat="1" ht="19.8">
      <c r="A726" s="8" t="s">
        <v>875</v>
      </c>
      <c r="B726" s="8" t="s">
        <v>6203</v>
      </c>
      <c r="C726" s="1" t="str">
        <f>RIGHT(ProductInfo[[#This Row],[Drawing No]],1)</f>
        <v>0</v>
      </c>
      <c r="D726" s="181" t="s">
        <v>2450</v>
      </c>
      <c r="E726" s="121" t="s">
        <v>6530</v>
      </c>
      <c r="F726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26" s="60">
        <v>85.5</v>
      </c>
      <c r="H726" s="59">
        <v>100</v>
      </c>
      <c r="I726" s="1">
        <f>COUNTA(ProductInfo[[#This Row],[P1]:[P15]])</f>
        <v>3</v>
      </c>
      <c r="J7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26" s="7" t="s">
        <v>12</v>
      </c>
      <c r="M726" s="7" t="s">
        <v>13</v>
      </c>
      <c r="N726" s="7"/>
      <c r="O726" s="7"/>
      <c r="P726" s="7"/>
      <c r="Q726" s="7" t="s">
        <v>16</v>
      </c>
      <c r="R726" s="7"/>
      <c r="S726" s="7"/>
      <c r="T726" s="7"/>
      <c r="U726" s="7"/>
      <c r="V726" s="7"/>
      <c r="W726" s="7"/>
      <c r="X726" s="7"/>
      <c r="Y726" s="7"/>
      <c r="Z726" s="7"/>
    </row>
    <row r="727" spans="1:26" s="1" customFormat="1">
      <c r="A727" s="8" t="s">
        <v>876</v>
      </c>
      <c r="B727" s="8" t="s">
        <v>876</v>
      </c>
      <c r="C727" s="1" t="str">
        <f>RIGHT(ProductInfo[[#This Row],[Drawing No]],1)</f>
        <v>1</v>
      </c>
      <c r="D727" s="181" t="s">
        <v>2451</v>
      </c>
      <c r="E727" s="19"/>
      <c r="F72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7" s="41"/>
      <c r="H727" s="59">
        <v>100</v>
      </c>
      <c r="I727" s="1">
        <f>COUNTA(ProductInfo[[#This Row],[P1]:[P15]])</f>
        <v>0</v>
      </c>
      <c r="J7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s="1" customFormat="1">
      <c r="A728" s="8" t="s">
        <v>877</v>
      </c>
      <c r="B728" s="8" t="s">
        <v>877</v>
      </c>
      <c r="C728" s="1" t="str">
        <f>RIGHT(ProductInfo[[#This Row],[Drawing No]],1)</f>
        <v>3</v>
      </c>
      <c r="D728" s="179" t="s">
        <v>3013</v>
      </c>
      <c r="E728" s="18"/>
      <c r="F72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8" s="32"/>
      <c r="H728" s="59">
        <v>100</v>
      </c>
      <c r="I728" s="1">
        <f>COUNTA(ProductInfo[[#This Row],[P1]:[P15]])</f>
        <v>0</v>
      </c>
      <c r="J7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s="1" customFormat="1">
      <c r="A729" s="8" t="s">
        <v>878</v>
      </c>
      <c r="B729" s="8" t="s">
        <v>878</v>
      </c>
      <c r="C729" s="1" t="str">
        <f>RIGHT(ProductInfo[[#This Row],[Drawing No]],1)</f>
        <v>0</v>
      </c>
      <c r="D729" s="181" t="s">
        <v>2452</v>
      </c>
      <c r="E729" s="19"/>
      <c r="F72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29" s="41"/>
      <c r="H729" s="59">
        <v>100</v>
      </c>
      <c r="I729" s="1">
        <f>COUNTA(ProductInfo[[#This Row],[P1]:[P15]])</f>
        <v>0</v>
      </c>
      <c r="J7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s="1" customFormat="1">
      <c r="A730" s="8" t="s">
        <v>879</v>
      </c>
      <c r="B730" s="8" t="s">
        <v>879</v>
      </c>
      <c r="C730" s="1" t="str">
        <f>RIGHT(ProductInfo[[#This Row],[Drawing No]],1)</f>
        <v>1</v>
      </c>
      <c r="D730" s="179" t="s">
        <v>3014</v>
      </c>
      <c r="E730" s="18"/>
      <c r="F73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0" s="32"/>
      <c r="H730" s="59">
        <v>100</v>
      </c>
      <c r="I730" s="1">
        <f>COUNTA(ProductInfo[[#This Row],[P1]:[P15]])</f>
        <v>0</v>
      </c>
      <c r="J7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s="1" customFormat="1">
      <c r="A731" s="8" t="s">
        <v>880</v>
      </c>
      <c r="B731" s="8" t="s">
        <v>880</v>
      </c>
      <c r="C731" s="1" t="str">
        <f>RIGHT(ProductInfo[[#This Row],[Drawing No]],1)</f>
        <v>2</v>
      </c>
      <c r="D731" s="181" t="s">
        <v>2453</v>
      </c>
      <c r="E731" s="19"/>
      <c r="F73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1" s="41"/>
      <c r="H731" s="59">
        <v>100</v>
      </c>
      <c r="I731" s="1">
        <f>COUNTA(ProductInfo[[#This Row],[P1]:[P15]])</f>
        <v>0</v>
      </c>
      <c r="J7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s="1" customFormat="1">
      <c r="A732" s="8" t="s">
        <v>881</v>
      </c>
      <c r="B732" s="8" t="s">
        <v>3659</v>
      </c>
      <c r="C732" s="1" t="str">
        <f>RIGHT(ProductInfo[[#This Row],[Drawing No]],1)</f>
        <v>4</v>
      </c>
      <c r="D732" s="179" t="s">
        <v>3015</v>
      </c>
      <c r="E732" s="18" t="s">
        <v>7030</v>
      </c>
      <c r="F732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32" s="3">
        <v>78.5</v>
      </c>
      <c r="H732" s="59">
        <v>100</v>
      </c>
      <c r="I732" s="1">
        <f>COUNTA(ProductInfo[[#This Row],[P1]:[P15]])</f>
        <v>4</v>
      </c>
      <c r="J7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32" s="7" t="s">
        <v>12</v>
      </c>
      <c r="M732" s="7" t="s">
        <v>13</v>
      </c>
      <c r="N732" s="7" t="s">
        <v>15</v>
      </c>
      <c r="O732" s="7" t="s">
        <v>16</v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s="1" customFormat="1">
      <c r="A733" s="8" t="s">
        <v>6406</v>
      </c>
      <c r="B733" s="8" t="s">
        <v>4153</v>
      </c>
      <c r="C733" s="1" t="str">
        <f>RIGHT(ProductInfo[[#This Row],[Drawing No]],1)</f>
        <v>5</v>
      </c>
      <c r="D733" s="181" t="s">
        <v>2454</v>
      </c>
      <c r="E733" s="19" t="s">
        <v>4561</v>
      </c>
      <c r="F733" s="27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733" s="60">
        <v>110.5</v>
      </c>
      <c r="H733" s="59">
        <v>100</v>
      </c>
      <c r="I733" s="1">
        <f>COUNTA(ProductInfo[[#This Row],[P1]:[P15]])</f>
        <v>4</v>
      </c>
      <c r="J7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33" s="7" t="s">
        <v>12</v>
      </c>
      <c r="M733" s="7" t="s">
        <v>13</v>
      </c>
      <c r="N733" s="7" t="s">
        <v>15</v>
      </c>
      <c r="O733" s="7" t="s">
        <v>16</v>
      </c>
      <c r="P733" s="7"/>
      <c r="Q733" s="4"/>
      <c r="R733" s="7"/>
      <c r="S733" s="7"/>
      <c r="T733" s="7"/>
      <c r="U733" s="7"/>
      <c r="V733" s="7"/>
      <c r="W733" s="7"/>
      <c r="X733" s="7"/>
      <c r="Y733" s="7"/>
      <c r="Z733" s="7"/>
    </row>
    <row r="734" spans="1:26" s="1" customFormat="1">
      <c r="A734" s="8" t="s">
        <v>882</v>
      </c>
      <c r="B734" s="8" t="s">
        <v>882</v>
      </c>
      <c r="C734" s="1" t="str">
        <f>RIGHT(ProductInfo[[#This Row],[Drawing No]],1)</f>
        <v>1</v>
      </c>
      <c r="D734" s="181" t="s">
        <v>2455</v>
      </c>
      <c r="E734" s="19"/>
      <c r="F73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4" s="41"/>
      <c r="H734" s="59">
        <v>100</v>
      </c>
      <c r="I734" s="1">
        <f>COUNTA(ProductInfo[[#This Row],[P1]:[P15]])</f>
        <v>0</v>
      </c>
      <c r="J7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s="1" customFormat="1" ht="19.8">
      <c r="A735" s="8" t="s">
        <v>883</v>
      </c>
      <c r="B735" s="8" t="s">
        <v>6205</v>
      </c>
      <c r="C735" s="1" t="str">
        <f>RIGHT(ProductInfo[[#This Row],[Drawing No]],1)</f>
        <v>1</v>
      </c>
      <c r="D735" s="181" t="s">
        <v>3175</v>
      </c>
      <c r="E735" s="121" t="s">
        <v>6530</v>
      </c>
      <c r="F735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35" s="60">
        <v>85.5</v>
      </c>
      <c r="H735" s="59">
        <v>100</v>
      </c>
      <c r="I735" s="1">
        <f>COUNTA(ProductInfo[[#This Row],[P1]:[P15]])</f>
        <v>3</v>
      </c>
      <c r="J7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35" s="7" t="s">
        <v>12</v>
      </c>
      <c r="M735" s="7" t="s">
        <v>13</v>
      </c>
      <c r="N735" s="7"/>
      <c r="O735" s="7"/>
      <c r="P735" s="7"/>
      <c r="Q735" s="7" t="s">
        <v>16</v>
      </c>
      <c r="R735" s="7"/>
      <c r="S735" s="7"/>
      <c r="T735" s="7"/>
      <c r="U735" s="7"/>
      <c r="V735" s="7"/>
      <c r="W735" s="7"/>
      <c r="X735" s="7"/>
      <c r="Y735" s="7"/>
      <c r="Z735" s="7"/>
    </row>
    <row r="736" spans="1:26" s="1" customFormat="1">
      <c r="A736" s="8" t="s">
        <v>884</v>
      </c>
      <c r="B736" s="8" t="s">
        <v>884</v>
      </c>
      <c r="C736" s="1" t="str">
        <f>RIGHT(ProductInfo[[#This Row],[Drawing No]],1)</f>
        <v>0</v>
      </c>
      <c r="D736" s="181" t="s">
        <v>2456</v>
      </c>
      <c r="E736" s="19"/>
      <c r="F73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6" s="41"/>
      <c r="H736" s="59">
        <v>100</v>
      </c>
      <c r="I736" s="1">
        <f>COUNTA(ProductInfo[[#This Row],[P1]:[P15]])</f>
        <v>0</v>
      </c>
      <c r="J7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s="1" customFormat="1">
      <c r="A737" s="8" t="s">
        <v>885</v>
      </c>
      <c r="B737" s="8" t="s">
        <v>885</v>
      </c>
      <c r="C737" s="1" t="str">
        <f>RIGHT(ProductInfo[[#This Row],[Drawing No]],1)</f>
        <v>1</v>
      </c>
      <c r="D737" s="181" t="s">
        <v>2457</v>
      </c>
      <c r="E737" s="19"/>
      <c r="F73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7" s="41"/>
      <c r="H737" s="59">
        <v>100</v>
      </c>
      <c r="I737" s="1">
        <f>COUNTA(ProductInfo[[#This Row],[P1]:[P15]])</f>
        <v>0</v>
      </c>
      <c r="J7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s="1" customFormat="1">
      <c r="A738" s="8" t="s">
        <v>886</v>
      </c>
      <c r="B738" s="8" t="s">
        <v>886</v>
      </c>
      <c r="C738" s="1" t="str">
        <f>RIGHT(ProductInfo[[#This Row],[Drawing No]],1)</f>
        <v>1</v>
      </c>
      <c r="D738" s="181" t="s">
        <v>2458</v>
      </c>
      <c r="E738" s="19"/>
      <c r="F73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38" s="41"/>
      <c r="H738" s="59">
        <v>100</v>
      </c>
      <c r="I738" s="1">
        <f>COUNTA(ProductInfo[[#This Row],[P1]:[P15]])</f>
        <v>0</v>
      </c>
      <c r="J7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s="1" customFormat="1" ht="19.8">
      <c r="A739" s="8" t="s">
        <v>887</v>
      </c>
      <c r="B739" s="8" t="s">
        <v>3667</v>
      </c>
      <c r="C739" s="1" t="str">
        <f>RIGHT(ProductInfo[[#This Row],[Drawing No]],1)</f>
        <v>0</v>
      </c>
      <c r="D739" s="179" t="s">
        <v>3016</v>
      </c>
      <c r="E739" s="121" t="s">
        <v>6530</v>
      </c>
      <c r="F739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39" s="3">
        <v>78.5</v>
      </c>
      <c r="H739" s="59">
        <v>100</v>
      </c>
      <c r="I739" s="1">
        <f>COUNTA(ProductInfo[[#This Row],[P1]:[P15]])</f>
        <v>3</v>
      </c>
      <c r="J7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39" s="7" t="s">
        <v>12</v>
      </c>
      <c r="M739" s="7" t="s">
        <v>13</v>
      </c>
      <c r="N739" s="7" t="s">
        <v>16</v>
      </c>
      <c r="O739" s="7"/>
      <c r="P739" s="7"/>
      <c r="Q739" s="7"/>
      <c r="R739" s="4"/>
      <c r="S739" s="7"/>
      <c r="T739" s="4"/>
      <c r="U739" s="4"/>
      <c r="V739" s="4"/>
      <c r="W739" s="4"/>
      <c r="X739" s="4"/>
      <c r="Y739" s="4"/>
      <c r="Z739" s="4"/>
    </row>
    <row r="740" spans="1:26" s="1" customFormat="1" ht="19.8">
      <c r="A740" s="8" t="s">
        <v>888</v>
      </c>
      <c r="B740" s="8" t="s">
        <v>888</v>
      </c>
      <c r="C740" s="1" t="str">
        <f>RIGHT(ProductInfo[[#This Row],[Drawing No]],1)</f>
        <v>3</v>
      </c>
      <c r="D740" s="179" t="s">
        <v>3017</v>
      </c>
      <c r="E740" s="121" t="s">
        <v>6530</v>
      </c>
      <c r="F740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40" s="3">
        <v>78.5</v>
      </c>
      <c r="H740" s="59">
        <v>100</v>
      </c>
      <c r="I740" s="1">
        <f>COUNTA(ProductInfo[[#This Row],[P1]:[P15]])</f>
        <v>3</v>
      </c>
      <c r="J7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40" s="7" t="s">
        <v>12</v>
      </c>
      <c r="M740" s="7" t="s">
        <v>13</v>
      </c>
      <c r="N740" s="7"/>
      <c r="O740" s="7"/>
      <c r="P740" s="7"/>
      <c r="Q740" s="7" t="s">
        <v>16</v>
      </c>
      <c r="R740" s="7"/>
      <c r="S740" s="7"/>
      <c r="T740" s="7"/>
      <c r="U740" s="7"/>
      <c r="V740" s="7"/>
      <c r="W740" s="7"/>
      <c r="X740" s="7"/>
      <c r="Y740" s="7"/>
      <c r="Z740" s="7"/>
    </row>
    <row r="741" spans="1:26" s="1" customFormat="1">
      <c r="A741" s="8" t="s">
        <v>889</v>
      </c>
      <c r="B741" s="8" t="s">
        <v>3338</v>
      </c>
      <c r="C741" s="1" t="str">
        <f>RIGHT(ProductInfo[[#This Row],[Drawing No]],1)</f>
        <v>7</v>
      </c>
      <c r="D741" s="176" t="s">
        <v>2901</v>
      </c>
      <c r="E741" s="16" t="s">
        <v>3527</v>
      </c>
      <c r="F741" s="23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741" s="59">
        <v>28</v>
      </c>
      <c r="H741" s="59">
        <v>100</v>
      </c>
      <c r="I741" s="1">
        <f>COUNTA(ProductInfo[[#This Row],[P1]:[P15]])</f>
        <v>4</v>
      </c>
      <c r="J7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41" s="7" t="s">
        <v>12</v>
      </c>
      <c r="M741" s="7" t="s">
        <v>13</v>
      </c>
      <c r="N741" s="7" t="s">
        <v>15</v>
      </c>
      <c r="O741" s="7" t="s">
        <v>16</v>
      </c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s="1" customFormat="1">
      <c r="A742" s="8" t="s">
        <v>890</v>
      </c>
      <c r="B742" s="8" t="s">
        <v>4889</v>
      </c>
      <c r="C742" s="2" t="str">
        <f>RIGHT(ProductInfo[[#This Row],[Drawing No]],1)</f>
        <v>0</v>
      </c>
      <c r="D742" s="176" t="s">
        <v>4890</v>
      </c>
      <c r="E742" s="16" t="s">
        <v>4561</v>
      </c>
      <c r="F742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742" s="31" t="s">
        <v>4898</v>
      </c>
      <c r="H742" s="31" t="s">
        <v>4899</v>
      </c>
      <c r="I742" s="1">
        <f>COUNTA(ProductInfo[[#This Row],[P1]:[P15]])</f>
        <v>3</v>
      </c>
      <c r="J7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42" s="4" t="s">
        <v>12</v>
      </c>
      <c r="M742" s="4" t="s">
        <v>13</v>
      </c>
      <c r="N742" s="4"/>
      <c r="O742" s="4"/>
      <c r="P742" s="7"/>
      <c r="Q742" s="4" t="s">
        <v>15</v>
      </c>
      <c r="R742" s="4"/>
      <c r="S742" s="4"/>
      <c r="T742" s="4"/>
      <c r="U742" s="4"/>
      <c r="V742" s="4"/>
      <c r="W742" s="4"/>
      <c r="X742" s="4"/>
      <c r="Y742" s="4"/>
      <c r="Z742" s="4"/>
    </row>
    <row r="743" spans="1:26" s="1" customFormat="1">
      <c r="A743" s="8" t="s">
        <v>891</v>
      </c>
      <c r="B743" s="8" t="s">
        <v>891</v>
      </c>
      <c r="C743" s="1" t="str">
        <f>RIGHT(ProductInfo[[#This Row],[Drawing No]],1)</f>
        <v>0</v>
      </c>
      <c r="D743" s="181" t="s">
        <v>2902</v>
      </c>
      <c r="E743" s="19"/>
      <c r="F74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3" s="41"/>
      <c r="H743" s="59">
        <v>100</v>
      </c>
      <c r="I743" s="1">
        <f>COUNTA(ProductInfo[[#This Row],[P1]:[P15]])</f>
        <v>0</v>
      </c>
      <c r="J7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s="1" customFormat="1">
      <c r="A744" s="8" t="s">
        <v>892</v>
      </c>
      <c r="B744" s="8" t="s">
        <v>892</v>
      </c>
      <c r="C744" s="1" t="str">
        <f>RIGHT(ProductInfo[[#This Row],[Drawing No]],1)</f>
        <v>1</v>
      </c>
      <c r="D744" s="179" t="s">
        <v>2971</v>
      </c>
      <c r="E744" s="18"/>
      <c r="F74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4" s="32"/>
      <c r="H744" s="59">
        <v>100</v>
      </c>
      <c r="I744" s="1">
        <f>COUNTA(ProductInfo[[#This Row],[P1]:[P15]])</f>
        <v>0</v>
      </c>
      <c r="J7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s="1" customFormat="1">
      <c r="A745" s="8" t="s">
        <v>893</v>
      </c>
      <c r="B745" s="8" t="s">
        <v>3679</v>
      </c>
      <c r="C745" s="1" t="str">
        <f>RIGHT(ProductInfo[[#This Row],[Drawing No]],1)</f>
        <v>5</v>
      </c>
      <c r="D745" s="181" t="s">
        <v>2459</v>
      </c>
      <c r="E745" s="19"/>
      <c r="F74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5" s="41"/>
      <c r="H745" s="59">
        <v>100</v>
      </c>
      <c r="I745" s="1">
        <f>COUNTA(ProductInfo[[#This Row],[P1]:[P15]])</f>
        <v>4</v>
      </c>
      <c r="J7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45" s="7" t="s">
        <v>12</v>
      </c>
      <c r="M745" s="7" t="s">
        <v>13</v>
      </c>
      <c r="N745" s="7" t="s">
        <v>15</v>
      </c>
      <c r="O745" s="7" t="s">
        <v>16</v>
      </c>
      <c r="P745" s="7"/>
      <c r="Q745" s="4"/>
      <c r="R745" s="7"/>
      <c r="S745" s="7"/>
      <c r="T745" s="7"/>
      <c r="U745" s="7"/>
      <c r="V745" s="7"/>
      <c r="W745" s="7"/>
      <c r="X745" s="7"/>
      <c r="Y745" s="7"/>
      <c r="Z745" s="7"/>
    </row>
    <row r="746" spans="1:26" s="1" customFormat="1">
      <c r="A746" s="8" t="s">
        <v>894</v>
      </c>
      <c r="B746" s="8" t="s">
        <v>894</v>
      </c>
      <c r="C746" s="1" t="str">
        <f>RIGHT(ProductInfo[[#This Row],[Drawing No]],1)</f>
        <v>1</v>
      </c>
      <c r="D746" s="181" t="s">
        <v>2459</v>
      </c>
      <c r="E746" s="19"/>
      <c r="F74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6" s="41"/>
      <c r="H746" s="59">
        <v>100</v>
      </c>
      <c r="I746" s="1">
        <f>COUNTA(ProductInfo[[#This Row],[P1]:[P15]])</f>
        <v>0</v>
      </c>
      <c r="J7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s="1" customFormat="1">
      <c r="A747" s="8" t="s">
        <v>895</v>
      </c>
      <c r="B747" s="72" t="s">
        <v>4153</v>
      </c>
      <c r="C747" s="1" t="str">
        <f>RIGHT(ProductInfo[[#This Row],[Drawing No]],1)</f>
        <v>5</v>
      </c>
      <c r="D747" s="179" t="s">
        <v>2972</v>
      </c>
      <c r="E747" s="18" t="s">
        <v>7030</v>
      </c>
      <c r="F747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47" s="32" t="s">
        <v>6437</v>
      </c>
      <c r="H747" s="59">
        <v>110</v>
      </c>
      <c r="I747" s="1">
        <f>COUNTA(ProductInfo[[#This Row],[P1]:[P15]])</f>
        <v>0</v>
      </c>
      <c r="J7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s="1" customFormat="1">
      <c r="A748" s="8" t="s">
        <v>896</v>
      </c>
      <c r="B748" s="8" t="s">
        <v>896</v>
      </c>
      <c r="C748" s="1" t="str">
        <f>RIGHT(ProductInfo[[#This Row],[Drawing No]],1)</f>
        <v>0</v>
      </c>
      <c r="D748" s="181" t="s">
        <v>2460</v>
      </c>
      <c r="E748" s="19"/>
      <c r="F74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8" s="41"/>
      <c r="H748" s="59">
        <v>100</v>
      </c>
      <c r="I748" s="1">
        <f>COUNTA(ProductInfo[[#This Row],[P1]:[P15]])</f>
        <v>0</v>
      </c>
      <c r="J7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s="1" customFormat="1">
      <c r="A749" s="8" t="s">
        <v>897</v>
      </c>
      <c r="B749" s="8" t="s">
        <v>897</v>
      </c>
      <c r="C749" s="1" t="str">
        <f>RIGHT(ProductInfo[[#This Row],[Drawing No]],1)</f>
        <v>0</v>
      </c>
      <c r="D749" s="181" t="s">
        <v>2461</v>
      </c>
      <c r="E749" s="19"/>
      <c r="F74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49" s="41"/>
      <c r="H749" s="59">
        <v>100</v>
      </c>
      <c r="I749" s="1">
        <f>COUNTA(ProductInfo[[#This Row],[P1]:[P15]])</f>
        <v>0</v>
      </c>
      <c r="J7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s="1" customFormat="1">
      <c r="A750" s="8" t="s">
        <v>898</v>
      </c>
      <c r="B750" s="8" t="s">
        <v>898</v>
      </c>
      <c r="C750" s="1" t="str">
        <f>RIGHT(ProductInfo[[#This Row],[Drawing No]],1)</f>
        <v>3</v>
      </c>
      <c r="D750" s="179" t="s">
        <v>3018</v>
      </c>
      <c r="E750" s="18"/>
      <c r="F75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0" s="32"/>
      <c r="H750" s="59">
        <v>100</v>
      </c>
      <c r="I750" s="1">
        <f>COUNTA(ProductInfo[[#This Row],[P1]:[P15]])</f>
        <v>0</v>
      </c>
      <c r="J7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s="1" customFormat="1" ht="19.8">
      <c r="A751" s="8" t="s">
        <v>899</v>
      </c>
      <c r="B751" s="8" t="s">
        <v>3661</v>
      </c>
      <c r="C751" s="1" t="str">
        <f>RIGHT(ProductInfo[[#This Row],[Drawing No]],1)</f>
        <v>8</v>
      </c>
      <c r="D751" s="181" t="s">
        <v>2462</v>
      </c>
      <c r="E751" s="121" t="s">
        <v>6530</v>
      </c>
      <c r="F751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51" s="60">
        <v>78.5</v>
      </c>
      <c r="H751" s="59">
        <v>100</v>
      </c>
      <c r="I751" s="1">
        <f>COUNTA(ProductInfo[[#This Row],[P1]:[P15]])</f>
        <v>3</v>
      </c>
      <c r="J7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51" s="7" t="s">
        <v>12</v>
      </c>
      <c r="M751" s="7" t="s">
        <v>13</v>
      </c>
      <c r="N751" s="7"/>
      <c r="O751" s="7"/>
      <c r="P751" s="7"/>
      <c r="Q751" s="7" t="s">
        <v>16</v>
      </c>
      <c r="R751" s="7"/>
      <c r="S751" s="7"/>
      <c r="T751" s="7"/>
      <c r="U751" s="7"/>
      <c r="V751" s="7"/>
      <c r="W751" s="7"/>
      <c r="X751" s="7"/>
      <c r="Y751" s="7"/>
      <c r="Z751" s="7"/>
    </row>
    <row r="752" spans="1:26" s="1" customFormat="1">
      <c r="A752" s="8" t="s">
        <v>900</v>
      </c>
      <c r="B752" s="8" t="s">
        <v>900</v>
      </c>
      <c r="C752" s="1" t="str">
        <f>RIGHT(ProductInfo[[#This Row],[Drawing No]],1)</f>
        <v>2</v>
      </c>
      <c r="D752" s="179" t="s">
        <v>3019</v>
      </c>
      <c r="E752" s="18" t="s">
        <v>3441</v>
      </c>
      <c r="F752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752" s="3">
        <v>78.5</v>
      </c>
      <c r="H752" s="59">
        <v>100</v>
      </c>
      <c r="I752" s="1">
        <f>COUNTA(ProductInfo[[#This Row],[P1]:[P15]])</f>
        <v>4</v>
      </c>
      <c r="J7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52" s="7" t="s">
        <v>12</v>
      </c>
      <c r="M752" s="7" t="s">
        <v>13</v>
      </c>
      <c r="N752" s="7"/>
      <c r="O752" s="7"/>
      <c r="P752" s="7"/>
      <c r="Q752" s="7" t="s">
        <v>15</v>
      </c>
      <c r="R752" s="7" t="s">
        <v>16</v>
      </c>
      <c r="S752" s="7"/>
      <c r="T752" s="7"/>
      <c r="U752" s="7"/>
      <c r="V752" s="7"/>
      <c r="W752" s="7"/>
      <c r="X752" s="7"/>
      <c r="Y752" s="7"/>
      <c r="Z752" s="7"/>
    </row>
    <row r="753" spans="1:26" s="1" customFormat="1" ht="28.8">
      <c r="A753" s="8" t="s">
        <v>901</v>
      </c>
      <c r="B753" s="8" t="s">
        <v>3661</v>
      </c>
      <c r="C753" s="1" t="str">
        <f>RIGHT(ProductInfo[[#This Row],[Drawing No]],1)</f>
        <v>8</v>
      </c>
      <c r="D753" s="179" t="s">
        <v>3020</v>
      </c>
      <c r="E753" s="18" t="s">
        <v>3404</v>
      </c>
      <c r="F753" s="26" t="str">
        <f>IFERROR(INDEX(MaterialCode[รายละเอียด],MATCH(ProductInfo[[#This Row],[Material Code]],MaterialCode[Material Code],0)),"ไม่พบวัตถุดิบ")</f>
        <v>เพลาอลูมีเนียม โต 60 มม.         (ยังของเหลือบางส่วน)</v>
      </c>
      <c r="G753" s="3">
        <v>78.5</v>
      </c>
      <c r="H753" s="59">
        <v>100</v>
      </c>
      <c r="I753" s="1">
        <f>COUNTA(ProductInfo[[#This Row],[P1]:[P15]])</f>
        <v>4</v>
      </c>
      <c r="J7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53" s="7" t="s">
        <v>12</v>
      </c>
      <c r="M753" s="7" t="s">
        <v>13</v>
      </c>
      <c r="N753" s="4" t="s">
        <v>15</v>
      </c>
      <c r="O753" s="4" t="s">
        <v>16</v>
      </c>
      <c r="P753" s="7"/>
      <c r="Q753" s="4"/>
      <c r="R753" s="7"/>
      <c r="S753" s="7"/>
      <c r="T753" s="7"/>
      <c r="U753" s="7"/>
      <c r="V753" s="7"/>
      <c r="W753" s="7"/>
      <c r="X753" s="7"/>
      <c r="Y753" s="7"/>
      <c r="Z753" s="7"/>
    </row>
    <row r="754" spans="1:26" s="1" customFormat="1" ht="19.8">
      <c r="A754" s="8" t="s">
        <v>902</v>
      </c>
      <c r="B754" s="8" t="s">
        <v>4153</v>
      </c>
      <c r="C754" s="1" t="str">
        <f>RIGHT(ProductInfo[[#This Row],[Drawing No]],1)</f>
        <v>5</v>
      </c>
      <c r="D754" s="181" t="s">
        <v>2463</v>
      </c>
      <c r="E754" s="121" t="s">
        <v>6530</v>
      </c>
      <c r="F754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54" s="60">
        <v>85.5</v>
      </c>
      <c r="H754" s="59">
        <v>100</v>
      </c>
      <c r="I754" s="1">
        <f>COUNTA(ProductInfo[[#This Row],[P1]:[P15]])</f>
        <v>4</v>
      </c>
      <c r="J7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54" s="7" t="s">
        <v>12</v>
      </c>
      <c r="M754" s="7" t="s">
        <v>13</v>
      </c>
      <c r="N754" s="7" t="s">
        <v>15</v>
      </c>
      <c r="O754" s="7" t="s">
        <v>16</v>
      </c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s="1" customFormat="1">
      <c r="A755" s="8" t="s">
        <v>903</v>
      </c>
      <c r="B755" s="8" t="s">
        <v>903</v>
      </c>
      <c r="C755" s="1" t="str">
        <f>RIGHT(ProductInfo[[#This Row],[Drawing No]],1)</f>
        <v>0</v>
      </c>
      <c r="D755" s="181" t="s">
        <v>2464</v>
      </c>
      <c r="E755" s="19"/>
      <c r="F75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5" s="41"/>
      <c r="H755" s="59">
        <v>100</v>
      </c>
      <c r="I755" s="1">
        <f>COUNTA(ProductInfo[[#This Row],[P1]:[P15]])</f>
        <v>0</v>
      </c>
      <c r="J7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s="1" customFormat="1">
      <c r="A756" s="8" t="s">
        <v>904</v>
      </c>
      <c r="B756" s="8" t="s">
        <v>904</v>
      </c>
      <c r="C756" s="1" t="str">
        <f>RIGHT(ProductInfo[[#This Row],[Drawing No]],1)</f>
        <v>1</v>
      </c>
      <c r="D756" s="179" t="s">
        <v>3021</v>
      </c>
      <c r="E756" s="18"/>
      <c r="F75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6" s="32"/>
      <c r="H756" s="59">
        <v>100</v>
      </c>
      <c r="I756" s="1">
        <f>COUNTA(ProductInfo[[#This Row],[P1]:[P15]])</f>
        <v>0</v>
      </c>
      <c r="J7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s="1" customFormat="1">
      <c r="A757" s="8" t="s">
        <v>905</v>
      </c>
      <c r="B757" s="8" t="s">
        <v>905</v>
      </c>
      <c r="C757" s="1" t="str">
        <f>RIGHT(ProductInfo[[#This Row],[Drawing No]],1)</f>
        <v>1</v>
      </c>
      <c r="D757" s="181" t="s">
        <v>2465</v>
      </c>
      <c r="E757" s="19"/>
      <c r="F75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7" s="41"/>
      <c r="H757" s="59">
        <v>100</v>
      </c>
      <c r="I757" s="1">
        <f>COUNTA(ProductInfo[[#This Row],[P1]:[P15]])</f>
        <v>0</v>
      </c>
      <c r="J7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s="1" customFormat="1">
      <c r="A758" s="8" t="s">
        <v>906</v>
      </c>
      <c r="B758" s="8" t="s">
        <v>906</v>
      </c>
      <c r="C758" s="1" t="str">
        <f>RIGHT(ProductInfo[[#This Row],[Drawing No]],1)</f>
        <v>2</v>
      </c>
      <c r="D758" s="181" t="s">
        <v>2466</v>
      </c>
      <c r="E758" s="19"/>
      <c r="F758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8" s="41"/>
      <c r="H758" s="59">
        <v>100</v>
      </c>
      <c r="I758" s="1">
        <f>COUNTA(ProductInfo[[#This Row],[P1]:[P15]])</f>
        <v>0</v>
      </c>
      <c r="J7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s="1" customFormat="1">
      <c r="A759" s="8" t="s">
        <v>907</v>
      </c>
      <c r="B759" s="8" t="s">
        <v>907</v>
      </c>
      <c r="C759" s="1" t="str">
        <f>RIGHT(ProductInfo[[#This Row],[Drawing No]],1)</f>
        <v>0</v>
      </c>
      <c r="D759" s="181" t="s">
        <v>2467</v>
      </c>
      <c r="E759" s="19"/>
      <c r="F75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59" s="41"/>
      <c r="H759" s="59">
        <v>100</v>
      </c>
      <c r="I759" s="1">
        <f>COUNTA(ProductInfo[[#This Row],[P1]:[P15]])</f>
        <v>0</v>
      </c>
      <c r="J7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s="1" customFormat="1">
      <c r="A760" s="8" t="s">
        <v>908</v>
      </c>
      <c r="B760" s="8" t="s">
        <v>908</v>
      </c>
      <c r="C760" s="1" t="str">
        <f>RIGHT(ProductInfo[[#This Row],[Drawing No]],1)</f>
        <v>3</v>
      </c>
      <c r="D760" s="179" t="s">
        <v>3023</v>
      </c>
      <c r="E760" s="18"/>
      <c r="F76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0" s="32"/>
      <c r="H760" s="59">
        <v>100</v>
      </c>
      <c r="I760" s="1">
        <f>COUNTA(ProductInfo[[#This Row],[P1]:[P15]])</f>
        <v>0</v>
      </c>
      <c r="J7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s="1" customFormat="1">
      <c r="A761" s="8" t="s">
        <v>4393</v>
      </c>
      <c r="B761" s="8" t="s">
        <v>4331</v>
      </c>
      <c r="C761" s="2" t="str">
        <f>RIGHT(ProductInfo[[#This Row],[Drawing No]],1)</f>
        <v>1</v>
      </c>
      <c r="D761" s="181" t="s">
        <v>2467</v>
      </c>
      <c r="E761" s="16" t="s">
        <v>7030</v>
      </c>
      <c r="F761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61" s="59">
        <v>83.5</v>
      </c>
      <c r="H761" s="59">
        <v>100</v>
      </c>
      <c r="I761" s="1">
        <f>COUNTA(ProductInfo[[#This Row],[P1]:[P15]])</f>
        <v>3</v>
      </c>
      <c r="J7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61" s="4" t="s">
        <v>12</v>
      </c>
      <c r="M761" s="4" t="s">
        <v>13</v>
      </c>
      <c r="N761" s="4" t="s">
        <v>15</v>
      </c>
      <c r="O761" s="7"/>
      <c r="P761" s="7"/>
      <c r="Q761" s="7"/>
      <c r="R761" s="4"/>
      <c r="S761" s="4"/>
      <c r="T761" s="4"/>
      <c r="U761" s="4"/>
      <c r="V761" s="4"/>
      <c r="W761" s="4"/>
      <c r="X761" s="4"/>
      <c r="Y761" s="4"/>
      <c r="Z761" s="4"/>
    </row>
    <row r="762" spans="1:26" s="1" customFormat="1" ht="19.8">
      <c r="A762" s="8" t="s">
        <v>909</v>
      </c>
      <c r="B762" s="8" t="s">
        <v>909</v>
      </c>
      <c r="C762" s="1" t="str">
        <f>RIGHT(ProductInfo[[#This Row],[Drawing No]],1)</f>
        <v>3</v>
      </c>
      <c r="D762" s="179" t="s">
        <v>3024</v>
      </c>
      <c r="E762" s="121" t="s">
        <v>6530</v>
      </c>
      <c r="F762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62" s="3">
        <v>78.5</v>
      </c>
      <c r="H762" s="59">
        <v>100</v>
      </c>
      <c r="I762" s="1">
        <f>COUNTA(ProductInfo[[#This Row],[P1]:[P15]])</f>
        <v>4</v>
      </c>
      <c r="J7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62" s="7" t="s">
        <v>12</v>
      </c>
      <c r="M762" s="7" t="s">
        <v>13</v>
      </c>
      <c r="N762" s="7" t="s">
        <v>15</v>
      </c>
      <c r="O762" s="7" t="s">
        <v>16</v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s="1" customFormat="1">
      <c r="A763" s="8" t="s">
        <v>910</v>
      </c>
      <c r="B763" s="8" t="s">
        <v>910</v>
      </c>
      <c r="C763" s="1" t="str">
        <f>RIGHT(ProductInfo[[#This Row],[Drawing No]],1)</f>
        <v>0</v>
      </c>
      <c r="D763" s="181" t="s">
        <v>2468</v>
      </c>
      <c r="E763" s="19"/>
      <c r="F76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3" s="41"/>
      <c r="H763" s="59">
        <v>100</v>
      </c>
      <c r="I763" s="1">
        <f>COUNTA(ProductInfo[[#This Row],[P1]:[P15]])</f>
        <v>0</v>
      </c>
      <c r="J7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s="1" customFormat="1">
      <c r="A764" s="8" t="s">
        <v>911</v>
      </c>
      <c r="B764" s="8" t="s">
        <v>911</v>
      </c>
      <c r="C764" s="1" t="str">
        <f>RIGHT(ProductInfo[[#This Row],[Drawing No]],1)</f>
        <v>1</v>
      </c>
      <c r="D764" s="179" t="s">
        <v>2973</v>
      </c>
      <c r="E764" s="18"/>
      <c r="F76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4" s="32"/>
      <c r="H764" s="59">
        <v>100</v>
      </c>
      <c r="I764" s="1">
        <f>COUNTA(ProductInfo[[#This Row],[P1]:[P15]])</f>
        <v>0</v>
      </c>
      <c r="J7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s="1" customFormat="1">
      <c r="A765" s="8" t="s">
        <v>912</v>
      </c>
      <c r="B765" s="8" t="s">
        <v>912</v>
      </c>
      <c r="C765" s="1" t="str">
        <f>RIGHT(ProductInfo[[#This Row],[Drawing No]],1)</f>
        <v>1</v>
      </c>
      <c r="D765" s="181" t="s">
        <v>2469</v>
      </c>
      <c r="E765" s="19"/>
      <c r="F76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5" s="41"/>
      <c r="H765" s="59">
        <v>100</v>
      </c>
      <c r="I765" s="1">
        <f>COUNTA(ProductInfo[[#This Row],[P1]:[P15]])</f>
        <v>0</v>
      </c>
      <c r="J7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s="1" customFormat="1">
      <c r="A766" s="8" t="s">
        <v>913</v>
      </c>
      <c r="B766" s="8" t="s">
        <v>3668</v>
      </c>
      <c r="C766" s="1" t="str">
        <f>RIGHT(ProductInfo[[#This Row],[Drawing No]],1)</f>
        <v>0</v>
      </c>
      <c r="D766" s="179" t="s">
        <v>2974</v>
      </c>
      <c r="E766" s="18" t="s">
        <v>7030</v>
      </c>
      <c r="F766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66" s="3">
        <v>78.5</v>
      </c>
      <c r="H766" s="59">
        <v>100</v>
      </c>
      <c r="I766" s="1">
        <f>COUNTA(ProductInfo[[#This Row],[P1]:[P15]])</f>
        <v>2</v>
      </c>
      <c r="J7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6" s="7" t="s">
        <v>12</v>
      </c>
      <c r="M766" s="7" t="s">
        <v>13</v>
      </c>
      <c r="N766" s="7"/>
      <c r="O766" s="7"/>
      <c r="P766" s="7"/>
      <c r="Q766" s="7"/>
      <c r="R766" s="4"/>
      <c r="S766" s="7"/>
      <c r="T766" s="4"/>
      <c r="U766" s="4"/>
      <c r="V766" s="4"/>
      <c r="W766" s="4"/>
      <c r="X766" s="4"/>
      <c r="Y766" s="4"/>
      <c r="Z766" s="4"/>
    </row>
    <row r="767" spans="1:26" s="1" customFormat="1">
      <c r="A767" s="8" t="s">
        <v>914</v>
      </c>
      <c r="B767" s="8" t="s">
        <v>914</v>
      </c>
      <c r="C767" s="1" t="str">
        <f>RIGHT(ProductInfo[[#This Row],[Drawing No]],1)</f>
        <v>2</v>
      </c>
      <c r="D767" s="181" t="s">
        <v>2470</v>
      </c>
      <c r="E767" s="19"/>
      <c r="F76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7" s="41"/>
      <c r="H767" s="59">
        <v>100</v>
      </c>
      <c r="I767" s="1">
        <f>COUNTA(ProductInfo[[#This Row],[P1]:[P15]])</f>
        <v>0</v>
      </c>
      <c r="J7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s="1" customFormat="1" ht="28.8">
      <c r="A768" s="8" t="s">
        <v>915</v>
      </c>
      <c r="B768" s="8" t="s">
        <v>3661</v>
      </c>
      <c r="C768" s="1" t="str">
        <f>RIGHT(ProductInfo[[#This Row],[Drawing No]],1)</f>
        <v>8</v>
      </c>
      <c r="D768" s="179" t="s">
        <v>3025</v>
      </c>
      <c r="E768" s="18" t="s">
        <v>3404</v>
      </c>
      <c r="F768" s="26" t="str">
        <f>IFERROR(INDEX(MaterialCode[รายละเอียด],MATCH(ProductInfo[[#This Row],[Material Code]],MaterialCode[Material Code],0)),"ไม่พบวัตถุดิบ")</f>
        <v>เพลาอลูมีเนียม โต 60 มม.         (ยังของเหลือบางส่วน)</v>
      </c>
      <c r="G768" s="3">
        <v>105.5</v>
      </c>
      <c r="H768" s="59">
        <v>100</v>
      </c>
      <c r="I768" s="1">
        <f>COUNTA(ProductInfo[[#This Row],[P1]:[P15]])</f>
        <v>2</v>
      </c>
      <c r="J7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8" s="7" t="s">
        <v>12</v>
      </c>
      <c r="M768" s="7" t="s">
        <v>13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s="1" customFormat="1">
      <c r="A769" s="8" t="s">
        <v>916</v>
      </c>
      <c r="B769" s="8" t="s">
        <v>916</v>
      </c>
      <c r="C769" s="1" t="str">
        <f>RIGHT(ProductInfo[[#This Row],[Drawing No]],1)</f>
        <v>0</v>
      </c>
      <c r="D769" s="181" t="s">
        <v>2471</v>
      </c>
      <c r="E769" s="19"/>
      <c r="F76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69" s="41"/>
      <c r="H769" s="59">
        <v>100</v>
      </c>
      <c r="I769" s="1">
        <f>COUNTA(ProductInfo[[#This Row],[P1]:[P15]])</f>
        <v>0</v>
      </c>
      <c r="J7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s="1" customFormat="1">
      <c r="A770" s="8" t="s">
        <v>917</v>
      </c>
      <c r="B770" s="8" t="s">
        <v>917</v>
      </c>
      <c r="C770" s="1" t="str">
        <f>RIGHT(ProductInfo[[#This Row],[Drawing No]],1)</f>
        <v>1</v>
      </c>
      <c r="D770" s="181" t="s">
        <v>2472</v>
      </c>
      <c r="E770" s="19"/>
      <c r="F770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0" s="41"/>
      <c r="H770" s="59">
        <v>100</v>
      </c>
      <c r="I770" s="1">
        <f>COUNTA(ProductInfo[[#This Row],[P1]:[P15]])</f>
        <v>0</v>
      </c>
      <c r="J7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s="1" customFormat="1">
      <c r="A771" s="8" t="s">
        <v>918</v>
      </c>
      <c r="B771" s="8" t="s">
        <v>918</v>
      </c>
      <c r="C771" s="1" t="str">
        <f>RIGHT(ProductInfo[[#This Row],[Drawing No]],1)</f>
        <v>0</v>
      </c>
      <c r="D771" s="181" t="s">
        <v>2473</v>
      </c>
      <c r="E771" s="19"/>
      <c r="F77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1" s="41"/>
      <c r="H771" s="59">
        <v>100</v>
      </c>
      <c r="I771" s="1">
        <f>COUNTA(ProductInfo[[#This Row],[P1]:[P15]])</f>
        <v>0</v>
      </c>
      <c r="J7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s="1" customFormat="1">
      <c r="A772" s="8" t="s">
        <v>919</v>
      </c>
      <c r="B772" s="8" t="s">
        <v>6436</v>
      </c>
      <c r="C772" s="1" t="str">
        <f>RIGHT(ProductInfo[[#This Row],[Drawing No]],1)</f>
        <v>1</v>
      </c>
      <c r="D772" s="181" t="s">
        <v>2474</v>
      </c>
      <c r="E772" s="19" t="s">
        <v>7030</v>
      </c>
      <c r="F772" s="27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72" s="41" t="s">
        <v>6437</v>
      </c>
      <c r="H772" s="59">
        <v>110</v>
      </c>
      <c r="I772" s="1">
        <f>COUNTA(ProductInfo[[#This Row],[P1]:[P15]])</f>
        <v>4</v>
      </c>
      <c r="J7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72" s="7" t="s">
        <v>12</v>
      </c>
      <c r="M772" s="7" t="s">
        <v>13</v>
      </c>
      <c r="N772" s="7" t="s">
        <v>15</v>
      </c>
      <c r="O772" s="7" t="s">
        <v>16</v>
      </c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s="1" customFormat="1">
      <c r="A773" s="8" t="s">
        <v>920</v>
      </c>
      <c r="B773" s="8" t="s">
        <v>920</v>
      </c>
      <c r="C773" s="1" t="str">
        <f>RIGHT(ProductInfo[[#This Row],[Drawing No]],1)</f>
        <v>2</v>
      </c>
      <c r="D773" s="179" t="s">
        <v>3026</v>
      </c>
      <c r="E773" s="18"/>
      <c r="F77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3" s="32"/>
      <c r="H773" s="59">
        <v>100</v>
      </c>
      <c r="I773" s="1">
        <f>COUNTA(ProductInfo[[#This Row],[P1]:[P15]])</f>
        <v>0</v>
      </c>
      <c r="J7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s="1" customFormat="1">
      <c r="A774" s="8" t="s">
        <v>921</v>
      </c>
      <c r="B774" s="8" t="s">
        <v>921</v>
      </c>
      <c r="C774" s="1" t="str">
        <f>RIGHT(ProductInfo[[#This Row],[Drawing No]],1)</f>
        <v>2</v>
      </c>
      <c r="D774" s="179" t="s">
        <v>2969</v>
      </c>
      <c r="E774" s="18"/>
      <c r="F77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4" s="32"/>
      <c r="H774" s="59">
        <v>100</v>
      </c>
      <c r="I774" s="1">
        <f>COUNTA(ProductInfo[[#This Row],[P1]:[P15]])</f>
        <v>0</v>
      </c>
      <c r="J7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s="1" customFormat="1">
      <c r="A775" s="8" t="s">
        <v>922</v>
      </c>
      <c r="B775" s="8" t="s">
        <v>922</v>
      </c>
      <c r="C775" s="1" t="str">
        <f>RIGHT(ProductInfo[[#This Row],[Drawing No]],1)</f>
        <v>2</v>
      </c>
      <c r="D775" s="181" t="s">
        <v>2475</v>
      </c>
      <c r="E775" s="19"/>
      <c r="F77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5" s="41"/>
      <c r="H775" s="59">
        <v>100</v>
      </c>
      <c r="I775" s="1">
        <f>COUNTA(ProductInfo[[#This Row],[P1]:[P15]])</f>
        <v>0</v>
      </c>
      <c r="J7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s="1" customFormat="1">
      <c r="A776" s="8" t="s">
        <v>923</v>
      </c>
      <c r="B776" s="8" t="s">
        <v>923</v>
      </c>
      <c r="C776" s="1" t="str">
        <f>RIGHT(ProductInfo[[#This Row],[Drawing No]],1)</f>
        <v>0</v>
      </c>
      <c r="D776" s="179" t="s">
        <v>924</v>
      </c>
      <c r="E776" s="18"/>
      <c r="F77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6" s="32"/>
      <c r="H776" s="59">
        <v>100</v>
      </c>
      <c r="I776" s="1">
        <f>COUNTA(ProductInfo[[#This Row],[P1]:[P15]])</f>
        <v>0</v>
      </c>
      <c r="J7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s="1" customFormat="1">
      <c r="A777" s="8" t="s">
        <v>925</v>
      </c>
      <c r="B777" s="8" t="s">
        <v>925</v>
      </c>
      <c r="C777" s="1" t="str">
        <f>RIGHT(ProductInfo[[#This Row],[Drawing No]],1)</f>
        <v>0</v>
      </c>
      <c r="D777" s="181" t="s">
        <v>2821</v>
      </c>
      <c r="E777" s="19"/>
      <c r="F77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7" s="41"/>
      <c r="H777" s="59">
        <v>100</v>
      </c>
      <c r="I777" s="1">
        <f>COUNTA(ProductInfo[[#This Row],[P1]:[P15]])</f>
        <v>0</v>
      </c>
      <c r="J7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s="1" customFormat="1">
      <c r="A778" s="8" t="s">
        <v>926</v>
      </c>
      <c r="B778" s="8" t="s">
        <v>926</v>
      </c>
      <c r="C778" s="1" t="str">
        <f>RIGHT(ProductInfo[[#This Row],[Drawing No]],1)</f>
        <v>2</v>
      </c>
      <c r="D778" s="179" t="s">
        <v>3027</v>
      </c>
      <c r="E778" s="18"/>
      <c r="F77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78" s="32"/>
      <c r="H778" s="59">
        <v>100</v>
      </c>
      <c r="I778" s="1">
        <f>COUNTA(ProductInfo[[#This Row],[P1]:[P15]])</f>
        <v>0</v>
      </c>
      <c r="J7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s="1" customFormat="1" ht="19.8">
      <c r="A779" s="8" t="s">
        <v>2287</v>
      </c>
      <c r="B779" s="8" t="s">
        <v>6745</v>
      </c>
      <c r="C779" s="1" t="str">
        <f>RIGHT(ProductInfo[[#This Row],[Drawing No]],1)</f>
        <v>1</v>
      </c>
      <c r="D779" s="179" t="s">
        <v>3028</v>
      </c>
      <c r="E779" s="121" t="s">
        <v>6530</v>
      </c>
      <c r="F779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79" s="3">
        <v>78.5</v>
      </c>
      <c r="H779" s="59">
        <v>100</v>
      </c>
      <c r="I779" s="1">
        <f>COUNTA(ProductInfo[[#This Row],[P1]:[P15]])</f>
        <v>4</v>
      </c>
      <c r="J7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79" s="7" t="s">
        <v>12</v>
      </c>
      <c r="M779" s="7" t="s">
        <v>13</v>
      </c>
      <c r="N779" s="7" t="s">
        <v>15</v>
      </c>
      <c r="O779" s="7" t="s">
        <v>16</v>
      </c>
      <c r="P779" s="7"/>
      <c r="Q779" s="7"/>
      <c r="R779" s="4"/>
      <c r="S779" s="7"/>
      <c r="T779" s="4"/>
      <c r="U779" s="4"/>
      <c r="V779" s="4"/>
      <c r="W779" s="4"/>
      <c r="X779" s="4"/>
      <c r="Y779" s="4"/>
      <c r="Z779" s="4"/>
    </row>
    <row r="780" spans="1:26" ht="19.8">
      <c r="A780" s="8" t="s">
        <v>927</v>
      </c>
      <c r="B780" s="8" t="s">
        <v>3669</v>
      </c>
      <c r="C780" s="1" t="str">
        <f>RIGHT(ProductInfo[[#This Row],[Drawing No]],1)</f>
        <v>0</v>
      </c>
      <c r="D780" s="181" t="s">
        <v>2476</v>
      </c>
      <c r="E780" s="121" t="s">
        <v>6530</v>
      </c>
      <c r="F780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80" s="60">
        <v>78.5</v>
      </c>
      <c r="H780" s="59">
        <v>100</v>
      </c>
      <c r="I780" s="1">
        <f>COUNTA(ProductInfo[[#This Row],[P1]:[P15]])</f>
        <v>2</v>
      </c>
      <c r="J7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0" s="7" t="s">
        <v>12</v>
      </c>
      <c r="M780" s="7" t="s">
        <v>13</v>
      </c>
      <c r="N780" s="7"/>
      <c r="O780" s="7"/>
      <c r="S780" s="7"/>
    </row>
    <row r="781" spans="1:26" s="1" customFormat="1">
      <c r="A781" s="8" t="s">
        <v>4907</v>
      </c>
      <c r="B781" s="8" t="s">
        <v>4906</v>
      </c>
      <c r="C781" s="2" t="str">
        <f>RIGHT(ProductInfo[[#This Row],[Drawing No]],1)</f>
        <v>0</v>
      </c>
      <c r="D781" s="176" t="s">
        <v>4858</v>
      </c>
      <c r="E781" s="16" t="s">
        <v>7030</v>
      </c>
      <c r="F781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781" s="59">
        <v>85.5</v>
      </c>
      <c r="H781" s="59">
        <v>100</v>
      </c>
      <c r="I781" s="1">
        <f>COUNTA(ProductInfo[[#This Row],[P1]:[P15]])</f>
        <v>3</v>
      </c>
      <c r="J7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81" s="4" t="s">
        <v>12</v>
      </c>
      <c r="M781" s="4" t="s">
        <v>13</v>
      </c>
      <c r="N781" s="4"/>
      <c r="O781" s="4" t="s">
        <v>15</v>
      </c>
      <c r="P781" s="7"/>
      <c r="Q781" s="7"/>
      <c r="R781" s="4"/>
      <c r="S781" s="4"/>
      <c r="T781" s="4"/>
      <c r="U781" s="4"/>
      <c r="V781" s="4"/>
      <c r="W781" s="4"/>
      <c r="X781" s="4"/>
      <c r="Y781" s="4"/>
      <c r="Z781" s="4"/>
    </row>
    <row r="782" spans="1:26" s="1" customFormat="1">
      <c r="A782" s="8" t="s">
        <v>928</v>
      </c>
      <c r="B782" s="8" t="s">
        <v>928</v>
      </c>
      <c r="C782" s="1" t="str">
        <f>RIGHT(ProductInfo[[#This Row],[Drawing No]],1)</f>
        <v>1</v>
      </c>
      <c r="D782" s="179" t="s">
        <v>2822</v>
      </c>
      <c r="E782" s="18"/>
      <c r="F78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82" s="32"/>
      <c r="H782" s="59">
        <v>100</v>
      </c>
      <c r="I782" s="1">
        <f>COUNTA(ProductInfo[[#This Row],[P1]:[P15]])</f>
        <v>0</v>
      </c>
      <c r="J7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s="1" customFormat="1">
      <c r="A783" s="8" t="s">
        <v>929</v>
      </c>
      <c r="B783" s="8" t="s">
        <v>3670</v>
      </c>
      <c r="C783" s="1" t="str">
        <f>RIGHT(ProductInfo[[#This Row],[Drawing No]],1)</f>
        <v>0</v>
      </c>
      <c r="D783" s="181" t="s">
        <v>2477</v>
      </c>
      <c r="E783" s="19" t="s">
        <v>6529</v>
      </c>
      <c r="F783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83" s="60">
        <v>88.5</v>
      </c>
      <c r="H783" s="59">
        <v>100</v>
      </c>
      <c r="I783" s="1">
        <f>COUNTA(ProductInfo[[#This Row],[P1]:[P15]])</f>
        <v>3</v>
      </c>
      <c r="J7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83" s="7" t="s">
        <v>12</v>
      </c>
      <c r="M783" s="7" t="s">
        <v>13</v>
      </c>
      <c r="N783" s="4"/>
      <c r="O783" s="7" t="s">
        <v>15</v>
      </c>
      <c r="P783" s="7"/>
      <c r="Q783" s="7"/>
      <c r="R783" s="7"/>
      <c r="S783" s="7"/>
      <c r="T783" s="4"/>
      <c r="U783" s="4"/>
      <c r="V783" s="4"/>
      <c r="W783" s="4"/>
      <c r="X783" s="4"/>
      <c r="Y783" s="4"/>
      <c r="Z783" s="4"/>
    </row>
    <row r="784" spans="1:26" s="1" customFormat="1">
      <c r="A784" s="8" t="s">
        <v>930</v>
      </c>
      <c r="B784" s="8" t="s">
        <v>5470</v>
      </c>
      <c r="C784" s="1" t="str">
        <f>RIGHT(ProductInfo[[#This Row],[Drawing No]],1)</f>
        <v>0</v>
      </c>
      <c r="D784" s="181" t="s">
        <v>2478</v>
      </c>
      <c r="E784" s="19" t="s">
        <v>6529</v>
      </c>
      <c r="F784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84" s="41" t="s">
        <v>5471</v>
      </c>
      <c r="H784" s="59">
        <v>100</v>
      </c>
      <c r="I784" s="1">
        <f>COUNTA(ProductInfo[[#This Row],[P1]:[P15]])</f>
        <v>2</v>
      </c>
      <c r="J7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4" s="7" t="s">
        <v>12</v>
      </c>
      <c r="M784" s="7" t="s">
        <v>13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s="1" customFormat="1">
      <c r="A785" s="8" t="s">
        <v>931</v>
      </c>
      <c r="B785" s="8" t="s">
        <v>931</v>
      </c>
      <c r="C785" s="1" t="str">
        <f>RIGHT(ProductInfo[[#This Row],[Drawing No]],1)</f>
        <v>0</v>
      </c>
      <c r="D785" s="181" t="s">
        <v>2479</v>
      </c>
      <c r="E785" s="19"/>
      <c r="F78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85" s="41"/>
      <c r="H785" s="59">
        <v>100</v>
      </c>
      <c r="I785" s="1">
        <f>COUNTA(ProductInfo[[#This Row],[P1]:[P15]])</f>
        <v>0</v>
      </c>
      <c r="J7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s="1" customFormat="1" ht="19.8">
      <c r="A786" s="8" t="s">
        <v>4679</v>
      </c>
      <c r="B786" s="8" t="s">
        <v>4680</v>
      </c>
      <c r="C786" s="2" t="str">
        <f>RIGHT(ProductInfo[[#This Row],[Drawing No]],1)</f>
        <v>0</v>
      </c>
      <c r="D786" s="176" t="s">
        <v>2479</v>
      </c>
      <c r="E786" s="121" t="s">
        <v>6530</v>
      </c>
      <c r="F786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786" s="59">
        <v>85.5</v>
      </c>
      <c r="H786" s="59">
        <v>100</v>
      </c>
      <c r="I786" s="1">
        <f>COUNTA(ProductInfo[[#This Row],[P1]:[P15]])</f>
        <v>3</v>
      </c>
      <c r="J7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86" s="7" t="s">
        <v>12</v>
      </c>
      <c r="M786" s="7" t="s">
        <v>13</v>
      </c>
      <c r="N786" s="7"/>
      <c r="O786" s="4" t="s">
        <v>15</v>
      </c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s="1" customFormat="1">
      <c r="A787" s="8" t="s">
        <v>932</v>
      </c>
      <c r="B787" s="8" t="s">
        <v>932</v>
      </c>
      <c r="C787" s="1" t="str">
        <f>RIGHT(ProductInfo[[#This Row],[Drawing No]],1)</f>
        <v>2</v>
      </c>
      <c r="D787" s="176" t="s">
        <v>2903</v>
      </c>
      <c r="E787" s="18" t="s">
        <v>6529</v>
      </c>
      <c r="F78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87" s="3">
        <v>46.5</v>
      </c>
      <c r="H787" s="3">
        <v>110</v>
      </c>
      <c r="I787" s="1">
        <f>COUNTA(ProductInfo[[#This Row],[P1]:[P15]])</f>
        <v>2</v>
      </c>
      <c r="J7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87" s="7" t="s">
        <v>12</v>
      </c>
      <c r="M787" s="7" t="s">
        <v>13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s="1" customFormat="1">
      <c r="A788" s="8" t="s">
        <v>933</v>
      </c>
      <c r="B788" s="8" t="s">
        <v>933</v>
      </c>
      <c r="C788" s="1" t="str">
        <f>RIGHT(ProductInfo[[#This Row],[Drawing No]],1)</f>
        <v>0</v>
      </c>
      <c r="D788" s="179" t="s">
        <v>2975</v>
      </c>
      <c r="E788" s="18" t="s">
        <v>6529</v>
      </c>
      <c r="F788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88" s="3">
        <v>59.8</v>
      </c>
      <c r="H788" s="59">
        <v>100</v>
      </c>
      <c r="I788" s="1">
        <f>COUNTA(ProductInfo[[#This Row],[P1]:[P15]])</f>
        <v>4</v>
      </c>
      <c r="J7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88" s="7" t="s">
        <v>12</v>
      </c>
      <c r="M788" s="7" t="s">
        <v>13</v>
      </c>
      <c r="N788" s="7" t="s">
        <v>15</v>
      </c>
      <c r="O788" s="7" t="s">
        <v>16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s="1" customFormat="1">
      <c r="A789" s="8" t="s">
        <v>934</v>
      </c>
      <c r="B789" s="8" t="s">
        <v>934</v>
      </c>
      <c r="C789" s="1" t="str">
        <f>RIGHT(ProductInfo[[#This Row],[Drawing No]],1)</f>
        <v>1</v>
      </c>
      <c r="D789" s="176" t="s">
        <v>2480</v>
      </c>
      <c r="E789" s="18" t="s">
        <v>6529</v>
      </c>
      <c r="F78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89" s="59">
        <v>75</v>
      </c>
      <c r="H789" s="59">
        <v>100</v>
      </c>
      <c r="I789" s="1">
        <f>COUNTA(ProductInfo[[#This Row],[P1]:[P15]])</f>
        <v>4</v>
      </c>
      <c r="J7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89" s="7" t="s">
        <v>12</v>
      </c>
      <c r="M789" s="7" t="s">
        <v>13</v>
      </c>
      <c r="N789" s="7" t="s">
        <v>15</v>
      </c>
      <c r="O789" s="7" t="s">
        <v>16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s="1" customFormat="1">
      <c r="A790" s="8" t="s">
        <v>935</v>
      </c>
      <c r="B790" s="8" t="s">
        <v>935</v>
      </c>
      <c r="C790" s="1" t="str">
        <f>RIGHT(ProductInfo[[#This Row],[Drawing No]],1)</f>
        <v>0</v>
      </c>
      <c r="D790" s="176" t="s">
        <v>2481</v>
      </c>
      <c r="E790" s="16"/>
      <c r="F7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0" s="31"/>
      <c r="H790" s="59">
        <v>100</v>
      </c>
      <c r="I790" s="1">
        <f>COUNTA(ProductInfo[[#This Row],[P1]:[P15]])</f>
        <v>0</v>
      </c>
      <c r="J7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s="1" customFormat="1">
      <c r="A791" s="8" t="s">
        <v>936</v>
      </c>
      <c r="B791" s="8" t="s">
        <v>936</v>
      </c>
      <c r="C791" s="1" t="str">
        <f>RIGHT(ProductInfo[[#This Row],[Drawing No]],1)</f>
        <v>0</v>
      </c>
      <c r="D791" s="176" t="s">
        <v>2482</v>
      </c>
      <c r="E791" s="16"/>
      <c r="F7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1" s="31"/>
      <c r="H791" s="59">
        <v>100</v>
      </c>
      <c r="I791" s="1">
        <f>COUNTA(ProductInfo[[#This Row],[P1]:[P15]])</f>
        <v>0</v>
      </c>
      <c r="J7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s="1" customFormat="1">
      <c r="A792" s="8" t="s">
        <v>937</v>
      </c>
      <c r="B792" s="8" t="s">
        <v>937</v>
      </c>
      <c r="C792" s="1" t="str">
        <f>RIGHT(ProductInfo[[#This Row],[Drawing No]],1)</f>
        <v>0</v>
      </c>
      <c r="D792" s="182" t="s">
        <v>2483</v>
      </c>
      <c r="E792" s="16"/>
      <c r="F7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2" s="31"/>
      <c r="H792" s="59">
        <v>100</v>
      </c>
      <c r="I792" s="1">
        <f>COUNTA(ProductInfo[[#This Row],[P1]:[P15]])</f>
        <v>0</v>
      </c>
      <c r="J7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s="1" customFormat="1">
      <c r="A793" s="8" t="s">
        <v>938</v>
      </c>
      <c r="B793" s="8" t="s">
        <v>938</v>
      </c>
      <c r="C793" s="1" t="str">
        <f>RIGHT(ProductInfo[[#This Row],[Drawing No]],1)</f>
        <v>0</v>
      </c>
      <c r="D793" s="182" t="s">
        <v>2484</v>
      </c>
      <c r="E793" s="16"/>
      <c r="F7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3" s="31"/>
      <c r="H793" s="59">
        <v>100</v>
      </c>
      <c r="I793" s="1">
        <f>COUNTA(ProductInfo[[#This Row],[P1]:[P15]])</f>
        <v>0</v>
      </c>
      <c r="J7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s="1" customFormat="1">
      <c r="A794" s="8" t="s">
        <v>939</v>
      </c>
      <c r="B794" s="8" t="s">
        <v>939</v>
      </c>
      <c r="C794" s="1" t="str">
        <f>RIGHT(ProductInfo[[#This Row],[Drawing No]],1)</f>
        <v>0</v>
      </c>
      <c r="D794" s="182" t="s">
        <v>2485</v>
      </c>
      <c r="E794" s="18" t="s">
        <v>6529</v>
      </c>
      <c r="F79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94" s="59">
        <v>65</v>
      </c>
      <c r="H794" s="59">
        <v>100</v>
      </c>
      <c r="I794" s="1">
        <f>COUNTA(ProductInfo[[#This Row],[P1]:[P15]])</f>
        <v>4</v>
      </c>
      <c r="J7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794" s="7" t="s">
        <v>12</v>
      </c>
      <c r="M794" s="7" t="s">
        <v>13</v>
      </c>
      <c r="N794" s="7" t="s">
        <v>15</v>
      </c>
      <c r="O794" s="7" t="s">
        <v>16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s="1" customFormat="1">
      <c r="A795" s="8" t="s">
        <v>940</v>
      </c>
      <c r="B795" s="8" t="s">
        <v>6538</v>
      </c>
      <c r="C795" s="1" t="str">
        <f>RIGHT(ProductInfo[[#This Row],[Drawing No]],1)</f>
        <v>1</v>
      </c>
      <c r="D795" s="182" t="s">
        <v>7048</v>
      </c>
      <c r="E795" s="16" t="s">
        <v>3510</v>
      </c>
      <c r="F795" s="23" t="str">
        <f>IFERROR(INDEX(MaterialCode[รายละเอียด],MATCH(ProductInfo[[#This Row],[Material Code]],MaterialCode[Material Code],0)),"ไม่พบวัตถุดิบ")</f>
        <v>เพลาอลูมีเนียมโต 22.5 มม.</v>
      </c>
      <c r="G795" s="59" t="s">
        <v>6521</v>
      </c>
      <c r="H795" s="59">
        <v>100</v>
      </c>
      <c r="I795" s="1">
        <f>COUNTA(ProductInfo[[#This Row],[P1]:[P15]])</f>
        <v>3</v>
      </c>
      <c r="J7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795" s="7" t="s">
        <v>12</v>
      </c>
      <c r="M795" s="7" t="s">
        <v>13</v>
      </c>
      <c r="N795" s="7" t="s">
        <v>15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s="1" customFormat="1">
      <c r="A796" s="8" t="s">
        <v>941</v>
      </c>
      <c r="B796" s="8" t="s">
        <v>3635</v>
      </c>
      <c r="C796" s="1" t="str">
        <f>RIGHT(ProductInfo[[#This Row],[Drawing No]],1)</f>
        <v>0</v>
      </c>
      <c r="D796" s="182" t="s">
        <v>2487</v>
      </c>
      <c r="E796" s="16" t="s">
        <v>6529</v>
      </c>
      <c r="F79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796" s="59">
        <v>57.5</v>
      </c>
      <c r="H796" s="59">
        <v>100</v>
      </c>
      <c r="I796" s="1">
        <f>COUNTA(ProductInfo[[#This Row],[P1]:[P15]])</f>
        <v>2</v>
      </c>
      <c r="J7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7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6" s="7" t="s">
        <v>12</v>
      </c>
      <c r="M796" s="7" t="s">
        <v>13</v>
      </c>
      <c r="N796" s="7"/>
      <c r="O796" s="7"/>
      <c r="P796" s="7"/>
      <c r="Q796" s="7"/>
      <c r="R796" s="4"/>
      <c r="S796" s="7"/>
      <c r="T796" s="4"/>
      <c r="U796" s="4"/>
      <c r="V796" s="4"/>
      <c r="W796" s="4"/>
      <c r="X796" s="4"/>
      <c r="Y796" s="4"/>
      <c r="Z796" s="4"/>
    </row>
    <row r="797" spans="1:26" s="1" customFormat="1">
      <c r="A797" s="8" t="s">
        <v>942</v>
      </c>
      <c r="B797" s="8" t="s">
        <v>942</v>
      </c>
      <c r="C797" s="1" t="str">
        <f>RIGHT(ProductInfo[[#This Row],[Drawing No]],1)</f>
        <v>1</v>
      </c>
      <c r="D797" s="183" t="s">
        <v>2976</v>
      </c>
      <c r="E797" s="18"/>
      <c r="F79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7" s="32"/>
      <c r="H797" s="59">
        <v>100</v>
      </c>
      <c r="I797" s="1">
        <f>COUNTA(ProductInfo[[#This Row],[P1]:[P15]])</f>
        <v>0</v>
      </c>
      <c r="J7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s="1" customFormat="1">
      <c r="A798" s="8" t="s">
        <v>943</v>
      </c>
      <c r="B798" s="8" t="s">
        <v>943</v>
      </c>
      <c r="C798" s="1" t="str">
        <f>RIGHT(ProductInfo[[#This Row],[Drawing No]],1)</f>
        <v>1</v>
      </c>
      <c r="D798" s="176" t="s">
        <v>2904</v>
      </c>
      <c r="E798" s="16"/>
      <c r="F7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8" s="31"/>
      <c r="H798" s="59">
        <v>100</v>
      </c>
      <c r="I798" s="1">
        <f>COUNTA(ProductInfo[[#This Row],[P1]:[P15]])</f>
        <v>0</v>
      </c>
      <c r="J7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s="1" customFormat="1">
      <c r="A799" s="8" t="s">
        <v>944</v>
      </c>
      <c r="B799" s="8" t="s">
        <v>944</v>
      </c>
      <c r="C799" s="1" t="str">
        <f>RIGHT(ProductInfo[[#This Row],[Drawing No]],1)</f>
        <v>0</v>
      </c>
      <c r="D799" s="176" t="s">
        <v>2488</v>
      </c>
      <c r="E799" s="16"/>
      <c r="F7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799" s="31"/>
      <c r="H799" s="59">
        <v>100</v>
      </c>
      <c r="I799" s="1">
        <f>COUNTA(ProductInfo[[#This Row],[P1]:[P15]])</f>
        <v>0</v>
      </c>
      <c r="J7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7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s="1" customFormat="1">
      <c r="A800" s="8" t="s">
        <v>945</v>
      </c>
      <c r="B800" s="8" t="s">
        <v>945</v>
      </c>
      <c r="C800" s="1" t="str">
        <f>RIGHT(ProductInfo[[#This Row],[Drawing No]],1)</f>
        <v>0</v>
      </c>
      <c r="D800" s="179" t="s">
        <v>2977</v>
      </c>
      <c r="E800" s="18"/>
      <c r="F80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0" s="32"/>
      <c r="H800" s="59">
        <v>100</v>
      </c>
      <c r="I800" s="1">
        <f>COUNTA(ProductInfo[[#This Row],[P1]:[P15]])</f>
        <v>0</v>
      </c>
      <c r="J8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s="1" customFormat="1">
      <c r="A801" s="8" t="s">
        <v>946</v>
      </c>
      <c r="B801" s="8" t="s">
        <v>946</v>
      </c>
      <c r="C801" s="1" t="str">
        <f>RIGHT(ProductInfo[[#This Row],[Drawing No]],1)</f>
        <v>0</v>
      </c>
      <c r="D801" s="176" t="s">
        <v>6564</v>
      </c>
      <c r="E801" s="16"/>
      <c r="F8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1" s="31"/>
      <c r="H801" s="59">
        <v>100</v>
      </c>
      <c r="I801" s="1">
        <f>COUNTA(ProductInfo[[#This Row],[P1]:[P15]])</f>
        <v>0</v>
      </c>
      <c r="J8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s="1" customFormat="1">
      <c r="A802" s="8" t="s">
        <v>6418</v>
      </c>
      <c r="B802" s="8" t="s">
        <v>6417</v>
      </c>
      <c r="C802" s="1" t="str">
        <f>RIGHT(ProductInfo[[#This Row],[Drawing No]],1)</f>
        <v>0</v>
      </c>
      <c r="D802" s="176" t="s">
        <v>2823</v>
      </c>
      <c r="E802" s="16"/>
      <c r="F8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2" s="31" t="s">
        <v>6393</v>
      </c>
      <c r="H802" s="59">
        <v>100</v>
      </c>
      <c r="I802" s="1">
        <f>COUNTA(ProductInfo[[#This Row],[P1]:[P15]])</f>
        <v>3</v>
      </c>
      <c r="J8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02" s="7" t="s">
        <v>15</v>
      </c>
      <c r="M802" s="7" t="s">
        <v>12</v>
      </c>
      <c r="N802" s="7" t="s">
        <v>13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s="1" customFormat="1">
      <c r="A803" s="8" t="s">
        <v>947</v>
      </c>
      <c r="B803" s="8" t="s">
        <v>947</v>
      </c>
      <c r="C803" s="1" t="str">
        <f>RIGHT(ProductInfo[[#This Row],[Drawing No]],1)</f>
        <v>0</v>
      </c>
      <c r="D803" s="176" t="s">
        <v>2489</v>
      </c>
      <c r="E803" s="16"/>
      <c r="F8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3" s="31"/>
      <c r="H803" s="59">
        <v>100</v>
      </c>
      <c r="I803" s="1">
        <f>COUNTA(ProductInfo[[#This Row],[P1]:[P15]])</f>
        <v>0</v>
      </c>
      <c r="J8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s="1" customFormat="1">
      <c r="A804" s="8" t="s">
        <v>948</v>
      </c>
      <c r="B804" s="8" t="s">
        <v>948</v>
      </c>
      <c r="C804" s="1" t="str">
        <f>RIGHT(ProductInfo[[#This Row],[Drawing No]],1)</f>
        <v>0</v>
      </c>
      <c r="D804" s="176" t="s">
        <v>2905</v>
      </c>
      <c r="E804" s="16"/>
      <c r="F8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4" s="31"/>
      <c r="H804" s="59">
        <v>100</v>
      </c>
      <c r="I804" s="1">
        <f>COUNTA(ProductInfo[[#This Row],[P1]:[P15]])</f>
        <v>0</v>
      </c>
      <c r="J8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s="1" customFormat="1">
      <c r="A805" s="8" t="s">
        <v>949</v>
      </c>
      <c r="B805" s="8" t="s">
        <v>949</v>
      </c>
      <c r="C805" s="1" t="str">
        <f>RIGHT(ProductInfo[[#This Row],[Drawing No]],1)</f>
        <v>0</v>
      </c>
      <c r="D805" s="176" t="s">
        <v>2906</v>
      </c>
      <c r="E805" s="16"/>
      <c r="F8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5" s="31"/>
      <c r="H805" s="59">
        <v>100</v>
      </c>
      <c r="I805" s="1">
        <f>COUNTA(ProductInfo[[#This Row],[P1]:[P15]])</f>
        <v>0</v>
      </c>
      <c r="J8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s="1" customFormat="1">
      <c r="A806" s="8" t="s">
        <v>950</v>
      </c>
      <c r="B806" s="8" t="s">
        <v>3643</v>
      </c>
      <c r="C806" s="1" t="str">
        <f>RIGHT(ProductInfo[[#This Row],[Drawing No]],1)</f>
        <v>0</v>
      </c>
      <c r="D806" s="176" t="s">
        <v>2907</v>
      </c>
      <c r="E806" s="16" t="s">
        <v>6529</v>
      </c>
      <c r="F80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06" s="59">
        <v>77</v>
      </c>
      <c r="H806" s="59">
        <v>100</v>
      </c>
      <c r="I806" s="1">
        <f>COUNTA(ProductInfo[[#This Row],[P1]:[P15]])</f>
        <v>2</v>
      </c>
      <c r="J8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6" s="7" t="s">
        <v>12</v>
      </c>
      <c r="M806" s="7" t="s">
        <v>13</v>
      </c>
      <c r="N806" s="7"/>
      <c r="O806" s="7"/>
      <c r="P806" s="7"/>
      <c r="Q806" s="7"/>
      <c r="R806" s="4"/>
      <c r="S806" s="7"/>
      <c r="T806" s="4"/>
      <c r="U806" s="4"/>
      <c r="V806" s="4"/>
      <c r="W806" s="4"/>
      <c r="X806" s="4"/>
      <c r="Y806" s="4"/>
      <c r="Z806" s="4"/>
    </row>
    <row r="807" spans="1:26" s="1" customFormat="1">
      <c r="A807" s="8" t="s">
        <v>951</v>
      </c>
      <c r="B807" s="8" t="s">
        <v>951</v>
      </c>
      <c r="C807" s="1" t="str">
        <f>RIGHT(ProductInfo[[#This Row],[Drawing No]],1)</f>
        <v>3</v>
      </c>
      <c r="D807" s="181" t="s">
        <v>2908</v>
      </c>
      <c r="E807" s="19"/>
      <c r="F80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07" s="41"/>
      <c r="H807" s="59">
        <v>100</v>
      </c>
      <c r="I807" s="1">
        <f>COUNTA(ProductInfo[[#This Row],[P1]:[P15]])</f>
        <v>4</v>
      </c>
      <c r="J8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07" s="7" t="s">
        <v>12</v>
      </c>
      <c r="M807" s="7" t="s">
        <v>13</v>
      </c>
      <c r="N807" s="7" t="s">
        <v>15</v>
      </c>
      <c r="O807" s="7" t="s">
        <v>16</v>
      </c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s="1" customFormat="1">
      <c r="A808" s="8" t="s">
        <v>952</v>
      </c>
      <c r="B808" s="8" t="s">
        <v>952</v>
      </c>
      <c r="C808" s="1" t="str">
        <f>RIGHT(ProductInfo[[#This Row],[Drawing No]],1)</f>
        <v>5</v>
      </c>
      <c r="D808" s="181" t="s">
        <v>2909</v>
      </c>
      <c r="E808" s="19" t="s">
        <v>3425</v>
      </c>
      <c r="F808" s="27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รูใน 41 มม.</v>
      </c>
      <c r="G808" s="60">
        <v>30</v>
      </c>
      <c r="H808" s="59">
        <v>100</v>
      </c>
      <c r="I808" s="1">
        <f>COUNTA(ProductInfo[[#This Row],[P1]:[P15]])</f>
        <v>0</v>
      </c>
      <c r="J8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s="1" customFormat="1" ht="19.8">
      <c r="A809" s="8" t="s">
        <v>953</v>
      </c>
      <c r="B809" s="8" t="s">
        <v>3672</v>
      </c>
      <c r="C809" s="1" t="str">
        <f>RIGHT(ProductInfo[[#This Row],[Drawing No]],1)</f>
        <v>1</v>
      </c>
      <c r="D809" s="181" t="s">
        <v>2909</v>
      </c>
      <c r="E809" s="121" t="s">
        <v>6530</v>
      </c>
      <c r="F809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809" s="60">
        <v>87.5</v>
      </c>
      <c r="H809" s="59">
        <v>100</v>
      </c>
      <c r="I809" s="1">
        <f>COUNTA(ProductInfo[[#This Row],[P1]:[P15]])</f>
        <v>2</v>
      </c>
      <c r="J8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09" s="7" t="s">
        <v>12</v>
      </c>
      <c r="M809" s="7" t="s">
        <v>13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s="1" customFormat="1">
      <c r="A810" s="8" t="s">
        <v>954</v>
      </c>
      <c r="B810" s="8" t="s">
        <v>3642</v>
      </c>
      <c r="C810" s="1" t="str">
        <f>RIGHT(ProductInfo[[#This Row],[Drawing No]],1)</f>
        <v>0</v>
      </c>
      <c r="D810" s="181" t="s">
        <v>2490</v>
      </c>
      <c r="E810" s="16" t="s">
        <v>6529</v>
      </c>
      <c r="F810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10" s="60">
        <v>61</v>
      </c>
      <c r="H810" s="59">
        <v>100</v>
      </c>
      <c r="I810" s="1">
        <f>COUNTA(ProductInfo[[#This Row],[P1]:[P15]])</f>
        <v>2</v>
      </c>
      <c r="J8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0" s="7" t="s">
        <v>12</v>
      </c>
      <c r="M810" s="7" t="s">
        <v>13</v>
      </c>
      <c r="N810" s="7"/>
      <c r="O810" s="7"/>
      <c r="P810" s="7"/>
      <c r="Q810" s="7"/>
      <c r="R810" s="4"/>
      <c r="S810" s="7"/>
      <c r="T810" s="4"/>
      <c r="U810" s="4"/>
      <c r="V810" s="4"/>
      <c r="W810" s="4"/>
      <c r="X810" s="4"/>
      <c r="Y810" s="4"/>
      <c r="Z810" s="4"/>
    </row>
    <row r="811" spans="1:26" s="1" customFormat="1">
      <c r="A811" s="8" t="s">
        <v>955</v>
      </c>
      <c r="B811" s="8" t="s">
        <v>955</v>
      </c>
      <c r="C811" s="1" t="str">
        <f>RIGHT(ProductInfo[[#This Row],[Drawing No]],1)</f>
        <v>1</v>
      </c>
      <c r="D811" s="176" t="s">
        <v>2910</v>
      </c>
      <c r="E811" s="16"/>
      <c r="F8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1" s="31"/>
      <c r="H811" s="59">
        <v>100</v>
      </c>
      <c r="I811" s="1">
        <f>COUNTA(ProductInfo[[#This Row],[P1]:[P15]])</f>
        <v>0</v>
      </c>
      <c r="J8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s="1" customFormat="1">
      <c r="A812" s="8" t="s">
        <v>956</v>
      </c>
      <c r="B812" s="8" t="s">
        <v>956</v>
      </c>
      <c r="C812" s="1" t="str">
        <f>RIGHT(ProductInfo[[#This Row],[Drawing No]],1)</f>
        <v>2</v>
      </c>
      <c r="D812" s="176" t="s">
        <v>2910</v>
      </c>
      <c r="E812" s="16"/>
      <c r="F8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2" s="31"/>
      <c r="H812" s="59">
        <v>100</v>
      </c>
      <c r="I812" s="1">
        <f>COUNTA(ProductInfo[[#This Row],[P1]:[P15]])</f>
        <v>0</v>
      </c>
      <c r="J8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s="1" customFormat="1">
      <c r="A813" s="8" t="s">
        <v>957</v>
      </c>
      <c r="B813" s="8" t="s">
        <v>3636</v>
      </c>
      <c r="C813" s="1" t="str">
        <f>RIGHT(ProductInfo[[#This Row],[Drawing No]],1)</f>
        <v>0</v>
      </c>
      <c r="D813" s="176" t="s">
        <v>2911</v>
      </c>
      <c r="E813" s="16" t="s">
        <v>6529</v>
      </c>
      <c r="F81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13" s="59">
        <v>51.5</v>
      </c>
      <c r="H813" s="59">
        <v>100</v>
      </c>
      <c r="I813" s="1">
        <f>COUNTA(ProductInfo[[#This Row],[P1]:[P15]])</f>
        <v>2</v>
      </c>
      <c r="J8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3" s="7" t="s">
        <v>12</v>
      </c>
      <c r="M813" s="7" t="s">
        <v>13</v>
      </c>
      <c r="N813" s="7"/>
      <c r="O813" s="7"/>
      <c r="P813" s="7"/>
      <c r="Q813" s="7"/>
      <c r="R813" s="4"/>
      <c r="S813" s="7"/>
      <c r="T813" s="4"/>
      <c r="U813" s="4"/>
      <c r="V813" s="4"/>
      <c r="W813" s="4"/>
      <c r="X813" s="4"/>
      <c r="Y813" s="4"/>
      <c r="Z813" s="4"/>
    </row>
    <row r="814" spans="1:26" s="1" customFormat="1">
      <c r="A814" s="8" t="s">
        <v>958</v>
      </c>
      <c r="B814" s="8" t="s">
        <v>6343</v>
      </c>
      <c r="C814" s="1" t="str">
        <f>RIGHT(ProductInfo[[#This Row],[Drawing No]],1)</f>
        <v>0</v>
      </c>
      <c r="D814" s="176" t="s">
        <v>959</v>
      </c>
      <c r="E814" s="16" t="s">
        <v>6529</v>
      </c>
      <c r="F81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14" s="31" t="s">
        <v>6401</v>
      </c>
      <c r="H814" s="59">
        <v>100</v>
      </c>
      <c r="I814" s="1">
        <f>COUNTA(ProductInfo[[#This Row],[P1]:[P15]])</f>
        <v>3</v>
      </c>
      <c r="J8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14" s="7" t="s">
        <v>12</v>
      </c>
      <c r="M814" s="7" t="s">
        <v>15</v>
      </c>
      <c r="N814" s="7" t="s">
        <v>13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s="1" customFormat="1">
      <c r="A815" s="8" t="s">
        <v>960</v>
      </c>
      <c r="B815" s="8" t="s">
        <v>960</v>
      </c>
      <c r="C815" s="1" t="str">
        <f>RIGHT(ProductInfo[[#This Row],[Drawing No]],1)</f>
        <v>1</v>
      </c>
      <c r="D815" s="176" t="s">
        <v>961</v>
      </c>
      <c r="E815" s="16"/>
      <c r="F8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5" s="31"/>
      <c r="H815" s="59">
        <v>100</v>
      </c>
      <c r="I815" s="1">
        <f>COUNTA(ProductInfo[[#This Row],[P1]:[P15]])</f>
        <v>0</v>
      </c>
      <c r="J8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s="1" customFormat="1">
      <c r="A816" s="8" t="s">
        <v>962</v>
      </c>
      <c r="B816" s="8" t="s">
        <v>962</v>
      </c>
      <c r="C816" s="1" t="str">
        <f>RIGHT(ProductInfo[[#This Row],[Drawing No]],1)</f>
        <v>2</v>
      </c>
      <c r="D816" s="176" t="s">
        <v>961</v>
      </c>
      <c r="E816" s="16"/>
      <c r="F8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6" s="31"/>
      <c r="H816" s="59">
        <v>100</v>
      </c>
      <c r="I816" s="1">
        <f>COUNTA(ProductInfo[[#This Row],[P1]:[P15]])</f>
        <v>0</v>
      </c>
      <c r="J8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s="1" customFormat="1">
      <c r="A817" s="8" t="s">
        <v>963</v>
      </c>
      <c r="B817" s="8" t="s">
        <v>3636</v>
      </c>
      <c r="C817" s="1" t="str">
        <f>RIGHT(ProductInfo[[#This Row],[Drawing No]],1)</f>
        <v>0</v>
      </c>
      <c r="D817" s="179" t="s">
        <v>2824</v>
      </c>
      <c r="E817" s="18" t="s">
        <v>6529</v>
      </c>
      <c r="F817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17" s="3">
        <v>51.5</v>
      </c>
      <c r="H817" s="59">
        <v>100</v>
      </c>
      <c r="I817" s="1">
        <f>COUNTA(ProductInfo[[#This Row],[P1]:[P15]])</f>
        <v>3</v>
      </c>
      <c r="J8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17" s="7" t="s">
        <v>12</v>
      </c>
      <c r="M817" s="7" t="s">
        <v>15</v>
      </c>
      <c r="N817" s="7" t="s">
        <v>13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s="1" customFormat="1">
      <c r="A818" s="8" t="s">
        <v>964</v>
      </c>
      <c r="B818" s="8" t="s">
        <v>964</v>
      </c>
      <c r="C818" s="1" t="str">
        <f>RIGHT(ProductInfo[[#This Row],[Drawing No]],1)</f>
        <v>0</v>
      </c>
      <c r="D818" s="176" t="s">
        <v>2491</v>
      </c>
      <c r="E818" s="16"/>
      <c r="F8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8" s="31"/>
      <c r="H818" s="59">
        <v>100</v>
      </c>
      <c r="I818" s="1">
        <f>COUNTA(ProductInfo[[#This Row],[P1]:[P15]])</f>
        <v>0</v>
      </c>
      <c r="J8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s="1" customFormat="1">
      <c r="A819" s="8" t="s">
        <v>965</v>
      </c>
      <c r="B819" s="8" t="s">
        <v>965</v>
      </c>
      <c r="C819" s="1" t="str">
        <f>RIGHT(ProductInfo[[#This Row],[Drawing No]],1)</f>
        <v>0</v>
      </c>
      <c r="D819" s="176" t="s">
        <v>3029</v>
      </c>
      <c r="E819" s="16"/>
      <c r="F8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19" s="31"/>
      <c r="H819" s="59">
        <v>100</v>
      </c>
      <c r="I819" s="1">
        <f>COUNTA(ProductInfo[[#This Row],[P1]:[P15]])</f>
        <v>0</v>
      </c>
      <c r="J8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s="1" customFormat="1">
      <c r="A820" s="8" t="s">
        <v>966</v>
      </c>
      <c r="B820" s="8" t="s">
        <v>966</v>
      </c>
      <c r="C820" s="1" t="str">
        <f>RIGHT(ProductInfo[[#This Row],[Drawing No]],1)</f>
        <v>0</v>
      </c>
      <c r="D820" s="176" t="s">
        <v>2492</v>
      </c>
      <c r="E820" s="16"/>
      <c r="F8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0" s="31"/>
      <c r="H820" s="59">
        <v>100</v>
      </c>
      <c r="I820" s="1">
        <f>COUNTA(ProductInfo[[#This Row],[P1]:[P15]])</f>
        <v>0</v>
      </c>
      <c r="J8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s="1" customFormat="1">
      <c r="A821" s="8" t="s">
        <v>6431</v>
      </c>
      <c r="B821" s="8" t="s">
        <v>6430</v>
      </c>
      <c r="C821" s="1" t="str">
        <f>RIGHT(ProductInfo[[#This Row],[Drawing No]],1)</f>
        <v>0</v>
      </c>
      <c r="D821" s="176" t="s">
        <v>2493</v>
      </c>
      <c r="E821" s="16" t="s">
        <v>6529</v>
      </c>
      <c r="F82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21" s="31" t="s">
        <v>6340</v>
      </c>
      <c r="H821" s="59">
        <v>100</v>
      </c>
      <c r="I821" s="1">
        <f>COUNTA(ProductInfo[[#This Row],[P1]:[P15]])</f>
        <v>3</v>
      </c>
      <c r="J8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21" s="7" t="s">
        <v>12</v>
      </c>
      <c r="M821" s="7" t="s">
        <v>13</v>
      </c>
      <c r="N821" s="7" t="s">
        <v>15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s="1" customFormat="1">
      <c r="A822" s="8" t="s">
        <v>967</v>
      </c>
      <c r="B822" s="8" t="s">
        <v>967</v>
      </c>
      <c r="C822" s="1" t="str">
        <f>RIGHT(ProductInfo[[#This Row],[Drawing No]],1)</f>
        <v>0</v>
      </c>
      <c r="D822" s="176" t="s">
        <v>2494</v>
      </c>
      <c r="E822" s="16"/>
      <c r="F8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2" s="31"/>
      <c r="H822" s="59">
        <v>100</v>
      </c>
      <c r="I822" s="1">
        <f>COUNTA(ProductInfo[[#This Row],[P1]:[P15]])</f>
        <v>0</v>
      </c>
      <c r="J8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s="1" customFormat="1">
      <c r="A823" s="8" t="s">
        <v>968</v>
      </c>
      <c r="B823" s="8" t="s">
        <v>968</v>
      </c>
      <c r="C823" s="1" t="str">
        <f>RIGHT(ProductInfo[[#This Row],[Drawing No]],1)</f>
        <v>0</v>
      </c>
      <c r="D823" s="176" t="s">
        <v>2495</v>
      </c>
      <c r="E823" s="16"/>
      <c r="F8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3" s="31"/>
      <c r="H823" s="59">
        <v>100</v>
      </c>
      <c r="I823" s="1">
        <f>COUNTA(ProductInfo[[#This Row],[P1]:[P15]])</f>
        <v>0</v>
      </c>
      <c r="J8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s="1" customFormat="1">
      <c r="A824" s="8" t="s">
        <v>969</v>
      </c>
      <c r="B824" s="8" t="s">
        <v>969</v>
      </c>
      <c r="C824" s="1" t="str">
        <f>RIGHT(ProductInfo[[#This Row],[Drawing No]],1)</f>
        <v>0</v>
      </c>
      <c r="D824" s="176" t="s">
        <v>970</v>
      </c>
      <c r="E824" s="16"/>
      <c r="F8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4" s="31"/>
      <c r="H824" s="59">
        <v>100</v>
      </c>
      <c r="I824" s="1">
        <f>COUNTA(ProductInfo[[#This Row],[P1]:[P15]])</f>
        <v>0</v>
      </c>
      <c r="J8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s="1" customFormat="1">
      <c r="A825" s="8" t="s">
        <v>971</v>
      </c>
      <c r="B825" s="8" t="s">
        <v>3637</v>
      </c>
      <c r="C825" s="1" t="str">
        <f>RIGHT(ProductInfo[[#This Row],[Drawing No]],1)</f>
        <v>0</v>
      </c>
      <c r="D825" s="176" t="s">
        <v>2496</v>
      </c>
      <c r="E825" s="16" t="s">
        <v>6529</v>
      </c>
      <c r="F82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25" s="59">
        <v>75.5</v>
      </c>
      <c r="H825" s="59">
        <v>100</v>
      </c>
      <c r="I825" s="1">
        <f>COUNTA(ProductInfo[[#This Row],[P1]:[P15]])</f>
        <v>2</v>
      </c>
      <c r="J8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5" s="7" t="s">
        <v>12</v>
      </c>
      <c r="M825" s="7" t="s">
        <v>13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s="1" customFormat="1">
      <c r="A826" s="8" t="s">
        <v>4279</v>
      </c>
      <c r="B826" s="8" t="s">
        <v>4280</v>
      </c>
      <c r="C826" s="1" t="str">
        <f>RIGHT(ProductInfo[[#This Row],[Drawing No]],1)</f>
        <v>0</v>
      </c>
      <c r="D826" s="176" t="s">
        <v>2497</v>
      </c>
      <c r="E826" s="16" t="s">
        <v>7030</v>
      </c>
      <c r="F826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26" s="59">
        <v>74.5</v>
      </c>
      <c r="H826" s="59">
        <v>100</v>
      </c>
      <c r="I826" s="1">
        <f>COUNTA(ProductInfo[[#This Row],[P1]:[P15]])</f>
        <v>2</v>
      </c>
      <c r="J8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6" s="7" t="s">
        <v>12</v>
      </c>
      <c r="M826" s="7" t="s">
        <v>13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s="1" customFormat="1">
      <c r="A827" s="8" t="s">
        <v>972</v>
      </c>
      <c r="B827" s="8" t="s">
        <v>972</v>
      </c>
      <c r="C827" s="1" t="str">
        <f>RIGHT(ProductInfo[[#This Row],[Drawing No]],1)</f>
        <v>0</v>
      </c>
      <c r="D827" s="179" t="s">
        <v>2978</v>
      </c>
      <c r="E827" s="18"/>
      <c r="F82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7" s="32"/>
      <c r="H827" s="59">
        <v>100</v>
      </c>
      <c r="I827" s="1">
        <f>COUNTA(ProductInfo[[#This Row],[P1]:[P15]])</f>
        <v>0</v>
      </c>
      <c r="J8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s="1" customFormat="1">
      <c r="A828" s="8" t="s">
        <v>973</v>
      </c>
      <c r="B828" s="8" t="s">
        <v>973</v>
      </c>
      <c r="C828" s="1" t="str">
        <f>RIGHT(ProductInfo[[#This Row],[Drawing No]],1)</f>
        <v>0</v>
      </c>
      <c r="D828" s="176" t="s">
        <v>2498</v>
      </c>
      <c r="E828" s="16"/>
      <c r="F8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8" s="31"/>
      <c r="H828" s="59">
        <v>100</v>
      </c>
      <c r="I828" s="1">
        <f>COUNTA(ProductInfo[[#This Row],[P1]:[P15]])</f>
        <v>0</v>
      </c>
      <c r="J8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s="1" customFormat="1">
      <c r="A829" s="8" t="s">
        <v>974</v>
      </c>
      <c r="B829" s="8" t="s">
        <v>974</v>
      </c>
      <c r="C829" s="1" t="str">
        <f>RIGHT(ProductInfo[[#This Row],[Drawing No]],1)</f>
        <v>0</v>
      </c>
      <c r="D829" s="179" t="s">
        <v>2825</v>
      </c>
      <c r="E829" s="18"/>
      <c r="F82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29" s="32"/>
      <c r="H829" s="59">
        <v>100</v>
      </c>
      <c r="I829" s="1">
        <f>COUNTA(ProductInfo[[#This Row],[P1]:[P15]])</f>
        <v>0</v>
      </c>
      <c r="J8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s="1" customFormat="1">
      <c r="A830" s="8" t="s">
        <v>4672</v>
      </c>
      <c r="B830" s="8" t="s">
        <v>4671</v>
      </c>
      <c r="C830" s="2" t="str">
        <f>RIGHT(ProductInfo[[#This Row],[Drawing No]],1)</f>
        <v>0</v>
      </c>
      <c r="D830" s="176" t="s">
        <v>4673</v>
      </c>
      <c r="E830" s="16" t="s">
        <v>6529</v>
      </c>
      <c r="F83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30" s="59">
        <v>86.5</v>
      </c>
      <c r="H830" s="59">
        <v>100</v>
      </c>
      <c r="I830" s="1">
        <f>COUNTA(ProductInfo[[#This Row],[P1]:[P15]])</f>
        <v>3</v>
      </c>
      <c r="J8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30" s="4" t="s">
        <v>12</v>
      </c>
      <c r="M830" s="7" t="s">
        <v>13</v>
      </c>
      <c r="N830" s="4" t="s">
        <v>15</v>
      </c>
      <c r="O830" s="7"/>
      <c r="P830" s="7"/>
      <c r="Q830" s="7"/>
      <c r="R830" s="4"/>
      <c r="S830" s="4"/>
      <c r="T830" s="4"/>
      <c r="U830" s="4"/>
      <c r="V830" s="4"/>
      <c r="W830" s="4"/>
      <c r="X830" s="4"/>
      <c r="Y830" s="4"/>
      <c r="Z830" s="4"/>
    </row>
    <row r="831" spans="1:26" s="1" customFormat="1">
      <c r="A831" s="8" t="s">
        <v>975</v>
      </c>
      <c r="B831" s="8" t="s">
        <v>975</v>
      </c>
      <c r="C831" s="1" t="str">
        <f>RIGHT(ProductInfo[[#This Row],[Drawing No]],1)</f>
        <v>0</v>
      </c>
      <c r="D831" s="176" t="s">
        <v>2499</v>
      </c>
      <c r="E831" s="16"/>
      <c r="F8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1" s="31"/>
      <c r="H831" s="59">
        <v>100</v>
      </c>
      <c r="I831" s="1">
        <f>COUNTA(ProductInfo[[#This Row],[P1]:[P15]])</f>
        <v>0</v>
      </c>
      <c r="J8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s="1" customFormat="1">
      <c r="A832" s="8" t="s">
        <v>976</v>
      </c>
      <c r="B832" s="8" t="s">
        <v>976</v>
      </c>
      <c r="C832" s="1" t="str">
        <f>RIGHT(ProductInfo[[#This Row],[Drawing No]],1)</f>
        <v>1</v>
      </c>
      <c r="D832" s="179" t="s">
        <v>2979</v>
      </c>
      <c r="E832" s="18"/>
      <c r="F83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2" s="32"/>
      <c r="H832" s="59">
        <v>100</v>
      </c>
      <c r="I832" s="1">
        <f>COUNTA(ProductInfo[[#This Row],[P1]:[P15]])</f>
        <v>0</v>
      </c>
      <c r="J8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s="1" customFormat="1">
      <c r="A833" s="8" t="s">
        <v>977</v>
      </c>
      <c r="B833" s="8" t="s">
        <v>977</v>
      </c>
      <c r="C833" s="1" t="str">
        <f>RIGHT(ProductInfo[[#This Row],[Drawing No]],1)</f>
        <v>2</v>
      </c>
      <c r="D833" s="176" t="s">
        <v>2499</v>
      </c>
      <c r="E833" s="16"/>
      <c r="F8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3" s="31"/>
      <c r="H833" s="59">
        <v>100</v>
      </c>
      <c r="I833" s="1">
        <f>COUNTA(ProductInfo[[#This Row],[P1]:[P15]])</f>
        <v>0</v>
      </c>
      <c r="J8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s="1" customFormat="1">
      <c r="A834" s="8" t="s">
        <v>5157</v>
      </c>
      <c r="B834" s="8" t="s">
        <v>5156</v>
      </c>
      <c r="C834" s="2" t="str">
        <f>RIGHT(ProductInfo[[#This Row],[Drawing No]],1)</f>
        <v>0</v>
      </c>
      <c r="D834" s="176" t="s">
        <v>2499</v>
      </c>
      <c r="E834" s="16"/>
      <c r="F8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4" s="31"/>
      <c r="H834" s="31"/>
      <c r="I834" s="1">
        <f>COUNTA(ProductInfo[[#This Row],[P1]:[P15]])</f>
        <v>2</v>
      </c>
      <c r="J8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4" s="4" t="s">
        <v>12</v>
      </c>
      <c r="M834" s="4" t="s">
        <v>13</v>
      </c>
      <c r="N834" s="4"/>
      <c r="O834" s="4"/>
      <c r="P834" s="7"/>
      <c r="Q834" s="7"/>
      <c r="R834" s="4"/>
      <c r="S834" s="4"/>
      <c r="T834" s="4"/>
      <c r="U834" s="4"/>
      <c r="V834" s="4"/>
      <c r="W834" s="4"/>
      <c r="X834" s="4"/>
      <c r="Y834" s="4"/>
      <c r="Z834" s="4"/>
    </row>
    <row r="835" spans="1:26" s="1" customFormat="1">
      <c r="A835" s="8" t="s">
        <v>978</v>
      </c>
      <c r="B835" s="8" t="s">
        <v>978</v>
      </c>
      <c r="C835" s="1" t="str">
        <f>RIGHT(ProductInfo[[#This Row],[Drawing No]],1)</f>
        <v>0</v>
      </c>
      <c r="D835" s="176" t="s">
        <v>2500</v>
      </c>
      <c r="E835" s="16"/>
      <c r="F8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5" s="31"/>
      <c r="H835" s="59">
        <v>100</v>
      </c>
      <c r="I835" s="1">
        <f>COUNTA(ProductInfo[[#This Row],[P1]:[P15]])</f>
        <v>0</v>
      </c>
      <c r="J8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s="1" customFormat="1">
      <c r="A836" s="8" t="s">
        <v>979</v>
      </c>
      <c r="B836" s="8" t="s">
        <v>979</v>
      </c>
      <c r="C836" s="1" t="str">
        <f>RIGHT(ProductInfo[[#This Row],[Drawing No]],1)</f>
        <v>1</v>
      </c>
      <c r="D836" s="176" t="s">
        <v>2500</v>
      </c>
      <c r="E836" s="16"/>
      <c r="F8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6" s="31"/>
      <c r="H836" s="59">
        <v>100</v>
      </c>
      <c r="I836" s="1">
        <f>COUNTA(ProductInfo[[#This Row],[P1]:[P15]])</f>
        <v>0</v>
      </c>
      <c r="J8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s="1" customFormat="1">
      <c r="A837" s="8" t="s">
        <v>980</v>
      </c>
      <c r="B837" s="8" t="s">
        <v>3644</v>
      </c>
      <c r="C837" s="1" t="str">
        <f>RIGHT(ProductInfo[[#This Row],[Drawing No]],1)</f>
        <v>0</v>
      </c>
      <c r="D837" s="179" t="s">
        <v>981</v>
      </c>
      <c r="E837" s="18" t="s">
        <v>7030</v>
      </c>
      <c r="F837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37" s="3">
        <v>90.5</v>
      </c>
      <c r="H837" s="59">
        <v>100</v>
      </c>
      <c r="I837" s="1">
        <f>COUNTA(ProductInfo[[#This Row],[P1]:[P15]])</f>
        <v>2</v>
      </c>
      <c r="J8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7" s="7" t="s">
        <v>12</v>
      </c>
      <c r="M837" s="7" t="s">
        <v>13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s="1" customFormat="1">
      <c r="A838" s="8" t="s">
        <v>982</v>
      </c>
      <c r="B838" s="8" t="s">
        <v>982</v>
      </c>
      <c r="C838" s="1" t="str">
        <f>RIGHT(ProductInfo[[#This Row],[Drawing No]],1)</f>
        <v>0</v>
      </c>
      <c r="D838" s="176" t="s">
        <v>2501</v>
      </c>
      <c r="E838" s="16"/>
      <c r="F8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38" s="31"/>
      <c r="H838" s="59">
        <v>100</v>
      </c>
      <c r="I838" s="1">
        <f>COUNTA(ProductInfo[[#This Row],[P1]:[P15]])</f>
        <v>0</v>
      </c>
      <c r="J8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s="1" customFormat="1">
      <c r="A839" s="8" t="s">
        <v>983</v>
      </c>
      <c r="B839" s="8" t="s">
        <v>3645</v>
      </c>
      <c r="C839" s="1" t="str">
        <f>RIGHT(ProductInfo[[#This Row],[Drawing No]],1)</f>
        <v>0</v>
      </c>
      <c r="D839" s="179" t="s">
        <v>2980</v>
      </c>
      <c r="E839" s="18" t="s">
        <v>7030</v>
      </c>
      <c r="F839" s="26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39" s="3">
        <v>90.5</v>
      </c>
      <c r="H839" s="59">
        <v>100</v>
      </c>
      <c r="I839" s="1">
        <f>COUNTA(ProductInfo[[#This Row],[P1]:[P15]])</f>
        <v>2</v>
      </c>
      <c r="J8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39" s="7" t="s">
        <v>12</v>
      </c>
      <c r="M839" s="7" t="s">
        <v>13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s="1" customFormat="1">
      <c r="A840" s="8" t="s">
        <v>5159</v>
      </c>
      <c r="B840" s="8" t="s">
        <v>5158</v>
      </c>
      <c r="C840" s="2" t="str">
        <f>RIGHT(ProductInfo[[#This Row],[Drawing No]],1)</f>
        <v>0</v>
      </c>
      <c r="D840" s="179" t="s">
        <v>2980</v>
      </c>
      <c r="E840" s="18" t="s">
        <v>7030</v>
      </c>
      <c r="F840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40" s="3">
        <v>90.5</v>
      </c>
      <c r="H840" s="59">
        <v>110</v>
      </c>
      <c r="I840" s="1">
        <f>COUNTA(ProductInfo[[#This Row],[P1]:[P15]])</f>
        <v>2</v>
      </c>
      <c r="J8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0" s="7" t="s">
        <v>12</v>
      </c>
      <c r="M840" s="7" t="s">
        <v>13</v>
      </c>
      <c r="N840" s="4"/>
      <c r="O840" s="4"/>
      <c r="P840" s="7"/>
      <c r="Q840" s="7"/>
      <c r="R840" s="4"/>
      <c r="S840" s="4"/>
      <c r="T840" s="4"/>
      <c r="U840" s="4"/>
      <c r="V840" s="4"/>
      <c r="W840" s="4"/>
      <c r="X840" s="4"/>
      <c r="Y840" s="4"/>
      <c r="Z840" s="4"/>
    </row>
    <row r="841" spans="1:26" s="1" customFormat="1">
      <c r="A841" s="8" t="s">
        <v>984</v>
      </c>
      <c r="B841" s="8" t="s">
        <v>984</v>
      </c>
      <c r="C841" s="1" t="str">
        <f>RIGHT(ProductInfo[[#This Row],[Drawing No]],1)</f>
        <v>0</v>
      </c>
      <c r="D841" s="179" t="s">
        <v>2981</v>
      </c>
      <c r="E841" s="18"/>
      <c r="F84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41" s="32"/>
      <c r="H841" s="59">
        <v>100</v>
      </c>
      <c r="I841" s="1">
        <f>COUNTA(ProductInfo[[#This Row],[P1]:[P15]])</f>
        <v>0</v>
      </c>
      <c r="J8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s="1" customFormat="1">
      <c r="A842" s="8" t="s">
        <v>985</v>
      </c>
      <c r="B842" s="8" t="s">
        <v>3761</v>
      </c>
      <c r="C842" s="1" t="str">
        <f>RIGHT(ProductInfo[[#This Row],[Drawing No]],1)</f>
        <v>0</v>
      </c>
      <c r="D842" s="176" t="s">
        <v>2502</v>
      </c>
      <c r="E842" s="16" t="s">
        <v>6529</v>
      </c>
      <c r="F84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42" s="59">
        <v>80</v>
      </c>
      <c r="H842" s="59">
        <v>100</v>
      </c>
      <c r="I842" s="1">
        <f>COUNTA(ProductInfo[[#This Row],[P1]:[P15]])</f>
        <v>2</v>
      </c>
      <c r="J8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2" s="7" t="s">
        <v>12</v>
      </c>
      <c r="M842" s="7" t="s">
        <v>13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s="1" customFormat="1">
      <c r="A843" s="8" t="s">
        <v>5160</v>
      </c>
      <c r="B843" s="8" t="s">
        <v>5161</v>
      </c>
      <c r="C843" s="2" t="str">
        <f>RIGHT(ProductInfo[[#This Row],[Drawing No]],1)</f>
        <v>0</v>
      </c>
      <c r="D843" s="176" t="s">
        <v>2502</v>
      </c>
      <c r="E843" s="16" t="s">
        <v>6529</v>
      </c>
      <c r="F84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43" s="59">
        <v>80</v>
      </c>
      <c r="H843" s="59">
        <v>100</v>
      </c>
      <c r="I843" s="1">
        <f>COUNTA(ProductInfo[[#This Row],[P1]:[P15]])</f>
        <v>2</v>
      </c>
      <c r="J8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3" s="7" t="s">
        <v>12</v>
      </c>
      <c r="M843" s="7" t="s">
        <v>13</v>
      </c>
      <c r="N843" s="4"/>
      <c r="O843" s="4"/>
      <c r="P843" s="7"/>
      <c r="Q843" s="7"/>
      <c r="R843" s="4"/>
      <c r="S843" s="4"/>
      <c r="T843" s="4"/>
      <c r="U843" s="4"/>
      <c r="V843" s="4"/>
      <c r="W843" s="4"/>
      <c r="X843" s="4"/>
      <c r="Y843" s="4"/>
      <c r="Z843" s="4"/>
    </row>
    <row r="844" spans="1:26" s="1" customFormat="1">
      <c r="A844" s="8" t="s">
        <v>986</v>
      </c>
      <c r="B844" s="8" t="s">
        <v>3329</v>
      </c>
      <c r="C844" s="1" t="str">
        <f>RIGHT(ProductInfo[[#This Row],[Drawing No]],1)</f>
        <v>0</v>
      </c>
      <c r="D844" s="176" t="s">
        <v>2503</v>
      </c>
      <c r="E844" s="16" t="s">
        <v>7030</v>
      </c>
      <c r="F844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44" s="59">
        <v>95.5</v>
      </c>
      <c r="H844" s="59">
        <v>100</v>
      </c>
      <c r="I844" s="1">
        <f>COUNTA(ProductInfo[[#This Row],[P1]:[P15]])</f>
        <v>2</v>
      </c>
      <c r="J8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4" s="7" t="s">
        <v>12</v>
      </c>
      <c r="M844" s="7" t="s">
        <v>13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s="1" customFormat="1">
      <c r="A845" s="8" t="s">
        <v>5163</v>
      </c>
      <c r="B845" s="8" t="s">
        <v>5162</v>
      </c>
      <c r="C845" s="2" t="str">
        <f>RIGHT(ProductInfo[[#This Row],[Drawing No]],1)</f>
        <v>0</v>
      </c>
      <c r="D845" s="176" t="s">
        <v>2503</v>
      </c>
      <c r="E845" s="16" t="s">
        <v>7030</v>
      </c>
      <c r="F845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45" s="59">
        <v>95.5</v>
      </c>
      <c r="H845" s="59">
        <v>100</v>
      </c>
      <c r="I845" s="1">
        <f>COUNTA(ProductInfo[[#This Row],[P1]:[P15]])</f>
        <v>3</v>
      </c>
      <c r="J8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45" s="7" t="s">
        <v>12</v>
      </c>
      <c r="M845" s="7" t="s">
        <v>13</v>
      </c>
      <c r="N845" s="4" t="s">
        <v>15</v>
      </c>
      <c r="O845" s="4"/>
      <c r="P845" s="7"/>
      <c r="Q845" s="7"/>
      <c r="R845" s="4"/>
      <c r="S845" s="4"/>
      <c r="T845" s="4"/>
      <c r="U845" s="4"/>
      <c r="V845" s="4"/>
      <c r="W845" s="4"/>
      <c r="X845" s="4"/>
      <c r="Y845" s="4"/>
      <c r="Z845" s="4"/>
    </row>
    <row r="846" spans="1:26" s="1" customFormat="1">
      <c r="A846" s="8" t="s">
        <v>987</v>
      </c>
      <c r="B846" s="8" t="s">
        <v>3646</v>
      </c>
      <c r="C846" s="1" t="str">
        <f>RIGHT(ProductInfo[[#This Row],[Drawing No]],1)</f>
        <v>0</v>
      </c>
      <c r="D846" s="176" t="s">
        <v>2504</v>
      </c>
      <c r="E846" s="16" t="s">
        <v>7030</v>
      </c>
      <c r="F846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46" s="59">
        <v>105.5</v>
      </c>
      <c r="H846" s="59">
        <v>100</v>
      </c>
      <c r="I846" s="1">
        <f>COUNTA(ProductInfo[[#This Row],[P1]:[P15]])</f>
        <v>2</v>
      </c>
      <c r="J8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6" s="7" t="s">
        <v>12</v>
      </c>
      <c r="M846" s="7" t="s">
        <v>13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s="1" customFormat="1">
      <c r="A847" s="8" t="s">
        <v>5165</v>
      </c>
      <c r="B847" s="8" t="s">
        <v>5164</v>
      </c>
      <c r="C847" s="2" t="str">
        <f>RIGHT(ProductInfo[[#This Row],[Drawing No]],1)</f>
        <v>0</v>
      </c>
      <c r="D847" s="176" t="s">
        <v>2504</v>
      </c>
      <c r="E847" s="16" t="s">
        <v>7030</v>
      </c>
      <c r="F847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47" s="59">
        <v>105.5</v>
      </c>
      <c r="H847" s="59">
        <v>100</v>
      </c>
      <c r="I847" s="1">
        <f>COUNTA(ProductInfo[[#This Row],[P1]:[P15]])</f>
        <v>3</v>
      </c>
      <c r="J8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47" s="7" t="s">
        <v>12</v>
      </c>
      <c r="M847" s="7" t="s">
        <v>13</v>
      </c>
      <c r="N847" s="4" t="s">
        <v>15</v>
      </c>
      <c r="O847" s="4"/>
      <c r="P847" s="7"/>
      <c r="Q847" s="7"/>
      <c r="R847" s="4"/>
      <c r="S847" s="4"/>
      <c r="T847" s="4"/>
      <c r="U847" s="4"/>
      <c r="V847" s="4"/>
      <c r="W847" s="4"/>
      <c r="X847" s="4"/>
      <c r="Y847" s="4"/>
      <c r="Z847" s="4"/>
    </row>
    <row r="848" spans="1:26" s="1" customFormat="1">
      <c r="A848" s="8" t="s">
        <v>4138</v>
      </c>
      <c r="B848" s="8" t="s">
        <v>4080</v>
      </c>
      <c r="C848" s="1" t="str">
        <f>RIGHT(ProductInfo[[#This Row],[Drawing No]],1)</f>
        <v>0</v>
      </c>
      <c r="D848" s="179" t="s">
        <v>2172</v>
      </c>
      <c r="E848" s="18" t="s">
        <v>6529</v>
      </c>
      <c r="F848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48" s="32"/>
      <c r="H848" s="59">
        <v>100</v>
      </c>
      <c r="I848" s="1">
        <f>COUNTA(ProductInfo[[#This Row],[P1]:[P15]])</f>
        <v>2</v>
      </c>
      <c r="J8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8" s="7" t="s">
        <v>12</v>
      </c>
      <c r="M848" s="7" t="s">
        <v>13</v>
      </c>
      <c r="N848" s="7"/>
      <c r="O848" s="4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s="1" customFormat="1">
      <c r="A849" s="8" t="s">
        <v>5037</v>
      </c>
      <c r="B849" s="8" t="s">
        <v>5036</v>
      </c>
      <c r="C849" s="2" t="str">
        <f>RIGHT(ProductInfo[[#This Row],[Drawing No]],1)</f>
        <v>0</v>
      </c>
      <c r="D849" s="176" t="s">
        <v>2172</v>
      </c>
      <c r="E849" s="16" t="s">
        <v>6529</v>
      </c>
      <c r="F84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49" s="61">
        <v>70</v>
      </c>
      <c r="H849" s="59">
        <v>100</v>
      </c>
      <c r="I849" s="1">
        <f>COUNTA(ProductInfo[[#This Row],[P1]:[P15]])</f>
        <v>2</v>
      </c>
      <c r="J8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49" s="7" t="s">
        <v>12</v>
      </c>
      <c r="M849" s="7" t="s">
        <v>13</v>
      </c>
      <c r="N849" s="7"/>
      <c r="O849" s="4"/>
      <c r="P849" s="7"/>
      <c r="Q849" s="7"/>
      <c r="R849" s="4"/>
      <c r="S849" s="4"/>
      <c r="T849" s="4"/>
      <c r="U849" s="4"/>
      <c r="V849" s="4"/>
      <c r="W849" s="4"/>
      <c r="X849" s="4"/>
      <c r="Y849" s="4"/>
      <c r="Z849" s="4"/>
    </row>
    <row r="850" spans="1:26" s="1" customFormat="1">
      <c r="A850" s="8" t="s">
        <v>988</v>
      </c>
      <c r="B850" s="8" t="s">
        <v>3631</v>
      </c>
      <c r="C850" s="1" t="str">
        <f>RIGHT(ProductInfo[[#This Row],[Drawing No]],1)</f>
        <v>0</v>
      </c>
      <c r="D850" s="179" t="s">
        <v>2826</v>
      </c>
      <c r="E850" s="18" t="s">
        <v>6529</v>
      </c>
      <c r="F850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0" s="3">
        <v>60.5</v>
      </c>
      <c r="H850" s="59">
        <v>100</v>
      </c>
      <c r="I850" s="1">
        <f>COUNTA(ProductInfo[[#This Row],[P1]:[P15]])</f>
        <v>2</v>
      </c>
      <c r="J8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0" s="7" t="s">
        <v>12</v>
      </c>
      <c r="M850" s="7" t="s">
        <v>13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s="1" customFormat="1">
      <c r="A851" s="8" t="s">
        <v>5129</v>
      </c>
      <c r="B851" s="8" t="s">
        <v>5128</v>
      </c>
      <c r="C851" s="2" t="str">
        <f>RIGHT(ProductInfo[[#This Row],[Drawing No]],1)</f>
        <v>0</v>
      </c>
      <c r="D851" s="179" t="s">
        <v>2826</v>
      </c>
      <c r="E851" s="18" t="s">
        <v>6529</v>
      </c>
      <c r="F85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1" s="3">
        <v>60.5</v>
      </c>
      <c r="H851" s="59">
        <v>100</v>
      </c>
      <c r="I851" s="1">
        <f>COUNTA(ProductInfo[[#This Row],[P1]:[P15]])</f>
        <v>4</v>
      </c>
      <c r="J8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51" s="7" t="s">
        <v>12</v>
      </c>
      <c r="M851" s="7" t="s">
        <v>13</v>
      </c>
      <c r="N851" s="7" t="s">
        <v>15</v>
      </c>
      <c r="O851" s="4" t="s">
        <v>16</v>
      </c>
      <c r="P851" s="7"/>
      <c r="Q851" s="7"/>
      <c r="R851" s="4"/>
      <c r="S851" s="4"/>
      <c r="T851" s="4"/>
      <c r="U851" s="4"/>
      <c r="V851" s="4"/>
      <c r="W851" s="4"/>
      <c r="X851" s="4"/>
      <c r="Y851" s="4"/>
      <c r="Z851" s="4"/>
    </row>
    <row r="852" spans="1:26" s="1" customFormat="1">
      <c r="A852" s="8" t="s">
        <v>989</v>
      </c>
      <c r="B852" s="8" t="s">
        <v>3713</v>
      </c>
      <c r="C852" s="1" t="str">
        <f>RIGHT(ProductInfo[[#This Row],[Drawing No]],1)</f>
        <v>0</v>
      </c>
      <c r="D852" s="181" t="s">
        <v>3030</v>
      </c>
      <c r="E852" s="19" t="s">
        <v>6529</v>
      </c>
      <c r="F852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2" s="59">
        <v>90.5</v>
      </c>
      <c r="H852" s="59">
        <v>100</v>
      </c>
      <c r="I852" s="1">
        <f>COUNTA(ProductInfo[[#This Row],[P1]:[P15]])</f>
        <v>2</v>
      </c>
      <c r="J8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2" s="7" t="s">
        <v>12</v>
      </c>
      <c r="M852" s="7" t="s">
        <v>13</v>
      </c>
      <c r="N852" s="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s="1" customFormat="1">
      <c r="A853" s="8" t="s">
        <v>5167</v>
      </c>
      <c r="B853" s="8" t="s">
        <v>5166</v>
      </c>
      <c r="C853" s="1" t="str">
        <f>RIGHT(ProductInfo[[#This Row],[Drawing No]],1)</f>
        <v>0</v>
      </c>
      <c r="D853" s="181" t="s">
        <v>3030</v>
      </c>
      <c r="E853" s="19" t="s">
        <v>6529</v>
      </c>
      <c r="F853" s="27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3" s="59">
        <v>90.5</v>
      </c>
      <c r="H853" s="59">
        <v>100</v>
      </c>
      <c r="I853" s="1">
        <f>COUNTA(ProductInfo[[#This Row],[P1]:[P15]])</f>
        <v>4</v>
      </c>
      <c r="J8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53" s="7" t="s">
        <v>12</v>
      </c>
      <c r="M853" s="7" t="s">
        <v>13</v>
      </c>
      <c r="N853" s="4" t="s">
        <v>15</v>
      </c>
      <c r="O853" s="7" t="s">
        <v>16</v>
      </c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s="1" customFormat="1">
      <c r="A854" s="8" t="s">
        <v>4938</v>
      </c>
      <c r="B854" s="8" t="s">
        <v>4940</v>
      </c>
      <c r="C854" s="2" t="str">
        <f>RIGHT(ProductInfo[[#This Row],[Drawing No]],1)</f>
        <v>0</v>
      </c>
      <c r="D854" s="176" t="s">
        <v>4939</v>
      </c>
      <c r="E854" s="16"/>
      <c r="F8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54" s="31"/>
      <c r="H854" s="31"/>
      <c r="I854" s="1">
        <f>COUNTA(ProductInfo[[#This Row],[P1]:[P15]])</f>
        <v>0</v>
      </c>
      <c r="J8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4" s="4"/>
      <c r="M854" s="4"/>
      <c r="N854" s="4"/>
      <c r="O854" s="4"/>
      <c r="P854" s="7"/>
      <c r="Q854" s="7"/>
      <c r="R854" s="4"/>
      <c r="S854" s="4"/>
      <c r="T854" s="4"/>
      <c r="U854" s="4"/>
      <c r="V854" s="4"/>
      <c r="W854" s="4"/>
      <c r="X854" s="4"/>
      <c r="Y854" s="4"/>
      <c r="Z854" s="4"/>
    </row>
    <row r="855" spans="1:26" s="1" customFormat="1" ht="19.8">
      <c r="A855" s="8" t="s">
        <v>4730</v>
      </c>
      <c r="B855" s="8" t="s">
        <v>4729</v>
      </c>
      <c r="C855" s="2" t="str">
        <f>RIGHT(ProductInfo[[#This Row],[Drawing No]],1)</f>
        <v>0</v>
      </c>
      <c r="D855" s="184" t="s">
        <v>4705</v>
      </c>
      <c r="E855" s="16" t="s">
        <v>6529</v>
      </c>
      <c r="F85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5" s="59">
        <v>68.5</v>
      </c>
      <c r="H855" s="59">
        <v>100</v>
      </c>
      <c r="I855" s="1">
        <f>COUNTA(ProductInfo[[#This Row],[P1]:[P15]])</f>
        <v>2</v>
      </c>
      <c r="J8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5" s="4" t="s">
        <v>12</v>
      </c>
      <c r="M855" s="4" t="s">
        <v>13</v>
      </c>
      <c r="N855" s="4"/>
      <c r="O855" s="4"/>
      <c r="P855" s="7"/>
      <c r="Q855" s="7"/>
      <c r="R855" s="4"/>
      <c r="S855" s="4"/>
      <c r="T855" s="4"/>
      <c r="U855" s="4"/>
      <c r="V855" s="4"/>
      <c r="W855" s="4"/>
      <c r="X855" s="4"/>
      <c r="Y855" s="4"/>
      <c r="Z855" s="4"/>
    </row>
    <row r="856" spans="1:26" s="1" customFormat="1">
      <c r="A856" s="8" t="s">
        <v>4909</v>
      </c>
      <c r="B856" s="8" t="s">
        <v>4908</v>
      </c>
      <c r="C856" s="2" t="str">
        <f>RIGHT(ProductInfo[[#This Row],[Drawing No]],1)</f>
        <v>0</v>
      </c>
      <c r="D856" s="176" t="s">
        <v>4861</v>
      </c>
      <c r="E856" s="16" t="s">
        <v>6529</v>
      </c>
      <c r="F85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56" s="59">
        <v>53.5</v>
      </c>
      <c r="H856" s="59">
        <v>100</v>
      </c>
      <c r="I856" s="1">
        <f>COUNTA(ProductInfo[[#This Row],[P1]:[P15]])</f>
        <v>3</v>
      </c>
      <c r="J8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56" s="4" t="s">
        <v>12</v>
      </c>
      <c r="M856" s="4" t="s">
        <v>13</v>
      </c>
      <c r="N856" s="4"/>
      <c r="O856" s="4" t="s">
        <v>15</v>
      </c>
      <c r="P856" s="7"/>
      <c r="Q856" s="7"/>
      <c r="R856" s="4"/>
      <c r="S856" s="4"/>
      <c r="T856" s="4"/>
      <c r="U856" s="4"/>
      <c r="V856" s="4"/>
      <c r="W856" s="4"/>
      <c r="X856" s="4"/>
      <c r="Y856" s="4"/>
      <c r="Z856" s="4"/>
    </row>
    <row r="857" spans="1:26" s="1" customFormat="1">
      <c r="A857" s="8" t="s">
        <v>990</v>
      </c>
      <c r="B857" s="8" t="s">
        <v>3647</v>
      </c>
      <c r="C857" s="1" t="str">
        <f>RIGHT(ProductInfo[[#This Row],[Drawing No]],1)</f>
        <v>0</v>
      </c>
      <c r="D857" s="176" t="s">
        <v>2505</v>
      </c>
      <c r="E857" s="16" t="s">
        <v>3404</v>
      </c>
      <c r="F857" s="23" t="str">
        <f>IFERROR(INDEX(MaterialCode[รายละเอียด],MATCH(ProductInfo[[#This Row],[Material Code]],MaterialCode[Material Code],0)),"ไม่พบวัตถุดิบ")</f>
        <v>เพลาอลูมีเนียม โต 60 มม.         (ยังของเหลือบางส่วน)</v>
      </c>
      <c r="G857" s="59">
        <v>131.5</v>
      </c>
      <c r="H857" s="59">
        <v>100</v>
      </c>
      <c r="I857" s="1">
        <f>COUNTA(ProductInfo[[#This Row],[P1]:[P15]])</f>
        <v>2</v>
      </c>
      <c r="J8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7" s="7" t="s">
        <v>12</v>
      </c>
      <c r="M857" s="7" t="s">
        <v>13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s="1" customFormat="1">
      <c r="A858" s="8" t="s">
        <v>991</v>
      </c>
      <c r="B858" s="8" t="s">
        <v>3648</v>
      </c>
      <c r="C858" s="1" t="str">
        <f>RIGHT(ProductInfo[[#This Row],[Drawing No]],1)</f>
        <v>0</v>
      </c>
      <c r="D858" s="176" t="s">
        <v>2506</v>
      </c>
      <c r="E858" s="16" t="s">
        <v>4561</v>
      </c>
      <c r="F858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58" s="59">
        <v>94.5</v>
      </c>
      <c r="H858" s="59">
        <v>100</v>
      </c>
      <c r="I858" s="1">
        <f>COUNTA(ProductInfo[[#This Row],[P1]:[P15]])</f>
        <v>2</v>
      </c>
      <c r="J8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8" s="7" t="s">
        <v>12</v>
      </c>
      <c r="M858" s="7" t="s">
        <v>13</v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s="1" customFormat="1">
      <c r="A859" s="8" t="s">
        <v>992</v>
      </c>
      <c r="B859" s="8" t="s">
        <v>3649</v>
      </c>
      <c r="C859" s="1" t="str">
        <f>RIGHT(ProductInfo[[#This Row],[Drawing No]],1)</f>
        <v>0</v>
      </c>
      <c r="D859" s="176" t="s">
        <v>2507</v>
      </c>
      <c r="E859" s="16" t="s">
        <v>7030</v>
      </c>
      <c r="F859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59" s="59">
        <v>74.5</v>
      </c>
      <c r="H859" s="59">
        <v>100</v>
      </c>
      <c r="I859" s="1">
        <f>COUNTA(ProductInfo[[#This Row],[P1]:[P15]])</f>
        <v>2</v>
      </c>
      <c r="J8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59" s="7" t="s">
        <v>12</v>
      </c>
      <c r="M859" s="7" t="s">
        <v>13</v>
      </c>
      <c r="N859" s="7"/>
      <c r="O859" s="7"/>
      <c r="P859" s="7"/>
      <c r="Q859" s="7"/>
      <c r="R859" s="4"/>
      <c r="S859" s="7"/>
      <c r="T859" s="4"/>
      <c r="U859" s="4"/>
      <c r="V859" s="4"/>
      <c r="W859" s="4"/>
      <c r="X859" s="4"/>
      <c r="Y859" s="4"/>
      <c r="Z859" s="4"/>
    </row>
    <row r="860" spans="1:26" s="1" customFormat="1">
      <c r="A860" s="8" t="s">
        <v>5169</v>
      </c>
      <c r="B860" s="8" t="s">
        <v>5168</v>
      </c>
      <c r="C860" s="1" t="str">
        <f>RIGHT(ProductInfo[[#This Row],[Drawing No]],1)</f>
        <v>0</v>
      </c>
      <c r="D860" s="176" t="s">
        <v>2507</v>
      </c>
      <c r="E860" s="16" t="s">
        <v>7030</v>
      </c>
      <c r="F860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860" s="59">
        <v>74.5</v>
      </c>
      <c r="H860" s="59">
        <v>100</v>
      </c>
      <c r="I860" s="1">
        <f>COUNTA(ProductInfo[[#This Row],[P1]:[P15]])</f>
        <v>3</v>
      </c>
      <c r="J8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0" s="7" t="s">
        <v>12</v>
      </c>
      <c r="M860" s="7" t="s">
        <v>13</v>
      </c>
      <c r="N860" s="7" t="s">
        <v>15</v>
      </c>
      <c r="O860" s="7"/>
      <c r="P860" s="7"/>
      <c r="Q860" s="7"/>
      <c r="R860" s="4"/>
      <c r="S860" s="7"/>
      <c r="T860" s="4"/>
      <c r="U860" s="4"/>
      <c r="V860" s="4"/>
      <c r="W860" s="4"/>
      <c r="X860" s="4"/>
      <c r="Y860" s="4"/>
      <c r="Z860" s="4"/>
    </row>
    <row r="861" spans="1:26" s="1" customFormat="1">
      <c r="A861" s="8" t="s">
        <v>4942</v>
      </c>
      <c r="B861" s="8" t="s">
        <v>4941</v>
      </c>
      <c r="C861" s="2" t="str">
        <f>RIGHT(ProductInfo[[#This Row],[Drawing No]],1)</f>
        <v>0</v>
      </c>
      <c r="D861" s="176" t="s">
        <v>4794</v>
      </c>
      <c r="E861" s="16" t="s">
        <v>3441</v>
      </c>
      <c r="F861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861" s="59">
        <v>88</v>
      </c>
      <c r="H861" s="59">
        <v>80</v>
      </c>
      <c r="I861" s="1">
        <f>COUNTA(ProductInfo[[#This Row],[P1]:[P15]])</f>
        <v>5</v>
      </c>
      <c r="J8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8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61" s="4" t="s">
        <v>12</v>
      </c>
      <c r="M861" s="4" t="s">
        <v>13</v>
      </c>
      <c r="N861" s="4" t="s">
        <v>15</v>
      </c>
      <c r="O861" s="4" t="s">
        <v>16</v>
      </c>
      <c r="P861" s="7" t="s">
        <v>14</v>
      </c>
      <c r="Q861" s="7"/>
      <c r="R861" s="4"/>
      <c r="S861" s="4"/>
      <c r="T861" s="4"/>
      <c r="U861" s="4"/>
      <c r="V861" s="4"/>
      <c r="W861" s="4"/>
      <c r="X861" s="4"/>
      <c r="Y861" s="4"/>
      <c r="Z861" s="4"/>
    </row>
    <row r="862" spans="1:26" s="1" customFormat="1">
      <c r="A862" s="8" t="s">
        <v>993</v>
      </c>
      <c r="B862" s="8" t="s">
        <v>3337</v>
      </c>
      <c r="C862" s="1" t="str">
        <f>RIGHT(ProductInfo[[#This Row],[Drawing No]],1)</f>
        <v>0</v>
      </c>
      <c r="D862" s="176" t="s">
        <v>2508</v>
      </c>
      <c r="E862" s="16" t="s">
        <v>4561</v>
      </c>
      <c r="F862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62" s="59">
        <v>84.5</v>
      </c>
      <c r="H862" s="59">
        <v>80</v>
      </c>
      <c r="I862" s="1">
        <f>COUNTA(ProductInfo[[#This Row],[P1]:[P15]])</f>
        <v>3</v>
      </c>
      <c r="J8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2" s="7" t="s">
        <v>12</v>
      </c>
      <c r="M862" s="7" t="s">
        <v>13</v>
      </c>
      <c r="N862" s="7" t="s">
        <v>15</v>
      </c>
      <c r="O862" s="7"/>
      <c r="P862" s="7"/>
      <c r="Q862" s="7"/>
      <c r="R862" s="4"/>
      <c r="S862" s="7"/>
      <c r="T862" s="4"/>
      <c r="U862" s="4"/>
      <c r="V862" s="4"/>
      <c r="W862" s="4"/>
      <c r="X862" s="4"/>
      <c r="Y862" s="4"/>
      <c r="Z862" s="4"/>
    </row>
    <row r="863" spans="1:26" s="1" customFormat="1">
      <c r="A863" s="8" t="s">
        <v>5047</v>
      </c>
      <c r="B863" s="8" t="s">
        <v>5046</v>
      </c>
      <c r="C863" s="2" t="str">
        <f>RIGHT(ProductInfo[[#This Row],[Drawing No]],1)</f>
        <v>0</v>
      </c>
      <c r="D863" s="176" t="s">
        <v>2508</v>
      </c>
      <c r="E863" s="16" t="s">
        <v>4561</v>
      </c>
      <c r="F863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63" s="59">
        <v>84.5</v>
      </c>
      <c r="H863" s="59"/>
      <c r="I863" s="1">
        <f>COUNTA(ProductInfo[[#This Row],[P1]:[P15]])</f>
        <v>3</v>
      </c>
      <c r="J8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3" s="7" t="s">
        <v>12</v>
      </c>
      <c r="M863" s="7" t="s">
        <v>13</v>
      </c>
      <c r="N863" s="7" t="s">
        <v>15</v>
      </c>
      <c r="O863" s="4"/>
      <c r="P863" s="7"/>
      <c r="Q863" s="7"/>
      <c r="R863" s="4"/>
      <c r="S863" s="4"/>
      <c r="T863" s="4"/>
      <c r="U863" s="4"/>
      <c r="V863" s="4"/>
      <c r="W863" s="4"/>
      <c r="X863" s="4"/>
      <c r="Y863" s="4"/>
      <c r="Z863" s="4"/>
    </row>
    <row r="864" spans="1:26" s="1" customFormat="1">
      <c r="A864" s="8" t="s">
        <v>994</v>
      </c>
      <c r="B864" s="8" t="s">
        <v>3650</v>
      </c>
      <c r="C864" s="1" t="str">
        <f>RIGHT(ProductInfo[[#This Row],[Drawing No]],1)</f>
        <v>1</v>
      </c>
      <c r="D864" s="176" t="s">
        <v>2509</v>
      </c>
      <c r="E864" s="16" t="s">
        <v>3404</v>
      </c>
      <c r="F864" s="23" t="str">
        <f>IFERROR(INDEX(MaterialCode[รายละเอียด],MATCH(ProductInfo[[#This Row],[Material Code]],MaterialCode[Material Code],0)),"ไม่พบวัตถุดิบ")</f>
        <v>เพลาอลูมีเนียม โต 60 มม.         (ยังของเหลือบางส่วน)</v>
      </c>
      <c r="G864" s="59">
        <v>162.5</v>
      </c>
      <c r="H864" s="59">
        <v>100</v>
      </c>
      <c r="I864" s="1">
        <f>COUNTA(ProductInfo[[#This Row],[P1]:[P15]])</f>
        <v>2</v>
      </c>
      <c r="J8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64" s="7" t="s">
        <v>12</v>
      </c>
      <c r="M864" s="7" t="s">
        <v>13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s="1" customFormat="1">
      <c r="A865" s="8" t="s">
        <v>995</v>
      </c>
      <c r="B865" s="8" t="s">
        <v>3651</v>
      </c>
      <c r="C865" s="1" t="str">
        <f>RIGHT(ProductInfo[[#This Row],[Drawing No]],1)</f>
        <v>0</v>
      </c>
      <c r="D865" s="175" t="s">
        <v>2510</v>
      </c>
      <c r="E865" s="5" t="s">
        <v>3406</v>
      </c>
      <c r="F865" s="22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865" s="2">
        <v>167.5</v>
      </c>
      <c r="H865" s="59">
        <v>100</v>
      </c>
      <c r="I865" s="1">
        <f>COUNTA(ProductInfo[[#This Row],[P1]:[P15]])</f>
        <v>3</v>
      </c>
      <c r="J8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5" s="7" t="s">
        <v>12</v>
      </c>
      <c r="M865" s="7" t="s">
        <v>13</v>
      </c>
      <c r="N865" s="7" t="s">
        <v>15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s="1" customFormat="1" ht="25.8">
      <c r="A866" s="8" t="s">
        <v>996</v>
      </c>
      <c r="B866" s="8" t="s">
        <v>3652</v>
      </c>
      <c r="C866" s="2" t="str">
        <f>RIGHT(ProductInfo[[#This Row],[Drawing No]],1)</f>
        <v>0</v>
      </c>
      <c r="D866" s="176" t="s">
        <v>4782</v>
      </c>
      <c r="E866" s="258" t="s">
        <v>7037</v>
      </c>
      <c r="F866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866" s="59">
        <v>66</v>
      </c>
      <c r="H866" s="59">
        <v>100</v>
      </c>
      <c r="I866" s="1">
        <f>COUNTA(ProductInfo[[#This Row],[P1]:[P15]])</f>
        <v>3</v>
      </c>
      <c r="J8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6" s="4" t="s">
        <v>12</v>
      </c>
      <c r="M866" s="4" t="s">
        <v>13</v>
      </c>
      <c r="N866" s="4"/>
      <c r="O866" s="4" t="s">
        <v>15</v>
      </c>
      <c r="P866" s="7"/>
      <c r="Q866" s="7"/>
      <c r="R866" s="4"/>
      <c r="S866" s="4"/>
      <c r="T866" s="4"/>
      <c r="U866" s="4"/>
      <c r="V866" s="4"/>
      <c r="W866" s="4"/>
      <c r="X866" s="4"/>
      <c r="Y866" s="4"/>
      <c r="Z866" s="4"/>
    </row>
    <row r="867" spans="1:26" s="1" customFormat="1">
      <c r="A867" s="8" t="s">
        <v>3280</v>
      </c>
      <c r="B867" s="35" t="s">
        <v>3283</v>
      </c>
      <c r="C867" s="2" t="str">
        <f>RIGHT(ProductInfo[[#This Row],[Drawing No]],1)</f>
        <v>1</v>
      </c>
      <c r="D867" s="185" t="s">
        <v>3281</v>
      </c>
      <c r="E867" t="s">
        <v>4561</v>
      </c>
      <c r="F867" s="29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67" s="33">
        <v>84.5</v>
      </c>
      <c r="H867" s="59">
        <v>100</v>
      </c>
      <c r="I867" s="2">
        <f>COUNTA(ProductInfo[[#This Row],[P1]:[P15]])</f>
        <v>3</v>
      </c>
      <c r="J8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7" s="4" t="s">
        <v>12</v>
      </c>
      <c r="M867" s="4" t="s">
        <v>13</v>
      </c>
      <c r="N867" s="4" t="s">
        <v>15</v>
      </c>
      <c r="O867" s="7"/>
      <c r="P867" s="7"/>
      <c r="Q867" s="7"/>
      <c r="R867" s="7"/>
      <c r="S867" s="4"/>
      <c r="T867" s="7"/>
      <c r="U867" s="7"/>
      <c r="V867" s="7"/>
      <c r="W867" s="7"/>
      <c r="X867" s="7"/>
      <c r="Y867" s="7"/>
      <c r="Z867" s="7"/>
    </row>
    <row r="868" spans="1:26" s="1" customFormat="1">
      <c r="A868" s="8" t="s">
        <v>3104</v>
      </c>
      <c r="B868" s="8" t="s">
        <v>3103</v>
      </c>
      <c r="C868" s="2" t="str">
        <f>RIGHT(ProductInfo[[#This Row],[Drawing No]],1)</f>
        <v>1</v>
      </c>
      <c r="D868" s="176" t="s">
        <v>3099</v>
      </c>
      <c r="E868" s="16"/>
      <c r="F8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68" s="31"/>
      <c r="H868" s="59">
        <v>100</v>
      </c>
      <c r="I868" s="2">
        <f>COUNTA(ProductInfo[[#This Row],[P1]:[P15]])</f>
        <v>3</v>
      </c>
      <c r="J86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8" s="4" t="s">
        <v>12</v>
      </c>
      <c r="M868" s="4" t="s">
        <v>13</v>
      </c>
      <c r="N868" s="4" t="s">
        <v>15</v>
      </c>
      <c r="O868" s="7"/>
      <c r="P868" s="7"/>
      <c r="Q868" s="7"/>
      <c r="R868" s="7"/>
      <c r="S868" s="4"/>
      <c r="T868" s="7"/>
      <c r="U868" s="7"/>
      <c r="V868" s="7"/>
      <c r="W868" s="7"/>
      <c r="X868" s="7"/>
      <c r="Y868" s="7"/>
      <c r="Z868" s="7"/>
    </row>
    <row r="869" spans="1:26" s="1" customFormat="1">
      <c r="A869" s="8" t="s">
        <v>4330</v>
      </c>
      <c r="B869" s="8" t="s">
        <v>4331</v>
      </c>
      <c r="C869" s="2" t="str">
        <f>RIGHT(ProductInfo[[#This Row],[Drawing No]],1)</f>
        <v>1</v>
      </c>
      <c r="D869" s="176" t="s">
        <v>4332</v>
      </c>
      <c r="E869" s="16" t="s">
        <v>6529</v>
      </c>
      <c r="F86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69" s="59">
        <v>83.5</v>
      </c>
      <c r="H869" s="59">
        <v>100</v>
      </c>
      <c r="I869" s="1">
        <f>COUNTA(ProductInfo[[#This Row],[P1]:[P15]])</f>
        <v>3</v>
      </c>
      <c r="J8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69" s="4" t="s">
        <v>12</v>
      </c>
      <c r="M869" s="4" t="s">
        <v>13</v>
      </c>
      <c r="N869" s="4" t="s">
        <v>15</v>
      </c>
      <c r="O869" s="4"/>
      <c r="P869" s="7"/>
      <c r="Q869" s="7"/>
      <c r="R869" s="4"/>
      <c r="S869" s="4"/>
      <c r="T869" s="4"/>
      <c r="U869" s="4"/>
      <c r="V869" s="4"/>
      <c r="W869" s="4"/>
      <c r="X869" s="4"/>
      <c r="Y869" s="4"/>
      <c r="Z869" s="4"/>
    </row>
    <row r="870" spans="1:26" s="1" customFormat="1" ht="19.8">
      <c r="A870" s="8" t="s">
        <v>997</v>
      </c>
      <c r="B870" s="8" t="s">
        <v>3658</v>
      </c>
      <c r="C870" s="1" t="str">
        <f>RIGHT(ProductInfo[[#This Row],[Drawing No]],1)</f>
        <v>0</v>
      </c>
      <c r="D870" s="175" t="s">
        <v>2511</v>
      </c>
      <c r="E870" s="121" t="s">
        <v>6530</v>
      </c>
      <c r="F870" s="22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870" s="2">
        <v>108.5</v>
      </c>
      <c r="H870" s="59">
        <v>100</v>
      </c>
      <c r="I870" s="1">
        <f>COUNTA(ProductInfo[[#This Row],[P1]:[P15]])</f>
        <v>2</v>
      </c>
      <c r="J8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0" s="4" t="s">
        <v>12</v>
      </c>
      <c r="M870" s="4" t="s">
        <v>13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s="1" customFormat="1">
      <c r="A871" s="8" t="s">
        <v>998</v>
      </c>
      <c r="B871" s="8" t="s">
        <v>3330</v>
      </c>
      <c r="C871" s="1" t="str">
        <f>RIGHT(ProductInfo[[#This Row],[Drawing No]],1)</f>
        <v>0</v>
      </c>
      <c r="D871" s="179" t="s">
        <v>3031</v>
      </c>
      <c r="E871" s="18" t="s">
        <v>5150</v>
      </c>
      <c r="F871" s="26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871" s="3">
        <v>62</v>
      </c>
      <c r="H871" s="59">
        <v>100</v>
      </c>
      <c r="I871" s="1">
        <f>COUNTA(ProductInfo[[#This Row],[P1]:[P15]])</f>
        <v>3</v>
      </c>
      <c r="J8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71" s="4" t="s">
        <v>12</v>
      </c>
      <c r="M871" s="4" t="s">
        <v>13</v>
      </c>
      <c r="N871" s="7" t="s">
        <v>15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s="1" customFormat="1">
      <c r="A872" s="8" t="s">
        <v>999</v>
      </c>
      <c r="B872" s="8" t="s">
        <v>3601</v>
      </c>
      <c r="C872" s="2" t="str">
        <f>RIGHT(ProductInfo[[#This Row],[Drawing No]],1)</f>
        <v>0</v>
      </c>
      <c r="D872" s="179" t="s">
        <v>3256</v>
      </c>
      <c r="E872" s="18" t="s">
        <v>3533</v>
      </c>
      <c r="F872" s="26" t="str">
        <f>IFERROR(INDEX(MaterialCode[รายละเอียด],MATCH(ProductInfo[[#This Row],[Material Code]],MaterialCode[Material Code],0)),"ไม่พบวัตถุดิบ")</f>
        <v>ท่ออลูมีเนียมโต 35มม.xรู30มม.(พิเศษ)</v>
      </c>
      <c r="G872" s="3">
        <v>327</v>
      </c>
      <c r="H872" s="59"/>
      <c r="I872" s="2">
        <f>COUNTA(ProductInfo[[#This Row],[P1]:[P15]])</f>
        <v>2</v>
      </c>
      <c r="J872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2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2" s="4" t="s">
        <v>12</v>
      </c>
      <c r="M872" s="4" t="s">
        <v>13</v>
      </c>
      <c r="N872" s="4"/>
      <c r="O872" s="7"/>
      <c r="P872" s="7"/>
      <c r="Q872" s="7"/>
      <c r="R872" s="4"/>
      <c r="S872" s="4"/>
      <c r="T872" s="7"/>
      <c r="U872" s="7"/>
      <c r="V872" s="7"/>
      <c r="W872" s="7"/>
      <c r="X872" s="7"/>
      <c r="Y872" s="7"/>
      <c r="Z872" s="7"/>
    </row>
    <row r="873" spans="1:26" s="1" customFormat="1">
      <c r="A873" s="8" t="s">
        <v>1000</v>
      </c>
      <c r="B873" s="8" t="s">
        <v>3638</v>
      </c>
      <c r="C873" s="1" t="str">
        <f>RIGHT(ProductInfo[[#This Row],[Drawing No]],1)</f>
        <v>0</v>
      </c>
      <c r="D873" s="179" t="s">
        <v>3705</v>
      </c>
      <c r="E873" s="18" t="s">
        <v>6529</v>
      </c>
      <c r="F873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3" s="3">
        <v>56.5</v>
      </c>
      <c r="H873" s="59">
        <v>100</v>
      </c>
      <c r="I873" s="1">
        <f>COUNTA(ProductInfo[[#This Row],[P1]:[P15]])</f>
        <v>2</v>
      </c>
      <c r="J8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3" s="7" t="s">
        <v>12</v>
      </c>
      <c r="M873" s="7" t="s">
        <v>13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s="1" customFormat="1">
      <c r="A874" s="8" t="s">
        <v>3703</v>
      </c>
      <c r="B874" s="8" t="s">
        <v>3704</v>
      </c>
      <c r="C874" s="2" t="str">
        <f>RIGHT(ProductInfo[[#This Row],[Drawing No]],1)</f>
        <v>0</v>
      </c>
      <c r="D874" s="176" t="s">
        <v>3705</v>
      </c>
      <c r="E874" s="16" t="s">
        <v>6529</v>
      </c>
      <c r="F87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4" s="59">
        <v>60.5</v>
      </c>
      <c r="H874" s="59">
        <v>100</v>
      </c>
      <c r="I874" s="1">
        <f>COUNTA(ProductInfo[[#This Row],[P1]:[P15]])</f>
        <v>2</v>
      </c>
      <c r="J8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4" s="7" t="s">
        <v>12</v>
      </c>
      <c r="M874" s="7" t="s">
        <v>13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s="1" customFormat="1">
      <c r="A875" s="8" t="s">
        <v>1001</v>
      </c>
      <c r="B875" s="8" t="s">
        <v>3639</v>
      </c>
      <c r="C875" s="1" t="str">
        <f>RIGHT(ProductInfo[[#This Row],[Drawing No]],1)</f>
        <v>0</v>
      </c>
      <c r="D875" s="179" t="s">
        <v>3707</v>
      </c>
      <c r="E875" s="18" t="s">
        <v>6529</v>
      </c>
      <c r="F875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5" s="3">
        <v>86.5</v>
      </c>
      <c r="H875" s="59">
        <v>100</v>
      </c>
      <c r="I875" s="1">
        <f>COUNTA(ProductInfo[[#This Row],[P1]:[P15]])</f>
        <v>2</v>
      </c>
      <c r="J8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5" s="7" t="s">
        <v>12</v>
      </c>
      <c r="M875" s="7" t="s">
        <v>13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s="1" customFormat="1">
      <c r="A876" s="8" t="s">
        <v>3708</v>
      </c>
      <c r="B876" s="8" t="s">
        <v>3706</v>
      </c>
      <c r="C876" s="2" t="str">
        <f>RIGHT(ProductInfo[[#This Row],[Drawing No]],1)</f>
        <v>0</v>
      </c>
      <c r="D876" s="176" t="s">
        <v>3707</v>
      </c>
      <c r="E876" s="16" t="s">
        <v>6529</v>
      </c>
      <c r="F87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6" s="59">
        <v>90.5</v>
      </c>
      <c r="H876" s="59">
        <v>100</v>
      </c>
      <c r="I876" s="1">
        <f>COUNTA(ProductInfo[[#This Row],[P1]:[P15]])</f>
        <v>2</v>
      </c>
      <c r="J8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76" s="7" t="s">
        <v>12</v>
      </c>
      <c r="M876" s="7" t="s">
        <v>13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s="1" customFormat="1">
      <c r="A877" s="8" t="s">
        <v>3282</v>
      </c>
      <c r="B877" s="8" t="s">
        <v>3284</v>
      </c>
      <c r="C877" s="2" t="str">
        <f>RIGHT(ProductInfo[[#This Row],[Drawing No]],1)</f>
        <v>0</v>
      </c>
      <c r="D877" s="185" t="s">
        <v>3287</v>
      </c>
      <c r="E877" t="s">
        <v>6529</v>
      </c>
      <c r="F877" s="29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7" s="33">
        <v>70.5</v>
      </c>
      <c r="H877" s="59">
        <v>100</v>
      </c>
      <c r="I877" s="2">
        <f>COUNTA(ProductInfo[[#This Row],[P1]:[P15]])</f>
        <v>4</v>
      </c>
      <c r="J8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77" s="4" t="s">
        <v>12</v>
      </c>
      <c r="M877" s="4" t="s">
        <v>13</v>
      </c>
      <c r="N877" s="4" t="s">
        <v>15</v>
      </c>
      <c r="O877" s="7" t="s">
        <v>16</v>
      </c>
      <c r="P877" s="7"/>
      <c r="Q877" s="7"/>
      <c r="R877" s="7"/>
      <c r="S877" s="4"/>
      <c r="T877" s="7"/>
      <c r="U877" s="7"/>
      <c r="V877" s="7"/>
      <c r="W877" s="7"/>
      <c r="X877" s="7"/>
      <c r="Y877" s="7"/>
      <c r="Z877" s="7"/>
    </row>
    <row r="878" spans="1:26" s="1" customFormat="1">
      <c r="A878" s="8" t="s">
        <v>4693</v>
      </c>
      <c r="B878" s="8" t="s">
        <v>4692</v>
      </c>
      <c r="C878" s="2" t="str">
        <f>RIGHT(ProductInfo[[#This Row],[Drawing No]],1)</f>
        <v>0</v>
      </c>
      <c r="D878" s="176" t="s">
        <v>4694</v>
      </c>
      <c r="E878" s="16" t="s">
        <v>6529</v>
      </c>
      <c r="F878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8" s="62">
        <v>75.5</v>
      </c>
      <c r="H878" s="62">
        <v>100</v>
      </c>
      <c r="I878" s="1">
        <f>COUNTA(ProductInfo[[#This Row],[P1]:[P15]])</f>
        <v>4</v>
      </c>
      <c r="J8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878" s="7" t="s">
        <v>12</v>
      </c>
      <c r="M878" s="7" t="s">
        <v>13</v>
      </c>
      <c r="N878" s="4" t="s">
        <v>15</v>
      </c>
      <c r="O878" s="7" t="s">
        <v>16</v>
      </c>
      <c r="P878" s="7"/>
      <c r="Q878" s="7"/>
      <c r="R878" s="4"/>
      <c r="S878" s="4"/>
      <c r="T878" s="4"/>
      <c r="U878" s="4"/>
      <c r="V878" s="4"/>
      <c r="W878" s="4"/>
      <c r="X878" s="4"/>
      <c r="Y878" s="4"/>
      <c r="Z878" s="4"/>
    </row>
    <row r="879" spans="1:26" s="1" customFormat="1">
      <c r="A879" s="8" t="s">
        <v>3289</v>
      </c>
      <c r="B879" s="8" t="s">
        <v>3285</v>
      </c>
      <c r="C879" s="2" t="str">
        <f>RIGHT(ProductInfo[[#This Row],[Drawing No]],1)</f>
        <v>0</v>
      </c>
      <c r="D879" s="176" t="s">
        <v>3286</v>
      </c>
      <c r="E879" s="16" t="s">
        <v>6529</v>
      </c>
      <c r="F87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79" s="59">
        <v>61.5</v>
      </c>
      <c r="H879" s="59">
        <v>100</v>
      </c>
      <c r="I879" s="2">
        <f>COUNTA(ProductInfo[[#This Row],[P1]:[P15]])</f>
        <v>3</v>
      </c>
      <c r="J8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79" s="4" t="s">
        <v>12</v>
      </c>
      <c r="M879" s="4" t="s">
        <v>13</v>
      </c>
      <c r="N879" s="4" t="s">
        <v>15</v>
      </c>
      <c r="O879" s="7"/>
      <c r="P879" s="7"/>
      <c r="Q879" s="7"/>
      <c r="R879" s="7"/>
      <c r="S879" s="4"/>
      <c r="T879" s="7"/>
      <c r="U879" s="7"/>
      <c r="V879" s="7"/>
      <c r="W879" s="7"/>
      <c r="X879" s="7"/>
      <c r="Y879" s="7"/>
      <c r="Z879" s="7"/>
    </row>
    <row r="880" spans="1:26" s="1" customFormat="1">
      <c r="A880" s="8" t="s">
        <v>3288</v>
      </c>
      <c r="B880" s="8" t="s">
        <v>3290</v>
      </c>
      <c r="C880" s="2" t="str">
        <f>RIGHT(ProductInfo[[#This Row],[Drawing No]],1)</f>
        <v>0</v>
      </c>
      <c r="D880" s="176" t="s">
        <v>3291</v>
      </c>
      <c r="E880" s="16" t="s">
        <v>6529</v>
      </c>
      <c r="F88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80" s="59">
        <v>61.5</v>
      </c>
      <c r="H880" s="59">
        <v>100</v>
      </c>
      <c r="I880" s="2">
        <f>COUNTA(ProductInfo[[#This Row],[P1]:[P15]])</f>
        <v>3</v>
      </c>
      <c r="J8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80" s="4" t="s">
        <v>12</v>
      </c>
      <c r="M880" s="4" t="s">
        <v>13</v>
      </c>
      <c r="N880" s="4" t="s">
        <v>15</v>
      </c>
      <c r="O880" s="7"/>
      <c r="P880" s="7"/>
      <c r="Q880" s="7"/>
      <c r="R880" s="7"/>
      <c r="S880" s="4"/>
      <c r="T880" s="7"/>
      <c r="U880" s="7"/>
      <c r="V880" s="7"/>
      <c r="W880" s="7"/>
      <c r="X880" s="7"/>
      <c r="Y880" s="7"/>
      <c r="Z880" s="7"/>
    </row>
    <row r="881" spans="1:26" s="1" customFormat="1">
      <c r="A881" s="8" t="s">
        <v>4944</v>
      </c>
      <c r="B881" s="8" t="s">
        <v>4943</v>
      </c>
      <c r="C881" s="2" t="str">
        <f>RIGHT(ProductInfo[[#This Row],[Drawing No]],1)</f>
        <v>0</v>
      </c>
      <c r="D881" s="176" t="s">
        <v>4739</v>
      </c>
      <c r="E881" s="16" t="s">
        <v>4561</v>
      </c>
      <c r="F881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81" s="59">
        <v>157</v>
      </c>
      <c r="H881" s="59">
        <v>40</v>
      </c>
      <c r="I881" s="1">
        <f>COUNTA(ProductInfo[[#This Row],[P1]:[P15]])</f>
        <v>3</v>
      </c>
      <c r="J8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81" s="4" t="s">
        <v>12</v>
      </c>
      <c r="M881" s="4" t="s">
        <v>13</v>
      </c>
      <c r="N881" s="4" t="s">
        <v>15</v>
      </c>
      <c r="O881" s="4"/>
      <c r="P881" s="7"/>
      <c r="Q881" s="7"/>
      <c r="R881" s="4"/>
      <c r="S881" s="4"/>
      <c r="T881" s="4"/>
      <c r="U881" s="4"/>
      <c r="V881" s="4"/>
      <c r="W881" s="4"/>
      <c r="X881" s="4"/>
      <c r="Y881" s="4"/>
      <c r="Z881" s="4"/>
    </row>
    <row r="882" spans="1:26" s="1" customFormat="1">
      <c r="A882" s="8" t="s">
        <v>4946</v>
      </c>
      <c r="B882" s="8" t="s">
        <v>4945</v>
      </c>
      <c r="C882" s="2" t="str">
        <f>RIGHT(ProductInfo[[#This Row],[Drawing No]],1)</f>
        <v>0</v>
      </c>
      <c r="D882" s="176" t="s">
        <v>4739</v>
      </c>
      <c r="E882" s="16" t="s">
        <v>4561</v>
      </c>
      <c r="F882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882" s="59">
        <v>102</v>
      </c>
      <c r="H882" s="59">
        <v>40</v>
      </c>
      <c r="I882" s="1">
        <f>COUNTA(ProductInfo[[#This Row],[P1]:[P15]])</f>
        <v>4</v>
      </c>
      <c r="J8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8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82" s="4" t="s">
        <v>12</v>
      </c>
      <c r="M882" s="4" t="s">
        <v>13</v>
      </c>
      <c r="N882" s="4" t="s">
        <v>14</v>
      </c>
      <c r="O882" s="4" t="s">
        <v>15</v>
      </c>
      <c r="P882" s="7"/>
      <c r="Q882" s="7"/>
      <c r="R882" s="4"/>
      <c r="S882" s="4"/>
      <c r="T882" s="4"/>
      <c r="U882" s="4"/>
      <c r="V882" s="4"/>
      <c r="W882" s="4"/>
      <c r="X882" s="4"/>
      <c r="Y882" s="4"/>
      <c r="Z882" s="4"/>
    </row>
    <row r="883" spans="1:26" s="1" customFormat="1">
      <c r="A883" s="8" t="s">
        <v>5061</v>
      </c>
      <c r="B883" s="8" t="s">
        <v>5060</v>
      </c>
      <c r="C883" s="2" t="str">
        <f>RIGHT(ProductInfo[[#This Row],[Drawing No]],1)</f>
        <v>0</v>
      </c>
      <c r="D883" s="176" t="s">
        <v>4398</v>
      </c>
      <c r="E883" s="16" t="s">
        <v>6529</v>
      </c>
      <c r="F88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883" s="59">
        <v>61</v>
      </c>
      <c r="H883" s="59">
        <v>100</v>
      </c>
      <c r="I883" s="1">
        <f>COUNTA(ProductInfo[[#This Row],[P1]:[P15]])</f>
        <v>2</v>
      </c>
      <c r="J8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3" s="7" t="s">
        <v>12</v>
      </c>
      <c r="M883" s="7" t="s">
        <v>13</v>
      </c>
      <c r="N883" s="4"/>
      <c r="O883" s="4"/>
      <c r="P883" s="7"/>
      <c r="Q883" s="7"/>
      <c r="R883" s="4"/>
      <c r="S883" s="4"/>
      <c r="T883" s="4"/>
      <c r="U883" s="4"/>
      <c r="V883" s="4"/>
      <c r="W883" s="4"/>
      <c r="X883" s="4"/>
      <c r="Y883" s="4"/>
      <c r="Z883" s="4"/>
    </row>
    <row r="884" spans="1:26" s="1" customFormat="1">
      <c r="A884" s="8" t="s">
        <v>1002</v>
      </c>
      <c r="B884" s="8" t="s">
        <v>1002</v>
      </c>
      <c r="C884" s="1" t="str">
        <f>RIGHT(ProductInfo[[#This Row],[Drawing No]],1)</f>
        <v>0</v>
      </c>
      <c r="D884" s="176" t="s">
        <v>1003</v>
      </c>
      <c r="E884" s="16"/>
      <c r="F8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4" s="31"/>
      <c r="H884" s="59">
        <v>100</v>
      </c>
      <c r="I884" s="1">
        <f>COUNTA(ProductInfo[[#This Row],[P1]:[P15]])</f>
        <v>0</v>
      </c>
      <c r="J8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s="1" customFormat="1">
      <c r="A885" s="8" t="s">
        <v>1004</v>
      </c>
      <c r="B885" s="8" t="s">
        <v>1004</v>
      </c>
      <c r="C885" s="1" t="str">
        <f>RIGHT(ProductInfo[[#This Row],[Drawing No]],1)</f>
        <v>0</v>
      </c>
      <c r="D885" s="176" t="s">
        <v>1005</v>
      </c>
      <c r="E885" s="16"/>
      <c r="F8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5" s="31"/>
      <c r="H885" s="59">
        <v>100</v>
      </c>
      <c r="I885" s="1">
        <f>COUNTA(ProductInfo[[#This Row],[P1]:[P15]])</f>
        <v>0</v>
      </c>
      <c r="J8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s="1" customFormat="1">
      <c r="A886" s="8" t="s">
        <v>1006</v>
      </c>
      <c r="B886" s="8" t="s">
        <v>1006</v>
      </c>
      <c r="C886" s="1" t="str">
        <f>RIGHT(ProductInfo[[#This Row],[Drawing No]],1)</f>
        <v>2</v>
      </c>
      <c r="D886" s="176" t="s">
        <v>1007</v>
      </c>
      <c r="E886" s="16"/>
      <c r="F8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6" s="31"/>
      <c r="H886" s="59">
        <v>100</v>
      </c>
      <c r="I886" s="1">
        <f>COUNTA(ProductInfo[[#This Row],[P1]:[P15]])</f>
        <v>0</v>
      </c>
      <c r="J8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s="1" customFormat="1">
      <c r="A887" s="8" t="s">
        <v>1008</v>
      </c>
      <c r="B887" s="8" t="s">
        <v>1008</v>
      </c>
      <c r="C887" s="1" t="str">
        <f>RIGHT(ProductInfo[[#This Row],[Drawing No]],1)</f>
        <v>2</v>
      </c>
      <c r="D887" s="176" t="s">
        <v>2512</v>
      </c>
      <c r="E887" s="16"/>
      <c r="F8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7" s="31"/>
      <c r="H887" s="31"/>
      <c r="I887" s="1">
        <f>COUNTA(ProductInfo[[#This Row],[P1]:[P15]])</f>
        <v>0</v>
      </c>
      <c r="J8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s="1" customFormat="1">
      <c r="A888" s="8" t="s">
        <v>1009</v>
      </c>
      <c r="B888" s="8" t="s">
        <v>1009</v>
      </c>
      <c r="C888" s="1" t="str">
        <f>RIGHT(ProductInfo[[#This Row],[Drawing No]],1)</f>
        <v>3</v>
      </c>
      <c r="D888" s="176" t="s">
        <v>2512</v>
      </c>
      <c r="E888" s="16"/>
      <c r="F8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8" s="31"/>
      <c r="H888" s="31"/>
      <c r="I888" s="1">
        <f>COUNTA(ProductInfo[[#This Row],[P1]:[P15]])</f>
        <v>0</v>
      </c>
      <c r="J8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s="1" customFormat="1">
      <c r="A889" s="8" t="s">
        <v>1010</v>
      </c>
      <c r="B889" s="8" t="s">
        <v>1010</v>
      </c>
      <c r="C889" s="1" t="str">
        <f>RIGHT(ProductInfo[[#This Row],[Drawing No]],1)</f>
        <v>4</v>
      </c>
      <c r="D889" s="176" t="s">
        <v>2513</v>
      </c>
      <c r="E889" s="16"/>
      <c r="F8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89" s="31"/>
      <c r="H889" s="31"/>
      <c r="I889" s="1">
        <f>COUNTA(ProductInfo[[#This Row],[P1]:[P15]])</f>
        <v>0</v>
      </c>
      <c r="J8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s="1" customFormat="1">
      <c r="A890" s="8" t="s">
        <v>1011</v>
      </c>
      <c r="B890" s="8" t="s">
        <v>1011</v>
      </c>
      <c r="C890" s="1" t="str">
        <f>RIGHT(ProductInfo[[#This Row],[Drawing No]],1)</f>
        <v>5</v>
      </c>
      <c r="D890" s="176" t="s">
        <v>2513</v>
      </c>
      <c r="E890" s="16"/>
      <c r="F8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0" s="31"/>
      <c r="H890" s="31"/>
      <c r="I890" s="1">
        <f>COUNTA(ProductInfo[[#This Row],[P1]:[P15]])</f>
        <v>0</v>
      </c>
      <c r="J8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s="1" customFormat="1">
      <c r="A891" s="8" t="s">
        <v>1012</v>
      </c>
      <c r="B891" s="8" t="s">
        <v>1012</v>
      </c>
      <c r="C891" s="1" t="str">
        <f>RIGHT(ProductInfo[[#This Row],[Drawing No]],1)</f>
        <v>7</v>
      </c>
      <c r="D891" s="176" t="s">
        <v>2514</v>
      </c>
      <c r="E891" s="16"/>
      <c r="F8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1" s="31"/>
      <c r="H891" s="59">
        <v>80</v>
      </c>
      <c r="I891" s="1">
        <f>COUNTA(ProductInfo[[#This Row],[P1]:[P15]])</f>
        <v>0</v>
      </c>
      <c r="J8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s="1" customFormat="1">
      <c r="A892" s="8" t="s">
        <v>1013</v>
      </c>
      <c r="B892" s="8" t="s">
        <v>1013</v>
      </c>
      <c r="C892" s="1" t="str">
        <f>RIGHT(ProductInfo[[#This Row],[Drawing No]],1)</f>
        <v>8</v>
      </c>
      <c r="D892" s="176" t="s">
        <v>2514</v>
      </c>
      <c r="E892" s="16"/>
      <c r="F8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2" s="31"/>
      <c r="H892" s="59">
        <v>80</v>
      </c>
      <c r="I892" s="1">
        <f>COUNTA(ProductInfo[[#This Row],[P1]:[P15]])</f>
        <v>0</v>
      </c>
      <c r="J8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s="1" customFormat="1">
      <c r="A893" s="8" t="s">
        <v>1014</v>
      </c>
      <c r="B893" s="8" t="s">
        <v>3305</v>
      </c>
      <c r="C893" s="1" t="str">
        <f>RIGHT(ProductInfo[[#This Row],[Drawing No]],1)</f>
        <v>0</v>
      </c>
      <c r="D893" s="186" t="s">
        <v>2515</v>
      </c>
      <c r="E893" s="16"/>
      <c r="F8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3" s="31"/>
      <c r="H893" s="59">
        <v>80</v>
      </c>
      <c r="I893" s="1">
        <f>COUNTA(ProductInfo[[#This Row],[P1]:[P15]])</f>
        <v>3</v>
      </c>
      <c r="J8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8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3" s="7" t="s">
        <v>12</v>
      </c>
      <c r="M893" s="7" t="s">
        <v>13</v>
      </c>
      <c r="N893" s="7" t="s">
        <v>14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s="1" customFormat="1">
      <c r="A894" s="8" t="s">
        <v>1015</v>
      </c>
      <c r="B894" s="8" t="s">
        <v>3304</v>
      </c>
      <c r="C894" s="1" t="str">
        <f>RIGHT(ProductInfo[[#This Row],[Drawing No]],1)</f>
        <v>0</v>
      </c>
      <c r="D894" s="176" t="s">
        <v>2515</v>
      </c>
      <c r="E894" s="16" t="s">
        <v>3607</v>
      </c>
      <c r="F894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894" s="59">
        <v>1</v>
      </c>
      <c r="H894" s="59">
        <v>80</v>
      </c>
      <c r="I894" s="1">
        <f>COUNTA(ProductInfo[[#This Row],[P1]:[P15]])</f>
        <v>3</v>
      </c>
      <c r="J8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94" s="7" t="s">
        <v>12</v>
      </c>
      <c r="M894" s="7" t="s">
        <v>13</v>
      </c>
      <c r="N894" s="7" t="s">
        <v>15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s="1" customFormat="1">
      <c r="A895" s="8" t="s">
        <v>1016</v>
      </c>
      <c r="B895" s="8" t="s">
        <v>1016</v>
      </c>
      <c r="C895" s="1" t="str">
        <f>RIGHT(ProductInfo[[#This Row],[Drawing No]],1)</f>
        <v>0</v>
      </c>
      <c r="D895" s="176" t="s">
        <v>2516</v>
      </c>
      <c r="E895" s="16"/>
      <c r="F8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5" s="31"/>
      <c r="H895" s="31"/>
      <c r="I895" s="1">
        <f>COUNTA(ProductInfo[[#This Row],[P1]:[P15]])</f>
        <v>0</v>
      </c>
      <c r="J8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s="1" customFormat="1">
      <c r="A896" s="8" t="s">
        <v>1017</v>
      </c>
      <c r="B896" s="8" t="s">
        <v>1017</v>
      </c>
      <c r="C896" s="1" t="str">
        <f>RIGHT(ProductInfo[[#This Row],[Drawing No]],1)</f>
        <v>1</v>
      </c>
      <c r="D896" s="176" t="s">
        <v>2517</v>
      </c>
      <c r="E896" s="16"/>
      <c r="F8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6" s="31"/>
      <c r="H896" s="31"/>
      <c r="I896" s="1">
        <f>COUNTA(ProductInfo[[#This Row],[P1]:[P15]])</f>
        <v>0</v>
      </c>
      <c r="J8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s="1" customFormat="1">
      <c r="A897" s="8" t="s">
        <v>1018</v>
      </c>
      <c r="B897" s="8" t="s">
        <v>1018</v>
      </c>
      <c r="C897" s="1" t="str">
        <f>RIGHT(ProductInfo[[#This Row],[Drawing No]],1)</f>
        <v>2</v>
      </c>
      <c r="D897" s="176" t="s">
        <v>2517</v>
      </c>
      <c r="E897" s="16"/>
      <c r="F8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7" s="31"/>
      <c r="H897" s="31"/>
      <c r="I897" s="1">
        <f>COUNTA(ProductInfo[[#This Row],[P1]:[P15]])</f>
        <v>0</v>
      </c>
      <c r="J8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s="1" customFormat="1">
      <c r="A898" s="8" t="s">
        <v>1019</v>
      </c>
      <c r="B898" s="8" t="s">
        <v>1019</v>
      </c>
      <c r="C898" s="1" t="str">
        <f>RIGHT(ProductInfo[[#This Row],[Drawing No]],1)</f>
        <v>3</v>
      </c>
      <c r="D898" s="176" t="s">
        <v>2517</v>
      </c>
      <c r="E898" s="16" t="s">
        <v>4966</v>
      </c>
      <c r="F8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898" s="31"/>
      <c r="H898" s="31"/>
      <c r="I898" s="1">
        <f>COUNTA(ProductInfo[[#This Row],[P1]:[P15]])</f>
        <v>0</v>
      </c>
      <c r="J8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8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s="1" customFormat="1">
      <c r="A899" s="8" t="s">
        <v>1020</v>
      </c>
      <c r="B899" s="8" t="s">
        <v>3621</v>
      </c>
      <c r="C899" s="1" t="str">
        <f>RIGHT(ProductInfo[[#This Row],[Drawing No]],1)</f>
        <v>0</v>
      </c>
      <c r="D899" s="179" t="s">
        <v>3032</v>
      </c>
      <c r="E899" s="18" t="s">
        <v>3622</v>
      </c>
      <c r="F899" s="26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899" s="3">
        <v>1</v>
      </c>
      <c r="H899" s="3">
        <v>70</v>
      </c>
      <c r="I899" s="1">
        <f>COUNTA(ProductInfo[[#This Row],[P1]:[P15]])</f>
        <v>3</v>
      </c>
      <c r="J8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8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899" s="7" t="s">
        <v>12</v>
      </c>
      <c r="M899" s="7" t="s">
        <v>13</v>
      </c>
      <c r="N899" s="7" t="s">
        <v>15</v>
      </c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s="1" customFormat="1">
      <c r="A900" s="8" t="s">
        <v>1021</v>
      </c>
      <c r="B900" s="8" t="s">
        <v>1021</v>
      </c>
      <c r="C900" s="1" t="str">
        <f>RIGHT(ProductInfo[[#This Row],[Drawing No]],1)</f>
        <v>7</v>
      </c>
      <c r="D900" s="176" t="s">
        <v>2912</v>
      </c>
      <c r="E900" s="16" t="s">
        <v>5150</v>
      </c>
      <c r="F900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00" s="59">
        <v>54.5</v>
      </c>
      <c r="H900" s="59"/>
      <c r="I900" s="1">
        <f>COUNTA(ProductInfo[[#This Row],[P1]:[P15]])</f>
        <v>4</v>
      </c>
      <c r="J9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00" s="7" t="s">
        <v>12</v>
      </c>
      <c r="M900" s="7" t="s">
        <v>13</v>
      </c>
      <c r="N900" s="7" t="s">
        <v>15</v>
      </c>
      <c r="O900" s="7" t="s">
        <v>16</v>
      </c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s="1" customFormat="1">
      <c r="A901" s="8" t="s">
        <v>1022</v>
      </c>
      <c r="B901" s="8" t="s">
        <v>1022</v>
      </c>
      <c r="C901" s="1" t="str">
        <f>RIGHT(ProductInfo[[#This Row],[Drawing No]],1)</f>
        <v>1</v>
      </c>
      <c r="D901" s="176" t="s">
        <v>2518</v>
      </c>
      <c r="E901" s="16"/>
      <c r="F9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1" s="31"/>
      <c r="H901" s="31"/>
      <c r="I901" s="1">
        <f>COUNTA(ProductInfo[[#This Row],[P1]:[P15]])</f>
        <v>0</v>
      </c>
      <c r="J9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s="1" customFormat="1">
      <c r="A902" s="8" t="s">
        <v>1023</v>
      </c>
      <c r="B902" s="8" t="s">
        <v>1023</v>
      </c>
      <c r="C902" s="1" t="str">
        <f>RIGHT(ProductInfo[[#This Row],[Drawing No]],1)</f>
        <v>2</v>
      </c>
      <c r="D902" s="176" t="s">
        <v>2518</v>
      </c>
      <c r="E902" s="16"/>
      <c r="F9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2" s="31"/>
      <c r="H902" s="31"/>
      <c r="I902" s="1">
        <f>COUNTA(ProductInfo[[#This Row],[P1]:[P15]])</f>
        <v>0</v>
      </c>
      <c r="J9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s="1" customFormat="1">
      <c r="A903" s="8" t="s">
        <v>1024</v>
      </c>
      <c r="B903" s="8" t="s">
        <v>1024</v>
      </c>
      <c r="C903" s="1" t="str">
        <f>RIGHT(ProductInfo[[#This Row],[Drawing No]],1)</f>
        <v>3</v>
      </c>
      <c r="D903" s="176" t="s">
        <v>2518</v>
      </c>
      <c r="E903" s="16"/>
      <c r="F9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3" s="31"/>
      <c r="H903" s="31"/>
      <c r="I903" s="1">
        <f>COUNTA(ProductInfo[[#This Row],[P1]:[P15]])</f>
        <v>0</v>
      </c>
      <c r="J9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s="1" customFormat="1">
      <c r="A904" s="8" t="s">
        <v>1025</v>
      </c>
      <c r="B904" s="8" t="s">
        <v>1025</v>
      </c>
      <c r="C904" s="1" t="str">
        <f>RIGHT(ProductInfo[[#This Row],[Drawing No]],1)</f>
        <v>4</v>
      </c>
      <c r="D904" s="176" t="s">
        <v>2519</v>
      </c>
      <c r="E904" s="16"/>
      <c r="F9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4" s="31"/>
      <c r="H904" s="31"/>
      <c r="I904" s="1">
        <f>COUNTA(ProductInfo[[#This Row],[P1]:[P15]])</f>
        <v>0</v>
      </c>
      <c r="J9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s="1" customFormat="1">
      <c r="A905" s="8" t="s">
        <v>1026</v>
      </c>
      <c r="B905" s="8" t="s">
        <v>1026</v>
      </c>
      <c r="C905" s="1" t="str">
        <f>RIGHT(ProductInfo[[#This Row],[Drawing No]],1)</f>
        <v>0</v>
      </c>
      <c r="D905" s="176" t="s">
        <v>2520</v>
      </c>
      <c r="E905" s="16"/>
      <c r="F9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5" s="31"/>
      <c r="H905" s="31"/>
      <c r="I905" s="1">
        <f>COUNTA(ProductInfo[[#This Row],[P1]:[P15]])</f>
        <v>0</v>
      </c>
      <c r="J9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s="1" customFormat="1">
      <c r="A906" s="8" t="s">
        <v>1027</v>
      </c>
      <c r="B906" s="8" t="s">
        <v>1027</v>
      </c>
      <c r="C906" s="1" t="str">
        <f>RIGHT(ProductInfo[[#This Row],[Drawing No]],1)</f>
        <v>0</v>
      </c>
      <c r="D906" s="176" t="s">
        <v>3128</v>
      </c>
      <c r="E906" s="16"/>
      <c r="F9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6" s="31"/>
      <c r="H906" s="31"/>
      <c r="I906" s="1">
        <f>COUNTA(ProductInfo[[#This Row],[P1]:[P15]])</f>
        <v>0</v>
      </c>
      <c r="J9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s="1" customFormat="1">
      <c r="A907" s="8" t="s">
        <v>1028</v>
      </c>
      <c r="B907" s="8" t="s">
        <v>1028</v>
      </c>
      <c r="C907" s="1" t="str">
        <f>RIGHT(ProductInfo[[#This Row],[Drawing No]],1)</f>
        <v>1</v>
      </c>
      <c r="D907" s="176" t="s">
        <v>3128</v>
      </c>
      <c r="E907" s="16"/>
      <c r="F9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07" s="31"/>
      <c r="H907" s="31"/>
      <c r="I907" s="1">
        <f>COUNTA(ProductInfo[[#This Row],[P1]:[P15]])</f>
        <v>0</v>
      </c>
      <c r="J9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s="1" customFormat="1">
      <c r="A908" s="8" t="s">
        <v>1029</v>
      </c>
      <c r="B908" s="8" t="s">
        <v>3611</v>
      </c>
      <c r="C908" s="1" t="str">
        <f>RIGHT(ProductInfo[[#This Row],[Drawing No]],1)</f>
        <v>0</v>
      </c>
      <c r="D908" s="179" t="s">
        <v>3033</v>
      </c>
      <c r="E908" s="18" t="s">
        <v>5150</v>
      </c>
      <c r="F908" s="26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08" s="3">
        <v>73.5</v>
      </c>
      <c r="H908" s="3">
        <v>100</v>
      </c>
      <c r="I908" s="1">
        <f>COUNTA(ProductInfo[[#This Row],[P1]:[P15]])</f>
        <v>5</v>
      </c>
      <c r="J9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08" s="7" t="s">
        <v>12</v>
      </c>
      <c r="M908" s="7" t="s">
        <v>13</v>
      </c>
      <c r="N908" s="7" t="s">
        <v>15</v>
      </c>
      <c r="O908" s="7" t="s">
        <v>16</v>
      </c>
      <c r="P908" s="7" t="s">
        <v>14</v>
      </c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s="1" customFormat="1">
      <c r="A909" s="8" t="s">
        <v>5012</v>
      </c>
      <c r="B909" s="8" t="s">
        <v>5010</v>
      </c>
      <c r="C909" s="2" t="str">
        <f>RIGHT(ProductInfo[[#This Row],[Drawing No]],1)</f>
        <v>0</v>
      </c>
      <c r="D909" s="179" t="s">
        <v>3033</v>
      </c>
      <c r="E909" s="18" t="s">
        <v>5150</v>
      </c>
      <c r="F909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09" s="3">
        <v>73.5</v>
      </c>
      <c r="H909" s="3">
        <v>100</v>
      </c>
      <c r="I909" s="1">
        <f>COUNTA(ProductInfo[[#This Row],[P1]:[P15]])</f>
        <v>5</v>
      </c>
      <c r="J9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09" s="7" t="s">
        <v>12</v>
      </c>
      <c r="M909" s="7" t="s">
        <v>13</v>
      </c>
      <c r="N909" s="7" t="s">
        <v>15</v>
      </c>
      <c r="O909" s="7" t="s">
        <v>16</v>
      </c>
      <c r="P909" s="7" t="s">
        <v>14</v>
      </c>
      <c r="Q909" s="7"/>
      <c r="R909" s="4"/>
      <c r="S909" s="4"/>
      <c r="T909" s="4"/>
      <c r="U909" s="4"/>
      <c r="V909" s="4"/>
      <c r="W909" s="4"/>
      <c r="X909" s="4"/>
      <c r="Y909" s="4"/>
      <c r="Z909" s="4"/>
    </row>
    <row r="910" spans="1:26" s="1" customFormat="1">
      <c r="A910" s="8" t="s">
        <v>1030</v>
      </c>
      <c r="B910" s="8" t="s">
        <v>1030</v>
      </c>
      <c r="C910" s="1" t="str">
        <f>RIGHT(ProductInfo[[#This Row],[Drawing No]],1)</f>
        <v>1</v>
      </c>
      <c r="D910" s="176" t="s">
        <v>3129</v>
      </c>
      <c r="E910" s="16"/>
      <c r="F9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0" s="31"/>
      <c r="H910" s="31"/>
      <c r="I910" s="1">
        <f>COUNTA(ProductInfo[[#This Row],[P1]:[P15]])</f>
        <v>0</v>
      </c>
      <c r="J9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s="1" customFormat="1">
      <c r="A911" s="8" t="s">
        <v>1031</v>
      </c>
      <c r="B911" s="8" t="s">
        <v>1031</v>
      </c>
      <c r="C911" s="1" t="str">
        <f>RIGHT(ProductInfo[[#This Row],[Drawing No]],1)</f>
        <v>2</v>
      </c>
      <c r="D911" s="176" t="s">
        <v>3130</v>
      </c>
      <c r="E911" s="16"/>
      <c r="F9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1" s="31"/>
      <c r="H911" s="31"/>
      <c r="I911" s="1">
        <f>COUNTA(ProductInfo[[#This Row],[P1]:[P15]])</f>
        <v>0</v>
      </c>
      <c r="J9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s="1" customFormat="1">
      <c r="A912" s="8" t="s">
        <v>1032</v>
      </c>
      <c r="B912" s="8" t="s">
        <v>1032</v>
      </c>
      <c r="C912" s="1" t="str">
        <f>RIGHT(ProductInfo[[#This Row],[Drawing No]],1)</f>
        <v>3</v>
      </c>
      <c r="D912" s="179" t="s">
        <v>1033</v>
      </c>
      <c r="E912" s="18"/>
      <c r="F91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2" s="32"/>
      <c r="H912" s="3">
        <v>50</v>
      </c>
      <c r="I912" s="1">
        <f>COUNTA(ProductInfo[[#This Row],[P1]:[P15]])</f>
        <v>0</v>
      </c>
      <c r="J9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s="1" customFormat="1">
      <c r="A913" s="8" t="s">
        <v>4336</v>
      </c>
      <c r="B913" s="8" t="s">
        <v>4335</v>
      </c>
      <c r="C913" s="2" t="str">
        <f>RIGHT(ProductInfo[[#This Row],[Drawing No]],1)</f>
        <v>0</v>
      </c>
      <c r="D913" s="176" t="s">
        <v>4337</v>
      </c>
      <c r="E913" s="16"/>
      <c r="F9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3" s="31"/>
      <c r="H913" s="31"/>
      <c r="I913" s="1">
        <f>COUNTA(ProductInfo[[#This Row],[P1]:[P15]])</f>
        <v>4</v>
      </c>
      <c r="J9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13" s="4" t="s">
        <v>12</v>
      </c>
      <c r="M913" s="4" t="s">
        <v>13</v>
      </c>
      <c r="N913" s="4"/>
      <c r="O913" s="7"/>
      <c r="P913" s="7"/>
      <c r="Q913" s="7"/>
      <c r="R913" s="4" t="s">
        <v>25</v>
      </c>
      <c r="S913" s="4" t="s">
        <v>4339</v>
      </c>
      <c r="T913" s="4"/>
      <c r="U913" s="4"/>
      <c r="V913" s="4"/>
      <c r="W913" s="4"/>
      <c r="X913" s="4"/>
      <c r="Y913" s="4"/>
      <c r="Z913" s="4"/>
    </row>
    <row r="914" spans="1:26" s="1" customFormat="1">
      <c r="A914" s="8" t="s">
        <v>4981</v>
      </c>
      <c r="B914" s="8" t="s">
        <v>4980</v>
      </c>
      <c r="C914" s="2" t="str">
        <f>RIGHT(ProductInfo[[#This Row],[Drawing No]],1)</f>
        <v>0</v>
      </c>
      <c r="D914" s="176" t="s">
        <v>4337</v>
      </c>
      <c r="E914" s="16" t="s">
        <v>4522</v>
      </c>
      <c r="F914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914" s="59">
        <v>87</v>
      </c>
      <c r="H914" s="59">
        <v>40</v>
      </c>
      <c r="I914" s="1">
        <f>COUNTA(ProductInfo[[#This Row],[P1]:[P15]])</f>
        <v>5</v>
      </c>
      <c r="J9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9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914" s="4" t="s">
        <v>15</v>
      </c>
      <c r="M914" s="4" t="s">
        <v>12</v>
      </c>
      <c r="N914" s="4" t="s">
        <v>19</v>
      </c>
      <c r="O914" s="4" t="s">
        <v>25</v>
      </c>
      <c r="P914" s="7"/>
      <c r="Q914" s="7"/>
      <c r="R914" s="4" t="s">
        <v>4339</v>
      </c>
      <c r="S914" s="4"/>
      <c r="T914" s="4"/>
      <c r="U914" s="4"/>
      <c r="V914" s="4"/>
      <c r="W914" s="4"/>
      <c r="X914" s="4"/>
      <c r="Y914" s="4"/>
      <c r="Z914" s="4"/>
    </row>
    <row r="915" spans="1:26" s="1" customFormat="1">
      <c r="A915" s="8" t="s">
        <v>5143</v>
      </c>
      <c r="B915" s="8" t="s">
        <v>5144</v>
      </c>
      <c r="C915" s="2" t="str">
        <f>RIGHT(ProductInfo[[#This Row],[Drawing No]],1)</f>
        <v>0</v>
      </c>
      <c r="D915" s="176" t="s">
        <v>5145</v>
      </c>
      <c r="E915" s="16" t="s">
        <v>5150</v>
      </c>
      <c r="F915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15" s="59">
        <v>73</v>
      </c>
      <c r="H915" s="59">
        <v>80</v>
      </c>
      <c r="I915" s="1">
        <f>COUNTA(ProductInfo[[#This Row],[P1]:[P15]])</f>
        <v>2</v>
      </c>
      <c r="J9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5" s="4" t="s">
        <v>12</v>
      </c>
      <c r="M915" s="4" t="s">
        <v>13</v>
      </c>
      <c r="N915" s="4"/>
      <c r="O915" s="4"/>
      <c r="P915" s="7"/>
      <c r="Q915" s="7"/>
      <c r="R915" s="4"/>
      <c r="S915" s="4"/>
      <c r="T915" s="4"/>
      <c r="U915" s="4"/>
      <c r="V915" s="4"/>
      <c r="W915" s="4"/>
      <c r="X915" s="4"/>
      <c r="Y915" s="4"/>
      <c r="Z915" s="4"/>
    </row>
    <row r="916" spans="1:26" s="1" customFormat="1">
      <c r="A916" s="8" t="s">
        <v>5553</v>
      </c>
      <c r="B916" s="8" t="s">
        <v>5552</v>
      </c>
      <c r="C916" s="2" t="str">
        <f>RIGHT(ProductInfo[[#This Row],[Drawing No]],1)</f>
        <v>0</v>
      </c>
      <c r="D916" s="176" t="s">
        <v>5597</v>
      </c>
      <c r="E916" s="16" t="s">
        <v>5150</v>
      </c>
      <c r="F916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16" s="59">
        <v>73</v>
      </c>
      <c r="H916" s="59">
        <v>80</v>
      </c>
      <c r="I916" s="1">
        <f>COUNTA(ProductInfo[[#This Row],[P1]:[P15]])</f>
        <v>5</v>
      </c>
      <c r="J9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916" s="4" t="s">
        <v>12</v>
      </c>
      <c r="M916" s="4" t="s">
        <v>13</v>
      </c>
      <c r="N916" s="4" t="s">
        <v>15</v>
      </c>
      <c r="O916" s="4" t="s">
        <v>16</v>
      </c>
      <c r="P916" s="7" t="s">
        <v>19</v>
      </c>
      <c r="Q916" s="7"/>
      <c r="R916" s="4"/>
      <c r="S916" s="4"/>
      <c r="T916" s="4"/>
      <c r="U916" s="4"/>
      <c r="V916" s="4"/>
      <c r="W916" s="4"/>
      <c r="X916" s="4"/>
      <c r="Y916" s="4"/>
      <c r="Z916" s="4"/>
    </row>
    <row r="917" spans="1:26" s="1" customFormat="1">
      <c r="A917" s="8" t="s">
        <v>5141</v>
      </c>
      <c r="B917" s="8" t="s">
        <v>5140</v>
      </c>
      <c r="C917" s="2" t="str">
        <f>RIGHT(ProductInfo[[#This Row],[Drawing No]],1)</f>
        <v>0</v>
      </c>
      <c r="D917" s="176" t="s">
        <v>5142</v>
      </c>
      <c r="E917" s="16" t="s">
        <v>5150</v>
      </c>
      <c r="F917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17" s="59">
        <v>73</v>
      </c>
      <c r="H917" s="59">
        <v>80</v>
      </c>
      <c r="I917" s="1">
        <f>COUNTA(ProductInfo[[#This Row],[P1]:[P15]])</f>
        <v>2</v>
      </c>
      <c r="J9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7" s="4" t="s">
        <v>12</v>
      </c>
      <c r="M917" s="4" t="s">
        <v>13</v>
      </c>
      <c r="N917" s="4"/>
      <c r="O917" s="4"/>
      <c r="P917" s="7"/>
      <c r="Q917" s="7"/>
      <c r="R917" s="4"/>
      <c r="S917" s="4"/>
      <c r="T917" s="4"/>
      <c r="U917" s="4"/>
      <c r="V917" s="4"/>
      <c r="W917" s="4"/>
      <c r="X917" s="4"/>
      <c r="Y917" s="4"/>
      <c r="Z917" s="4"/>
    </row>
    <row r="918" spans="1:26" s="1" customFormat="1">
      <c r="A918" s="8" t="s">
        <v>5555</v>
      </c>
      <c r="B918" s="8" t="s">
        <v>5554</v>
      </c>
      <c r="C918" s="2" t="str">
        <f>RIGHT(ProductInfo[[#This Row],[Drawing No]],1)</f>
        <v>0</v>
      </c>
      <c r="D918" s="176" t="s">
        <v>5598</v>
      </c>
      <c r="E918" s="16" t="s">
        <v>5150</v>
      </c>
      <c r="F918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18" s="59">
        <v>73</v>
      </c>
      <c r="H918" s="59">
        <v>80</v>
      </c>
      <c r="I918" s="1">
        <f>COUNTA(ProductInfo[[#This Row],[P1]:[P15]])</f>
        <v>5</v>
      </c>
      <c r="J9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918" s="4" t="s">
        <v>12</v>
      </c>
      <c r="M918" s="4" t="s">
        <v>13</v>
      </c>
      <c r="N918" s="4" t="s">
        <v>15</v>
      </c>
      <c r="O918" s="4" t="s">
        <v>16</v>
      </c>
      <c r="P918" s="7" t="s">
        <v>19</v>
      </c>
      <c r="Q918" s="7"/>
      <c r="R918" s="4"/>
      <c r="S918" s="4"/>
      <c r="T918" s="4"/>
      <c r="U918" s="4"/>
      <c r="V918" s="4"/>
      <c r="W918" s="4"/>
      <c r="X918" s="4"/>
      <c r="Y918" s="4"/>
      <c r="Z918" s="4"/>
    </row>
    <row r="919" spans="1:26" s="1" customFormat="1">
      <c r="A919" s="8" t="s">
        <v>1034</v>
      </c>
      <c r="B919" s="8" t="s">
        <v>1034</v>
      </c>
      <c r="C919" s="1" t="str">
        <f>RIGHT(ProductInfo[[#This Row],[Drawing No]],1)</f>
        <v>3</v>
      </c>
      <c r="D919" s="176" t="s">
        <v>2913</v>
      </c>
      <c r="E919" s="16"/>
      <c r="F9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19" s="31"/>
      <c r="H919" s="31"/>
      <c r="I919" s="1">
        <f>COUNTA(ProductInfo[[#This Row],[P1]:[P15]])</f>
        <v>0</v>
      </c>
      <c r="J9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s="1" customFormat="1">
      <c r="A920" s="8" t="s">
        <v>1035</v>
      </c>
      <c r="B920" s="8" t="s">
        <v>1035</v>
      </c>
      <c r="C920" s="1" t="str">
        <f>RIGHT(ProductInfo[[#This Row],[Drawing No]],1)</f>
        <v>4</v>
      </c>
      <c r="D920" s="176" t="s">
        <v>2521</v>
      </c>
      <c r="E920" s="16"/>
      <c r="F9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0" s="31"/>
      <c r="H920" s="31"/>
      <c r="I920" s="1">
        <f>COUNTA(ProductInfo[[#This Row],[P1]:[P15]])</f>
        <v>0</v>
      </c>
      <c r="J9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s="1" customFormat="1">
      <c r="A921" s="8" t="s">
        <v>1036</v>
      </c>
      <c r="B921" s="8" t="s">
        <v>1036</v>
      </c>
      <c r="C921" s="1" t="str">
        <f>RIGHT(ProductInfo[[#This Row],[Drawing No]],1)</f>
        <v>6</v>
      </c>
      <c r="D921" s="176" t="s">
        <v>2522</v>
      </c>
      <c r="E921" s="16"/>
      <c r="F9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1" s="31"/>
      <c r="H921" s="31"/>
      <c r="I921" s="1">
        <f>COUNTA(ProductInfo[[#This Row],[P1]:[P15]])</f>
        <v>0</v>
      </c>
      <c r="J9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s="1" customFormat="1">
      <c r="A922" s="8" t="s">
        <v>1037</v>
      </c>
      <c r="B922" s="8" t="s">
        <v>1037</v>
      </c>
      <c r="C922" s="1" t="str">
        <f>RIGHT(ProductInfo[[#This Row],[Drawing No]],1)</f>
        <v>7</v>
      </c>
      <c r="D922" s="176" t="s">
        <v>3131</v>
      </c>
      <c r="E922" s="16"/>
      <c r="F9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2" s="31"/>
      <c r="H922" s="31"/>
      <c r="I922" s="1">
        <f>COUNTA(ProductInfo[[#This Row],[P1]:[P15]])</f>
        <v>0</v>
      </c>
      <c r="J9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s="1" customFormat="1" ht="19.8">
      <c r="A923" s="8" t="s">
        <v>1038</v>
      </c>
      <c r="B923" s="8" t="s">
        <v>3612</v>
      </c>
      <c r="C923" s="1" t="str">
        <f>RIGHT(ProductInfo[[#This Row],[Drawing No]],1)</f>
        <v>1</v>
      </c>
      <c r="D923" s="179" t="s">
        <v>2827</v>
      </c>
      <c r="E923" s="121" t="s">
        <v>6530</v>
      </c>
      <c r="F923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923" s="3">
        <v>84</v>
      </c>
      <c r="H923" s="3">
        <v>100</v>
      </c>
      <c r="I923" s="1">
        <f>COUNTA(ProductInfo[[#This Row],[P1]:[P15]])</f>
        <v>3</v>
      </c>
      <c r="J9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3" s="7" t="s">
        <v>12</v>
      </c>
      <c r="M923" s="7" t="s">
        <v>13</v>
      </c>
      <c r="N923" s="7" t="s">
        <v>14</v>
      </c>
      <c r="O923" s="7"/>
      <c r="P923" s="7"/>
      <c r="Q923" s="7"/>
      <c r="R923" s="7"/>
      <c r="S923" s="7"/>
      <c r="T923" s="4"/>
      <c r="U923" s="4"/>
      <c r="V923" s="4"/>
      <c r="W923" s="4"/>
      <c r="X923" s="4"/>
      <c r="Y923" s="4"/>
      <c r="Z923" s="4"/>
    </row>
    <row r="924" spans="1:26" s="1" customFormat="1">
      <c r="A924" s="8" t="s">
        <v>1039</v>
      </c>
      <c r="B924" s="8" t="s">
        <v>1039</v>
      </c>
      <c r="C924" s="1" t="str">
        <f>RIGHT(ProductInfo[[#This Row],[Drawing No]],1)</f>
        <v>0</v>
      </c>
      <c r="D924" s="176" t="s">
        <v>2914</v>
      </c>
      <c r="E924" s="16"/>
      <c r="F9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4" s="31"/>
      <c r="H924" s="31"/>
      <c r="I924" s="1">
        <f>COUNTA(ProductInfo[[#This Row],[P1]:[P15]])</f>
        <v>0</v>
      </c>
      <c r="J9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s="1" customFormat="1">
      <c r="A925" s="8" t="s">
        <v>1040</v>
      </c>
      <c r="B925" s="8" t="s">
        <v>1040</v>
      </c>
      <c r="C925" s="1" t="str">
        <f>RIGHT(ProductInfo[[#This Row],[Drawing No]],1)</f>
        <v>1</v>
      </c>
      <c r="D925" s="176" t="s">
        <v>2523</v>
      </c>
      <c r="E925" s="16"/>
      <c r="F9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5" s="31"/>
      <c r="H925" s="31"/>
      <c r="I925" s="1">
        <f>COUNTA(ProductInfo[[#This Row],[P1]:[P15]])</f>
        <v>0</v>
      </c>
      <c r="J9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s="1" customFormat="1">
      <c r="A926" s="8" t="s">
        <v>1041</v>
      </c>
      <c r="B926" s="8" t="s">
        <v>1041</v>
      </c>
      <c r="C926" s="1" t="str">
        <f>RIGHT(ProductInfo[[#This Row],[Drawing No]],1)</f>
        <v>2</v>
      </c>
      <c r="D926" s="176" t="s">
        <v>2523</v>
      </c>
      <c r="E926" s="16"/>
      <c r="F9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6" s="31"/>
      <c r="H926" s="31"/>
      <c r="I926" s="1">
        <f>COUNTA(ProductInfo[[#This Row],[P1]:[P15]])</f>
        <v>0</v>
      </c>
      <c r="J9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s="1" customFormat="1" ht="19.8">
      <c r="A927" s="8" t="s">
        <v>1042</v>
      </c>
      <c r="B927" s="8" t="s">
        <v>3733</v>
      </c>
      <c r="C927" s="1" t="str">
        <f>RIGHT(ProductInfo[[#This Row],[Drawing No]],1)</f>
        <v>0</v>
      </c>
      <c r="D927" s="176" t="s">
        <v>2524</v>
      </c>
      <c r="E927" s="121" t="s">
        <v>6530</v>
      </c>
      <c r="F927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927" s="59">
        <v>35</v>
      </c>
      <c r="H927" s="59">
        <v>100</v>
      </c>
      <c r="I927" s="1">
        <f>COUNTA(ProductInfo[[#This Row],[P1]:[P15]])</f>
        <v>4</v>
      </c>
      <c r="J9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27" s="4" t="s">
        <v>12</v>
      </c>
      <c r="M927" s="4" t="s">
        <v>13</v>
      </c>
      <c r="N927" s="4" t="s">
        <v>15</v>
      </c>
      <c r="O927" s="7" t="s">
        <v>14</v>
      </c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s="1" customFormat="1">
      <c r="A928" s="8" t="s">
        <v>1043</v>
      </c>
      <c r="B928" s="8" t="s">
        <v>1043</v>
      </c>
      <c r="C928" s="1" t="str">
        <f>RIGHT(ProductInfo[[#This Row],[Drawing No]],1)</f>
        <v>1</v>
      </c>
      <c r="D928" s="176" t="s">
        <v>3132</v>
      </c>
      <c r="E928" s="16"/>
      <c r="F9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8" s="31"/>
      <c r="H928" s="31"/>
      <c r="I928" s="1">
        <f>COUNTA(ProductInfo[[#This Row],[P1]:[P15]])</f>
        <v>0</v>
      </c>
      <c r="J9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s="1" customFormat="1">
      <c r="A929" s="8" t="s">
        <v>1044</v>
      </c>
      <c r="B929" s="8" t="s">
        <v>1044</v>
      </c>
      <c r="C929" s="1" t="str">
        <f>RIGHT(ProductInfo[[#This Row],[Drawing No]],1)</f>
        <v>3</v>
      </c>
      <c r="D929" s="176" t="s">
        <v>2525</v>
      </c>
      <c r="E929" s="16"/>
      <c r="F9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29" s="31"/>
      <c r="H929" s="31"/>
      <c r="I929" s="1">
        <f>COUNTA(ProductInfo[[#This Row],[P1]:[P15]])</f>
        <v>0</v>
      </c>
      <c r="J9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s="1" customFormat="1">
      <c r="A930" s="8" t="s">
        <v>1045</v>
      </c>
      <c r="B930" s="8" t="s">
        <v>1045</v>
      </c>
      <c r="C930" s="1" t="str">
        <f>RIGHT(ProductInfo[[#This Row],[Drawing No]],1)</f>
        <v>4</v>
      </c>
      <c r="D930" s="176" t="s">
        <v>2525</v>
      </c>
      <c r="E930" s="16"/>
      <c r="F9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0" s="31"/>
      <c r="H930" s="31"/>
      <c r="I930" s="1">
        <f>COUNTA(ProductInfo[[#This Row],[P1]:[P15]])</f>
        <v>0</v>
      </c>
      <c r="J9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s="1" customFormat="1">
      <c r="A931" s="8" t="s">
        <v>1046</v>
      </c>
      <c r="B931" s="8" t="s">
        <v>3606</v>
      </c>
      <c r="C931" s="1" t="str">
        <f>RIGHT(ProductInfo[[#This Row],[Drawing No]],1)</f>
        <v>0</v>
      </c>
      <c r="D931" s="176" t="s">
        <v>2526</v>
      </c>
      <c r="E931" s="16" t="s">
        <v>4561</v>
      </c>
      <c r="F931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931" s="59">
        <v>56.5</v>
      </c>
      <c r="H931" s="59"/>
      <c r="I931" s="1">
        <f>COUNTA(ProductInfo[[#This Row],[P1]:[P15]])</f>
        <v>3</v>
      </c>
      <c r="J9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1" s="7" t="s">
        <v>12</v>
      </c>
      <c r="M931" s="7" t="s">
        <v>13</v>
      </c>
      <c r="N931" s="7" t="s">
        <v>14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s="1" customFormat="1">
      <c r="A932" s="8" t="s">
        <v>1047</v>
      </c>
      <c r="B932" s="8" t="s">
        <v>1047</v>
      </c>
      <c r="C932" s="1" t="str">
        <f>RIGHT(ProductInfo[[#This Row],[Drawing No]],1)</f>
        <v>1</v>
      </c>
      <c r="D932" s="176" t="s">
        <v>2915</v>
      </c>
      <c r="E932" s="16"/>
      <c r="F9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2" s="31"/>
      <c r="H932" s="31"/>
      <c r="I932" s="1">
        <f>COUNTA(ProductInfo[[#This Row],[P1]:[P15]])</f>
        <v>0</v>
      </c>
      <c r="J9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s="1" customFormat="1">
      <c r="A933" s="8" t="s">
        <v>1048</v>
      </c>
      <c r="B933" s="8" t="s">
        <v>1048</v>
      </c>
      <c r="C933" s="1" t="str">
        <f>RIGHT(ProductInfo[[#This Row],[Drawing No]],1)</f>
        <v>3</v>
      </c>
      <c r="D933" s="176" t="s">
        <v>2527</v>
      </c>
      <c r="E933" s="16"/>
      <c r="F9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3" s="31"/>
      <c r="H933" s="31"/>
      <c r="I933" s="1">
        <f>COUNTA(ProductInfo[[#This Row],[P1]:[P15]])</f>
        <v>0</v>
      </c>
      <c r="J9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s="1" customFormat="1">
      <c r="A934" s="8" t="s">
        <v>1049</v>
      </c>
      <c r="B934" s="8" t="s">
        <v>1049</v>
      </c>
      <c r="C934" s="1" t="str">
        <f>RIGHT(ProductInfo[[#This Row],[Drawing No]],1)</f>
        <v>4</v>
      </c>
      <c r="D934" s="176" t="s">
        <v>2528</v>
      </c>
      <c r="E934" s="16"/>
      <c r="F9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4" s="31"/>
      <c r="H934" s="31"/>
      <c r="I934" s="1">
        <f>COUNTA(ProductInfo[[#This Row],[P1]:[P15]])</f>
        <v>0</v>
      </c>
      <c r="J9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s="1" customFormat="1">
      <c r="A935" s="8" t="s">
        <v>1050</v>
      </c>
      <c r="B935" s="8" t="s">
        <v>1050</v>
      </c>
      <c r="C935" s="1" t="str">
        <f>RIGHT(ProductInfo[[#This Row],[Drawing No]],1)</f>
        <v>1</v>
      </c>
      <c r="D935" s="176" t="s">
        <v>2529</v>
      </c>
      <c r="E935" s="16"/>
      <c r="F9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5" s="31"/>
      <c r="H935" s="31"/>
      <c r="I935" s="1">
        <f>COUNTA(ProductInfo[[#This Row],[P1]:[P15]])</f>
        <v>0</v>
      </c>
      <c r="J9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s="1" customFormat="1">
      <c r="A936" s="8" t="s">
        <v>1051</v>
      </c>
      <c r="B936" s="8" t="s">
        <v>1051</v>
      </c>
      <c r="C936" s="1" t="str">
        <f>RIGHT(ProductInfo[[#This Row],[Drawing No]],1)</f>
        <v>4</v>
      </c>
      <c r="D936" s="176" t="s">
        <v>2530</v>
      </c>
      <c r="E936" s="16"/>
      <c r="F9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6" s="31"/>
      <c r="H936" s="31"/>
      <c r="I936" s="1">
        <f>COUNTA(ProductInfo[[#This Row],[P1]:[P15]])</f>
        <v>0</v>
      </c>
      <c r="J9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s="1" customFormat="1">
      <c r="A937" s="8" t="s">
        <v>4983</v>
      </c>
      <c r="B937" s="8" t="s">
        <v>4982</v>
      </c>
      <c r="C937" s="2" t="str">
        <f>RIGHT(ProductInfo[[#This Row],[Drawing No]],1)</f>
        <v>0</v>
      </c>
      <c r="D937" s="176" t="s">
        <v>3869</v>
      </c>
      <c r="E937" s="37"/>
      <c r="F9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7" s="31"/>
      <c r="H937" s="31"/>
      <c r="I937" s="1">
        <f>COUNTA(ProductInfo[[#This Row],[P1]:[P15]])</f>
        <v>3</v>
      </c>
      <c r="J9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37" s="4" t="s">
        <v>12</v>
      </c>
      <c r="M937" s="4" t="s">
        <v>13</v>
      </c>
      <c r="N937" s="4"/>
      <c r="O937" s="4" t="s">
        <v>15</v>
      </c>
      <c r="P937" s="7"/>
      <c r="Q937" s="7"/>
      <c r="R937" s="4"/>
      <c r="S937" s="4"/>
      <c r="T937" s="4"/>
      <c r="U937" s="4"/>
      <c r="V937" s="4"/>
      <c r="W937" s="4"/>
      <c r="X937" s="4"/>
      <c r="Y937" s="4"/>
      <c r="Z937" s="4"/>
    </row>
    <row r="938" spans="1:26" s="1" customFormat="1">
      <c r="A938" s="8" t="s">
        <v>1052</v>
      </c>
      <c r="B938" s="8" t="s">
        <v>1052</v>
      </c>
      <c r="C938" s="1" t="str">
        <f>RIGHT(ProductInfo[[#This Row],[Drawing No]],1)</f>
        <v>0</v>
      </c>
      <c r="D938" s="176" t="s">
        <v>2531</v>
      </c>
      <c r="E938" s="16"/>
      <c r="F9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8" s="31"/>
      <c r="H938" s="31"/>
      <c r="I938" s="1">
        <f>COUNTA(ProductInfo[[#This Row],[P1]:[P15]])</f>
        <v>0</v>
      </c>
      <c r="J9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s="1" customFormat="1">
      <c r="A939" s="8" t="s">
        <v>1053</v>
      </c>
      <c r="B939" s="8" t="s">
        <v>1053</v>
      </c>
      <c r="C939" s="1" t="str">
        <f>RIGHT(ProductInfo[[#This Row],[Drawing No]],1)</f>
        <v>1</v>
      </c>
      <c r="D939" s="176" t="s">
        <v>2532</v>
      </c>
      <c r="E939" s="16"/>
      <c r="F9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39" s="31"/>
      <c r="H939" s="31"/>
      <c r="I939" s="1">
        <f>COUNTA(ProductInfo[[#This Row],[P1]:[P15]])</f>
        <v>0</v>
      </c>
      <c r="J9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s="1" customFormat="1">
      <c r="A940" s="8" t="s">
        <v>1054</v>
      </c>
      <c r="B940" s="8" t="s">
        <v>1054</v>
      </c>
      <c r="C940" s="1" t="str">
        <f>RIGHT(ProductInfo[[#This Row],[Drawing No]],1)</f>
        <v>2</v>
      </c>
      <c r="D940" s="176" t="s">
        <v>2532</v>
      </c>
      <c r="E940" s="16"/>
      <c r="F9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0" s="31"/>
      <c r="H940" s="31"/>
      <c r="I940" s="1">
        <f>COUNTA(ProductInfo[[#This Row],[P1]:[P15]])</f>
        <v>0</v>
      </c>
      <c r="J9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s="1" customFormat="1">
      <c r="A941" s="8" t="s">
        <v>1055</v>
      </c>
      <c r="B941" s="8" t="s">
        <v>1055</v>
      </c>
      <c r="C941" s="1" t="str">
        <f>RIGHT(ProductInfo[[#This Row],[Drawing No]],1)</f>
        <v>3</v>
      </c>
      <c r="D941" s="176" t="s">
        <v>2532</v>
      </c>
      <c r="E941" s="16"/>
      <c r="F9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1" s="31"/>
      <c r="H941" s="31"/>
      <c r="I941" s="1">
        <f>COUNTA(ProductInfo[[#This Row],[P1]:[P15]])</f>
        <v>0</v>
      </c>
      <c r="J9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s="1" customFormat="1">
      <c r="A942" s="8" t="s">
        <v>1056</v>
      </c>
      <c r="B942" s="8" t="s">
        <v>1056</v>
      </c>
      <c r="C942" s="1" t="str">
        <f>RIGHT(ProductInfo[[#This Row],[Drawing No]],1)</f>
        <v>4</v>
      </c>
      <c r="D942" s="176" t="s">
        <v>2532</v>
      </c>
      <c r="E942" s="16"/>
      <c r="F9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2" s="31"/>
      <c r="H942" s="31"/>
      <c r="I942" s="1">
        <f>COUNTA(ProductInfo[[#This Row],[P1]:[P15]])</f>
        <v>0</v>
      </c>
      <c r="J9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s="1" customFormat="1">
      <c r="A943" s="8" t="s">
        <v>1057</v>
      </c>
      <c r="B943" s="8" t="s">
        <v>4485</v>
      </c>
      <c r="C943" s="2" t="str">
        <f>RIGHT(ProductInfo[[#This Row],[Drawing No]],1)</f>
        <v>1</v>
      </c>
      <c r="D943" s="176" t="s">
        <v>2828</v>
      </c>
      <c r="E943" s="16" t="s">
        <v>5150</v>
      </c>
      <c r="F943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43" s="59">
        <v>45</v>
      </c>
      <c r="H943" s="59"/>
      <c r="I943" s="1">
        <f>COUNTA(ProductInfo[[#This Row],[P1]:[P15]])</f>
        <v>4</v>
      </c>
      <c r="J9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43" s="7" t="s">
        <v>12</v>
      </c>
      <c r="M943" s="7" t="s">
        <v>13</v>
      </c>
      <c r="N943" s="7" t="s">
        <v>16</v>
      </c>
      <c r="O943" s="7" t="s">
        <v>19</v>
      </c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s="1" customFormat="1">
      <c r="A944" s="8" t="s">
        <v>1058</v>
      </c>
      <c r="B944" s="8" t="s">
        <v>1058</v>
      </c>
      <c r="C944" s="1" t="str">
        <f>RIGHT(ProductInfo[[#This Row],[Drawing No]],1)</f>
        <v>0</v>
      </c>
      <c r="D944" s="176" t="s">
        <v>2916</v>
      </c>
      <c r="E944" s="16"/>
      <c r="F9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4" s="31"/>
      <c r="H944" s="31"/>
      <c r="I944" s="1">
        <f>COUNTA(ProductInfo[[#This Row],[P1]:[P15]])</f>
        <v>0</v>
      </c>
      <c r="J9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s="1" customFormat="1">
      <c r="A945" s="8" t="s">
        <v>1059</v>
      </c>
      <c r="B945" s="8" t="s">
        <v>1059</v>
      </c>
      <c r="C945" s="1" t="str">
        <f>RIGHT(ProductInfo[[#This Row],[Drawing No]],1)</f>
        <v>1</v>
      </c>
      <c r="D945" s="176" t="s">
        <v>2533</v>
      </c>
      <c r="E945" s="16"/>
      <c r="F9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5" s="31"/>
      <c r="H945" s="31"/>
      <c r="I945" s="1">
        <f>COUNTA(ProductInfo[[#This Row],[P1]:[P15]])</f>
        <v>0</v>
      </c>
      <c r="J9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s="1" customFormat="1">
      <c r="A946" s="8" t="s">
        <v>1060</v>
      </c>
      <c r="B946" s="8" t="s">
        <v>3627</v>
      </c>
      <c r="C946" s="1" t="str">
        <f>RIGHT(ProductInfo[[#This Row],[Drawing No]],1)</f>
        <v>0</v>
      </c>
      <c r="D946" s="176" t="s">
        <v>2533</v>
      </c>
      <c r="E946" s="16" t="s">
        <v>5150</v>
      </c>
      <c r="F946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946" s="59">
        <v>73</v>
      </c>
      <c r="H946" s="59">
        <v>100</v>
      </c>
      <c r="I946" s="1">
        <f>COUNTA(ProductInfo[[#This Row],[P1]:[P15]])</f>
        <v>2</v>
      </c>
      <c r="J9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6" s="7" t="s">
        <v>12</v>
      </c>
      <c r="M946" s="7" t="s">
        <v>13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s="1" customFormat="1">
      <c r="A947" s="8" t="s">
        <v>1061</v>
      </c>
      <c r="B947" s="8" t="s">
        <v>1061</v>
      </c>
      <c r="C947" s="1" t="str">
        <f>RIGHT(ProductInfo[[#This Row],[Drawing No]],1)</f>
        <v>1</v>
      </c>
      <c r="D947" s="179" t="s">
        <v>3034</v>
      </c>
      <c r="E947" s="18"/>
      <c r="F94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7" s="32"/>
      <c r="H947" s="32"/>
      <c r="I947" s="1">
        <f>COUNTA(ProductInfo[[#This Row],[P1]:[P15]])</f>
        <v>0</v>
      </c>
      <c r="J9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s="1" customFormat="1">
      <c r="A948" s="8" t="s">
        <v>1062</v>
      </c>
      <c r="B948" s="8" t="s">
        <v>1062</v>
      </c>
      <c r="C948" s="1" t="str">
        <f>RIGHT(ProductInfo[[#This Row],[Drawing No]],1)</f>
        <v>0</v>
      </c>
      <c r="D948" s="179" t="s">
        <v>2829</v>
      </c>
      <c r="E948" s="18"/>
      <c r="F94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8" s="32"/>
      <c r="H948" s="32"/>
      <c r="I948" s="1">
        <f>COUNTA(ProductInfo[[#This Row],[P1]:[P15]])</f>
        <v>0</v>
      </c>
      <c r="J9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s="1" customFormat="1">
      <c r="A949" s="8" t="s">
        <v>1063</v>
      </c>
      <c r="B949" s="8" t="s">
        <v>1063</v>
      </c>
      <c r="C949" s="1" t="str">
        <f>RIGHT(ProductInfo[[#This Row],[Drawing No]],1)</f>
        <v>1</v>
      </c>
      <c r="D949" s="176" t="s">
        <v>2534</v>
      </c>
      <c r="E949" s="16"/>
      <c r="F9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49" s="31"/>
      <c r="H949" s="31"/>
      <c r="I949" s="1">
        <f>COUNTA(ProductInfo[[#This Row],[P1]:[P15]])</f>
        <v>0</v>
      </c>
      <c r="J9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s="1" customFormat="1">
      <c r="A950" s="8" t="s">
        <v>1064</v>
      </c>
      <c r="B950" s="8" t="s">
        <v>4486</v>
      </c>
      <c r="C950" s="1" t="str">
        <f>RIGHT(ProductInfo[[#This Row],[Drawing No]],1)</f>
        <v>1</v>
      </c>
      <c r="D950" s="176" t="s">
        <v>2534</v>
      </c>
      <c r="E950" s="16"/>
      <c r="F9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0" s="31"/>
      <c r="H950" s="31"/>
      <c r="I950" s="1">
        <f>COUNTA(ProductInfo[[#This Row],[P1]:[P15]])</f>
        <v>2</v>
      </c>
      <c r="J9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0" s="7" t="s">
        <v>12</v>
      </c>
      <c r="M950" s="7" t="s">
        <v>13</v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s="1" customFormat="1">
      <c r="A951" s="8" t="s">
        <v>2</v>
      </c>
      <c r="B951" s="8" t="s">
        <v>2</v>
      </c>
      <c r="C951" s="1" t="str">
        <f>RIGHT(ProductInfo[[#This Row],[Drawing No]],1)</f>
        <v>1</v>
      </c>
      <c r="D951" s="179" t="s">
        <v>3035</v>
      </c>
      <c r="E951" s="18"/>
      <c r="F95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1" s="32"/>
      <c r="H951" s="3">
        <v>50</v>
      </c>
      <c r="I951" s="1">
        <f>COUNTA(ProductInfo[[#This Row],[P1]:[P15]])</f>
        <v>0</v>
      </c>
      <c r="J9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s="1" customFormat="1">
      <c r="A952" s="8" t="s">
        <v>18</v>
      </c>
      <c r="B952" s="8" t="s">
        <v>18</v>
      </c>
      <c r="C952" s="1" t="str">
        <f>RIGHT(ProductInfo[[#This Row],[Drawing No]],1)</f>
        <v>1</v>
      </c>
      <c r="D952" s="179" t="s">
        <v>1065</v>
      </c>
      <c r="E952" s="18"/>
      <c r="F95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2" s="32"/>
      <c r="H952" s="3">
        <v>50</v>
      </c>
      <c r="I952" s="1">
        <f>COUNTA(ProductInfo[[#This Row],[P1]:[P15]])</f>
        <v>0</v>
      </c>
      <c r="J9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s="1" customFormat="1">
      <c r="A953" s="8" t="s">
        <v>1066</v>
      </c>
      <c r="B953" s="8" t="s">
        <v>1066</v>
      </c>
      <c r="C953" s="1" t="str">
        <f>RIGHT(ProductInfo[[#This Row],[Drawing No]],1)</f>
        <v>4</v>
      </c>
      <c r="D953" s="176" t="s">
        <v>2535</v>
      </c>
      <c r="E953" s="16"/>
      <c r="F9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3" s="31"/>
      <c r="H953" s="3">
        <v>50</v>
      </c>
      <c r="I953" s="1">
        <f>COUNTA(ProductInfo[[#This Row],[P1]:[P15]])</f>
        <v>0</v>
      </c>
      <c r="J9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s="1" customFormat="1">
      <c r="A954" s="8" t="s">
        <v>4985</v>
      </c>
      <c r="B954" s="8" t="s">
        <v>4984</v>
      </c>
      <c r="C954" s="2" t="str">
        <f>RIGHT(ProductInfo[[#This Row],[Drawing No]],1)</f>
        <v>0</v>
      </c>
      <c r="D954" s="176" t="s">
        <v>4986</v>
      </c>
      <c r="E954" s="16"/>
      <c r="F9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4" s="31"/>
      <c r="H954" s="31"/>
      <c r="I954" s="1">
        <f>COUNTA(ProductInfo[[#This Row],[P1]:[P15]])</f>
        <v>3</v>
      </c>
      <c r="J9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4" s="4" t="s">
        <v>12</v>
      </c>
      <c r="M954" s="4" t="s">
        <v>13</v>
      </c>
      <c r="N954" s="4"/>
      <c r="O954" s="4" t="s">
        <v>14</v>
      </c>
      <c r="P954" s="7"/>
      <c r="Q954" s="7"/>
      <c r="R954" s="4"/>
      <c r="S954" s="4"/>
      <c r="T954" s="4"/>
      <c r="U954" s="4"/>
      <c r="V954" s="4"/>
      <c r="W954" s="4"/>
      <c r="X954" s="4"/>
      <c r="Y954" s="4"/>
      <c r="Z954" s="4"/>
    </row>
    <row r="955" spans="1:26" s="1" customFormat="1">
      <c r="A955" s="8" t="s">
        <v>1067</v>
      </c>
      <c r="B955" s="8" t="s">
        <v>1067</v>
      </c>
      <c r="C955" s="1" t="str">
        <f>RIGHT(ProductInfo[[#This Row],[Drawing No]],1)</f>
        <v>3</v>
      </c>
      <c r="D955" s="176" t="s">
        <v>3133</v>
      </c>
      <c r="E955" s="16"/>
      <c r="F9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5" s="31"/>
      <c r="H955" s="3">
        <v>50</v>
      </c>
      <c r="I955" s="1">
        <f>COUNTA(ProductInfo[[#This Row],[P1]:[P15]])</f>
        <v>0</v>
      </c>
      <c r="J9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s="1" customFormat="1">
      <c r="A956" s="8" t="s">
        <v>20</v>
      </c>
      <c r="B956" s="8" t="s">
        <v>3311</v>
      </c>
      <c r="C956" s="1" t="str">
        <f>RIGHT(ProductInfo[[#This Row],[Drawing No]],1)</f>
        <v>0</v>
      </c>
      <c r="D956" s="179" t="s">
        <v>3134</v>
      </c>
      <c r="E956" s="18" t="s">
        <v>3722</v>
      </c>
      <c r="F956" s="26" t="str">
        <f>IFERROR(INDEX(MaterialCode[รายละเอียด],MATCH(ProductInfo[[#This Row],[Material Code]],MaterialCode[Material Code],0)),"ไม่พบวัตถุดิบ")</f>
        <v>MATT FORDGE G M42</v>
      </c>
      <c r="G956" s="32"/>
      <c r="H956" s="3">
        <v>50</v>
      </c>
      <c r="I956" s="1">
        <f>COUNTA(ProductInfo[[#This Row],[P1]:[P15]])</f>
        <v>3</v>
      </c>
      <c r="J9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6" s="7" t="s">
        <v>12</v>
      </c>
      <c r="M956" s="7" t="s">
        <v>13</v>
      </c>
      <c r="N956" s="7" t="s">
        <v>14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s="1" customFormat="1">
      <c r="A957" s="8" t="s">
        <v>4988</v>
      </c>
      <c r="B957" s="8" t="s">
        <v>4987</v>
      </c>
      <c r="C957" s="1" t="str">
        <f>RIGHT(ProductInfo[[#This Row],[Drawing No]],1)</f>
        <v>0</v>
      </c>
      <c r="D957" s="187" t="s">
        <v>3134</v>
      </c>
      <c r="E957" s="18" t="s">
        <v>3722</v>
      </c>
      <c r="F957" s="26" t="str">
        <f>IFERROR(INDEX(MaterialCode[รายละเอียด],MATCH(ProductInfo[[#This Row],[Material Code]],MaterialCode[Material Code],0)),"ไม่พบวัตถุดิบ")</f>
        <v>MATT FORDGE G M42</v>
      </c>
      <c r="G957" s="32"/>
      <c r="H957" s="3">
        <v>50</v>
      </c>
      <c r="I957" s="1">
        <f>COUNTA(ProductInfo[[#This Row],[P1]:[P15]])</f>
        <v>3</v>
      </c>
      <c r="J9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7" s="7" t="s">
        <v>12</v>
      </c>
      <c r="M957" s="7" t="s">
        <v>13</v>
      </c>
      <c r="N957" s="7" t="s">
        <v>14</v>
      </c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s="1" customFormat="1">
      <c r="A958" s="8" t="s">
        <v>1068</v>
      </c>
      <c r="B958" s="8" t="s">
        <v>1068</v>
      </c>
      <c r="C958" s="1" t="str">
        <f>RIGHT(ProductInfo[[#This Row],[Drawing No]],1)</f>
        <v>3</v>
      </c>
      <c r="D958" s="179" t="s">
        <v>3135</v>
      </c>
      <c r="E958" s="18"/>
      <c r="F95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58" s="32"/>
      <c r="H958" s="3">
        <v>50</v>
      </c>
      <c r="I958" s="1">
        <f>COUNTA(ProductInfo[[#This Row],[P1]:[P15]])</f>
        <v>0</v>
      </c>
      <c r="J9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s="1" customFormat="1">
      <c r="A959" s="8" t="s">
        <v>1069</v>
      </c>
      <c r="B959" s="8" t="s">
        <v>1069</v>
      </c>
      <c r="C959" s="1" t="str">
        <f>RIGHT(ProductInfo[[#This Row],[Drawing No]],1)</f>
        <v>4</v>
      </c>
      <c r="D959" s="176" t="s">
        <v>3136</v>
      </c>
      <c r="E959" s="16" t="s">
        <v>3722</v>
      </c>
      <c r="F959" s="23" t="str">
        <f>IFERROR(INDEX(MaterialCode[รายละเอียด],MATCH(ProductInfo[[#This Row],[Material Code]],MaterialCode[Material Code],0)),"ไม่พบวัตถุดิบ")</f>
        <v>MATT FORDGE G M42</v>
      </c>
      <c r="G959" s="31"/>
      <c r="H959" s="3">
        <v>50</v>
      </c>
      <c r="I959" s="1">
        <f>COUNTA(ProductInfo[[#This Row],[P1]:[P15]])</f>
        <v>0</v>
      </c>
      <c r="J9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s="1" customFormat="1">
      <c r="A960" s="8" t="s">
        <v>4990</v>
      </c>
      <c r="B960" s="8" t="s">
        <v>4989</v>
      </c>
      <c r="C960" s="2" t="str">
        <f>RIGHT(ProductInfo[[#This Row],[Drawing No]],1)</f>
        <v>0</v>
      </c>
      <c r="D960" s="176" t="s">
        <v>3136</v>
      </c>
      <c r="E960" s="16" t="s">
        <v>3722</v>
      </c>
      <c r="F960" s="23" t="str">
        <f>IFERROR(INDEX(MaterialCode[รายละเอียด],MATCH(ProductInfo[[#This Row],[Material Code]],MaterialCode[Material Code],0)),"ไม่พบวัตถุดิบ")</f>
        <v>MATT FORDGE G M42</v>
      </c>
      <c r="G960" s="31"/>
      <c r="H960" s="31"/>
      <c r="I960" s="1">
        <f>COUNTA(ProductInfo[[#This Row],[P1]:[P15]])</f>
        <v>3</v>
      </c>
      <c r="J9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0" s="4" t="s">
        <v>12</v>
      </c>
      <c r="M960" s="4" t="s">
        <v>13</v>
      </c>
      <c r="N960" s="4"/>
      <c r="O960" s="4" t="s">
        <v>14</v>
      </c>
      <c r="P960" s="7"/>
      <c r="Q960" s="7"/>
      <c r="R960" s="4"/>
      <c r="S960" s="4"/>
      <c r="T960" s="4"/>
      <c r="U960" s="4"/>
      <c r="V960" s="4"/>
      <c r="W960" s="4"/>
      <c r="X960" s="4"/>
      <c r="Y960" s="4"/>
      <c r="Z960" s="4"/>
    </row>
    <row r="961" spans="1:26" s="1" customFormat="1">
      <c r="A961" s="8" t="s">
        <v>1070</v>
      </c>
      <c r="B961" s="8" t="s">
        <v>3721</v>
      </c>
      <c r="C961" s="1" t="str">
        <f>RIGHT(ProductInfo[[#This Row],[Drawing No]],1)</f>
        <v>0</v>
      </c>
      <c r="D961" s="179" t="s">
        <v>1071</v>
      </c>
      <c r="E961" s="18" t="s">
        <v>3722</v>
      </c>
      <c r="F961" s="26" t="str">
        <f>IFERROR(INDEX(MaterialCode[รายละเอียด],MATCH(ProductInfo[[#This Row],[Material Code]],MaterialCode[Material Code],0)),"ไม่พบวัตถุดิบ")</f>
        <v>MATT FORDGE G M42</v>
      </c>
      <c r="G961" s="32"/>
      <c r="H961" s="3">
        <v>40</v>
      </c>
      <c r="I961" s="1">
        <f>COUNTA(ProductInfo[[#This Row],[P1]:[P15]])</f>
        <v>3</v>
      </c>
      <c r="J9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1" s="7" t="s">
        <v>12</v>
      </c>
      <c r="M961" s="7" t="s">
        <v>13</v>
      </c>
      <c r="N961" s="7" t="s">
        <v>14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s="1" customFormat="1">
      <c r="A962" s="8" t="s">
        <v>1072</v>
      </c>
      <c r="B962" s="8" t="s">
        <v>1072</v>
      </c>
      <c r="C962" s="1" t="str">
        <f>RIGHT(ProductInfo[[#This Row],[Drawing No]],1)</f>
        <v>1</v>
      </c>
      <c r="D962" s="176" t="s">
        <v>2536</v>
      </c>
      <c r="E962" s="16"/>
      <c r="F9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2" s="31"/>
      <c r="H962" s="31"/>
      <c r="I962" s="1">
        <f>COUNTA(ProductInfo[[#This Row],[P1]:[P15]])</f>
        <v>0</v>
      </c>
      <c r="J9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s="1" customFormat="1">
      <c r="A963" s="8" t="s">
        <v>1073</v>
      </c>
      <c r="B963" s="8" t="s">
        <v>1073</v>
      </c>
      <c r="C963" s="1" t="str">
        <f>RIGHT(ProductInfo[[#This Row],[Drawing No]],1)</f>
        <v>2</v>
      </c>
      <c r="D963" s="179" t="s">
        <v>3036</v>
      </c>
      <c r="E963" s="18"/>
      <c r="F96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3" s="32"/>
      <c r="H963" s="3">
        <v>50</v>
      </c>
      <c r="I963" s="1">
        <f>COUNTA(ProductInfo[[#This Row],[P1]:[P15]])</f>
        <v>0</v>
      </c>
      <c r="J9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s="1" customFormat="1">
      <c r="A964" s="8" t="s">
        <v>1074</v>
      </c>
      <c r="B964" s="8" t="s">
        <v>1074</v>
      </c>
      <c r="C964" s="1" t="str">
        <f>RIGHT(ProductInfo[[#This Row],[Drawing No]],1)</f>
        <v>1</v>
      </c>
      <c r="D964" s="176" t="s">
        <v>2830</v>
      </c>
      <c r="E964" s="16"/>
      <c r="F9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4" s="31"/>
      <c r="H964" s="31"/>
      <c r="I964" s="1">
        <f>COUNTA(ProductInfo[[#This Row],[P1]:[P15]])</f>
        <v>0</v>
      </c>
      <c r="J9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s="1" customFormat="1">
      <c r="A965" s="8" t="s">
        <v>1075</v>
      </c>
      <c r="B965" s="8" t="s">
        <v>1075</v>
      </c>
      <c r="C965" s="1" t="str">
        <f>RIGHT(ProductInfo[[#This Row],[Drawing No]],1)</f>
        <v>2</v>
      </c>
      <c r="D965" s="176" t="s">
        <v>2537</v>
      </c>
      <c r="E965" s="16"/>
      <c r="F9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5" s="31"/>
      <c r="H965" s="31"/>
      <c r="I965" s="1">
        <f>COUNTA(ProductInfo[[#This Row],[P1]:[P15]])</f>
        <v>0</v>
      </c>
      <c r="J9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s="1" customFormat="1">
      <c r="A966" s="8" t="s">
        <v>1076</v>
      </c>
      <c r="B966" s="8" t="s">
        <v>3628</v>
      </c>
      <c r="C966" s="1" t="str">
        <f>RIGHT(ProductInfo[[#This Row],[Drawing No]],1)</f>
        <v>0</v>
      </c>
      <c r="D966" s="176" t="s">
        <v>2537</v>
      </c>
      <c r="E966" s="16" t="s">
        <v>3427</v>
      </c>
      <c r="F966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966" s="59">
        <v>63.5</v>
      </c>
      <c r="H966" s="59">
        <v>40</v>
      </c>
      <c r="I966" s="1">
        <f>COUNTA(ProductInfo[[#This Row],[P1]:[P15]])</f>
        <v>3</v>
      </c>
      <c r="J9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66" s="7" t="s">
        <v>12</v>
      </c>
      <c r="M966" s="7" t="s">
        <v>13</v>
      </c>
      <c r="N966" s="7" t="s">
        <v>15</v>
      </c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s="1" customFormat="1">
      <c r="A967" s="8" t="s">
        <v>4992</v>
      </c>
      <c r="B967" s="8" t="s">
        <v>4991</v>
      </c>
      <c r="C967" s="2" t="str">
        <f>RIGHT(ProductInfo[[#This Row],[Drawing No]],1)</f>
        <v>0</v>
      </c>
      <c r="D967" s="176" t="s">
        <v>3967</v>
      </c>
      <c r="E967" s="16" t="s">
        <v>3427</v>
      </c>
      <c r="F967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967" s="59">
        <v>63.5</v>
      </c>
      <c r="H967" s="59">
        <v>40</v>
      </c>
      <c r="I967" s="1">
        <f>COUNTA(ProductInfo[[#This Row],[P1]:[P15]])</f>
        <v>3</v>
      </c>
      <c r="J9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67" s="7" t="s">
        <v>12</v>
      </c>
      <c r="M967" s="7" t="s">
        <v>13</v>
      </c>
      <c r="N967" s="4"/>
      <c r="O967" s="7" t="s">
        <v>15</v>
      </c>
      <c r="P967" s="7"/>
      <c r="Q967" s="7"/>
      <c r="R967" s="4"/>
      <c r="S967" s="4"/>
      <c r="T967" s="4"/>
      <c r="U967" s="4"/>
      <c r="V967" s="4"/>
      <c r="W967" s="4"/>
      <c r="X967" s="4"/>
      <c r="Y967" s="4"/>
      <c r="Z967" s="4"/>
    </row>
    <row r="968" spans="1:26" s="1" customFormat="1">
      <c r="A968" s="8" t="s">
        <v>1077</v>
      </c>
      <c r="B968" s="8" t="s">
        <v>1077</v>
      </c>
      <c r="C968" s="1" t="str">
        <f>RIGHT(ProductInfo[[#This Row],[Drawing No]],1)</f>
        <v>1</v>
      </c>
      <c r="D968" s="176" t="s">
        <v>2830</v>
      </c>
      <c r="E968" s="16"/>
      <c r="F9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8" s="31"/>
      <c r="H968" s="31"/>
      <c r="I968" s="1">
        <f>COUNTA(ProductInfo[[#This Row],[P1]:[P15]])</f>
        <v>0</v>
      </c>
      <c r="J9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s="1" customFormat="1">
      <c r="A969" s="8" t="s">
        <v>1078</v>
      </c>
      <c r="B969" s="8" t="s">
        <v>1078</v>
      </c>
      <c r="C969" s="1" t="str">
        <f>RIGHT(ProductInfo[[#This Row],[Drawing No]],1)</f>
        <v>2</v>
      </c>
      <c r="D969" s="176" t="s">
        <v>2830</v>
      </c>
      <c r="E969" s="16"/>
      <c r="F9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69" s="31"/>
      <c r="H969" s="31"/>
      <c r="I969" s="1">
        <f>COUNTA(ProductInfo[[#This Row],[P1]:[P15]])</f>
        <v>0</v>
      </c>
      <c r="J9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s="1" customFormat="1">
      <c r="A970" s="8" t="s">
        <v>1079</v>
      </c>
      <c r="B970" s="8" t="s">
        <v>1079</v>
      </c>
      <c r="C970" s="1" t="str">
        <f>RIGHT(ProductInfo[[#This Row],[Drawing No]],1)</f>
        <v>3</v>
      </c>
      <c r="D970" s="176" t="s">
        <v>2830</v>
      </c>
      <c r="E970" s="16"/>
      <c r="F9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0" s="31"/>
      <c r="H970" s="31"/>
      <c r="I970" s="1">
        <f>COUNTA(ProductInfo[[#This Row],[P1]:[P15]])</f>
        <v>0</v>
      </c>
      <c r="J9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s="1" customFormat="1">
      <c r="A971" s="8" t="s">
        <v>1080</v>
      </c>
      <c r="B971" s="8" t="s">
        <v>3629</v>
      </c>
      <c r="C971" s="1" t="str">
        <f>RIGHT(ProductInfo[[#This Row],[Drawing No]],1)</f>
        <v>0</v>
      </c>
      <c r="D971" s="176" t="s">
        <v>2831</v>
      </c>
      <c r="E971" s="16" t="s">
        <v>3427</v>
      </c>
      <c r="F971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971" s="59">
        <v>63.5</v>
      </c>
      <c r="H971" s="59">
        <v>40</v>
      </c>
      <c r="I971" s="1">
        <f>COUNTA(ProductInfo[[#This Row],[P1]:[P15]])</f>
        <v>3</v>
      </c>
      <c r="J9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71" s="7" t="s">
        <v>12</v>
      </c>
      <c r="M971" s="7" t="s">
        <v>13</v>
      </c>
      <c r="N971" s="7" t="s">
        <v>15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s="1" customFormat="1">
      <c r="A972" s="8" t="s">
        <v>4994</v>
      </c>
      <c r="B972" s="8" t="s">
        <v>4993</v>
      </c>
      <c r="C972" s="2" t="str">
        <f>RIGHT(ProductInfo[[#This Row],[Drawing No]],1)</f>
        <v>0</v>
      </c>
      <c r="D972" s="176" t="s">
        <v>3930</v>
      </c>
      <c r="E972" s="16" t="s">
        <v>3427</v>
      </c>
      <c r="F972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972" s="59">
        <v>63.5</v>
      </c>
      <c r="H972" s="59">
        <v>40</v>
      </c>
      <c r="I972" s="1">
        <f>COUNTA(ProductInfo[[#This Row],[P1]:[P15]])</f>
        <v>3</v>
      </c>
      <c r="J9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72" s="7" t="s">
        <v>12</v>
      </c>
      <c r="M972" s="7" t="s">
        <v>13</v>
      </c>
      <c r="N972" s="7" t="s">
        <v>19</v>
      </c>
      <c r="O972" s="7"/>
      <c r="P972" s="7"/>
      <c r="Q972" s="7"/>
      <c r="R972" s="4"/>
      <c r="S972" s="4"/>
      <c r="T972" s="4"/>
      <c r="U972" s="4"/>
      <c r="V972" s="4"/>
      <c r="W972" s="4"/>
      <c r="X972" s="4"/>
      <c r="Y972" s="4"/>
      <c r="Z972" s="4"/>
    </row>
    <row r="973" spans="1:26" s="1" customFormat="1">
      <c r="A973" s="8" t="s">
        <v>1081</v>
      </c>
      <c r="B973" s="8" t="s">
        <v>1081</v>
      </c>
      <c r="C973" s="1" t="str">
        <f>RIGHT(ProductInfo[[#This Row],[Drawing No]],1)</f>
        <v>0</v>
      </c>
      <c r="D973" s="176" t="s">
        <v>2538</v>
      </c>
      <c r="E973" s="16"/>
      <c r="F9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3" s="31"/>
      <c r="H973" s="31"/>
      <c r="I973" s="1">
        <f>COUNTA(ProductInfo[[#This Row],[P1]:[P15]])</f>
        <v>0</v>
      </c>
      <c r="J9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s="1" customFormat="1">
      <c r="A974" s="8" t="s">
        <v>1082</v>
      </c>
      <c r="B974" s="8" t="s">
        <v>1082</v>
      </c>
      <c r="C974" s="1" t="str">
        <f>RIGHT(ProductInfo[[#This Row],[Drawing No]],1)</f>
        <v>1</v>
      </c>
      <c r="D974" s="176" t="s">
        <v>2538</v>
      </c>
      <c r="E974" s="16"/>
      <c r="F9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4" s="31"/>
      <c r="H974" s="31"/>
      <c r="I974" s="1">
        <f>COUNTA(ProductInfo[[#This Row],[P1]:[P15]])</f>
        <v>0</v>
      </c>
      <c r="J9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s="1" customFormat="1">
      <c r="A975" s="8" t="s">
        <v>1083</v>
      </c>
      <c r="B975" s="8" t="s">
        <v>1083</v>
      </c>
      <c r="C975" s="1" t="str">
        <f>RIGHT(ProductInfo[[#This Row],[Drawing No]],1)</f>
        <v>2</v>
      </c>
      <c r="D975" s="176" t="s">
        <v>2538</v>
      </c>
      <c r="E975" s="16"/>
      <c r="F9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5" s="31"/>
      <c r="H975" s="31"/>
      <c r="I975" s="1">
        <f>COUNTA(ProductInfo[[#This Row],[P1]:[P15]])</f>
        <v>0</v>
      </c>
      <c r="J9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s="1" customFormat="1">
      <c r="A976" s="8" t="s">
        <v>1084</v>
      </c>
      <c r="B976" s="8" t="s">
        <v>1084</v>
      </c>
      <c r="C976" s="1" t="str">
        <f>RIGHT(ProductInfo[[#This Row],[Drawing No]],1)</f>
        <v>3</v>
      </c>
      <c r="D976" s="176" t="s">
        <v>2539</v>
      </c>
      <c r="E976" s="16"/>
      <c r="F9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6" s="31"/>
      <c r="H976" s="31"/>
      <c r="I976" s="1">
        <f>COUNTA(ProductInfo[[#This Row],[P1]:[P15]])</f>
        <v>0</v>
      </c>
      <c r="J9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s="1" customFormat="1">
      <c r="A977" s="8" t="s">
        <v>4853</v>
      </c>
      <c r="B977" s="8" t="s">
        <v>4852</v>
      </c>
      <c r="C977" s="1" t="str">
        <f>RIGHT(ProductInfo[[#This Row],[Drawing No]],1)</f>
        <v>0</v>
      </c>
      <c r="D977" s="176" t="s">
        <v>2539</v>
      </c>
      <c r="E977" s="16" t="s">
        <v>3561</v>
      </c>
      <c r="F977" s="23" t="str">
        <f>IFERROR(INDEX(MaterialCode[รายละเอียด],MATCH(ProductInfo[[#This Row],[Material Code]],MaterialCode[Material Code],0)),"ไม่พบวัตถุดิบ")</f>
        <v>เพลาหน้าตัดพิเศษ 46 มม.* 75.5 มม.* 68 มม</v>
      </c>
      <c r="G977" s="59">
        <v>67</v>
      </c>
      <c r="H977" s="59">
        <v>60</v>
      </c>
      <c r="I977" s="1">
        <f>COUNTA(ProductInfo[[#This Row],[P1]:[P15]])</f>
        <v>3</v>
      </c>
      <c r="J9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77" s="7" t="s">
        <v>12</v>
      </c>
      <c r="M977" s="7" t="s">
        <v>13</v>
      </c>
      <c r="N977" s="4"/>
      <c r="O977" s="7" t="s">
        <v>19</v>
      </c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s="1" customFormat="1">
      <c r="A978" s="8" t="s">
        <v>4999</v>
      </c>
      <c r="B978" s="8" t="s">
        <v>4998</v>
      </c>
      <c r="C978" s="2" t="str">
        <f>RIGHT(ProductInfo[[#This Row],[Drawing No]],1)</f>
        <v>0</v>
      </c>
      <c r="D978" s="176" t="s">
        <v>2539</v>
      </c>
      <c r="E978" s="16" t="s">
        <v>3561</v>
      </c>
      <c r="F978" s="23" t="str">
        <f>IFERROR(INDEX(MaterialCode[รายละเอียด],MATCH(ProductInfo[[#This Row],[Material Code]],MaterialCode[Material Code],0)),"ไม่พบวัตถุดิบ")</f>
        <v>เพลาหน้าตัดพิเศษ 46 มม.* 75.5 มม.* 68 มม</v>
      </c>
      <c r="G978" s="59">
        <v>67</v>
      </c>
      <c r="H978" s="59">
        <v>60</v>
      </c>
      <c r="I978" s="1">
        <f>COUNTA(ProductInfo[[#This Row],[P1]:[P15]])</f>
        <v>3</v>
      </c>
      <c r="J9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78" s="7" t="s">
        <v>12</v>
      </c>
      <c r="M978" s="7" t="s">
        <v>13</v>
      </c>
      <c r="N978" s="7" t="s">
        <v>19</v>
      </c>
      <c r="O978" s="4"/>
      <c r="P978" s="7"/>
      <c r="Q978" s="7"/>
      <c r="R978" s="4"/>
      <c r="S978" s="4"/>
      <c r="T978" s="4"/>
      <c r="U978" s="4"/>
      <c r="V978" s="4"/>
      <c r="W978" s="4"/>
      <c r="X978" s="4"/>
      <c r="Y978" s="4"/>
      <c r="Z978" s="4"/>
    </row>
    <row r="979" spans="1:26" s="1" customFormat="1">
      <c r="A979" s="8" t="s">
        <v>5002</v>
      </c>
      <c r="B979" s="8" t="s">
        <v>5004</v>
      </c>
      <c r="C979" s="2" t="str">
        <f>RIGHT(ProductInfo[[#This Row],[Drawing No]],1)</f>
        <v>0</v>
      </c>
      <c r="D979" s="176" t="s">
        <v>5003</v>
      </c>
      <c r="E979" s="16"/>
      <c r="F9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79" s="31"/>
      <c r="H979" s="31"/>
      <c r="I979" s="1">
        <f>COUNTA(ProductInfo[[#This Row],[P1]:[P15]])</f>
        <v>0</v>
      </c>
      <c r="J9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79" s="7"/>
      <c r="M979" s="7"/>
      <c r="N979" s="4"/>
      <c r="O979" s="7"/>
      <c r="P979" s="7"/>
      <c r="Q979" s="7"/>
      <c r="R979" s="4"/>
      <c r="S979" s="4"/>
      <c r="T979" s="4"/>
      <c r="U979" s="4"/>
      <c r="V979" s="4"/>
      <c r="W979" s="4"/>
      <c r="X979" s="4"/>
      <c r="Y979" s="4"/>
      <c r="Z979" s="4"/>
    </row>
    <row r="980" spans="1:26" s="1" customFormat="1">
      <c r="A980" s="8" t="s">
        <v>1085</v>
      </c>
      <c r="B980" s="8" t="s">
        <v>3746</v>
      </c>
      <c r="C980" s="1" t="str">
        <f>RIGHT(ProductInfo[[#This Row],[Drawing No]],1)</f>
        <v>0</v>
      </c>
      <c r="D980" s="179" t="s">
        <v>1086</v>
      </c>
      <c r="E980" s="18" t="s">
        <v>3722</v>
      </c>
      <c r="F980" s="26" t="str">
        <f>IFERROR(INDEX(MaterialCode[รายละเอียด],MATCH(ProductInfo[[#This Row],[Material Code]],MaterialCode[Material Code],0)),"ไม่พบวัตถุดิบ")</f>
        <v>MATT FORDGE G M42</v>
      </c>
      <c r="G980" s="32"/>
      <c r="H980" s="3">
        <v>40</v>
      </c>
      <c r="I980" s="1">
        <f>COUNTA(ProductInfo[[#This Row],[P1]:[P15]])</f>
        <v>4</v>
      </c>
      <c r="J9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80" s="7" t="s">
        <v>12</v>
      </c>
      <c r="M980" s="7" t="s">
        <v>13</v>
      </c>
      <c r="N980" s="7" t="s">
        <v>14</v>
      </c>
      <c r="O980" s="7"/>
      <c r="P980" s="7"/>
      <c r="Q980" s="7"/>
      <c r="R980" s="7" t="s">
        <v>19</v>
      </c>
      <c r="S980" s="7"/>
      <c r="T980" s="7"/>
      <c r="U980" s="7"/>
      <c r="V980" s="7"/>
      <c r="W980" s="7"/>
      <c r="X980" s="7"/>
      <c r="Y980" s="7"/>
      <c r="Z980" s="7"/>
    </row>
    <row r="981" spans="1:26" s="1" customFormat="1">
      <c r="A981" s="8" t="s">
        <v>1087</v>
      </c>
      <c r="B981" s="8" t="s">
        <v>4724</v>
      </c>
      <c r="C981" s="2" t="str">
        <f>RIGHT(ProductInfo[[#This Row],[Drawing No]],1)</f>
        <v>2</v>
      </c>
      <c r="D981" s="179" t="s">
        <v>4726</v>
      </c>
      <c r="E981" s="16" t="s">
        <v>3718</v>
      </c>
      <c r="F981" s="23" t="str">
        <f>IFERROR(INDEX(MaterialCode[รายละเอียด],MATCH(ProductInfo[[#This Row],[Material Code]],MaterialCode[Material Code],0)),"ไม่พบวัตถุดิบ")</f>
        <v>MATT FORDGE G M35</v>
      </c>
      <c r="G981" s="31"/>
      <c r="H981" s="59">
        <v>50</v>
      </c>
      <c r="I981" s="1">
        <f>COUNTA(ProductInfo[[#This Row],[P1]:[P15]])</f>
        <v>2</v>
      </c>
      <c r="J9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1" s="7" t="s">
        <v>12</v>
      </c>
      <c r="M981" s="7" t="s">
        <v>13</v>
      </c>
      <c r="N981" s="4"/>
      <c r="O981" s="4"/>
      <c r="P981" s="7"/>
      <c r="Q981" s="7"/>
      <c r="R981" s="4"/>
      <c r="S981" s="4"/>
      <c r="T981" s="4"/>
      <c r="U981" s="4"/>
      <c r="V981" s="4"/>
      <c r="W981" s="4"/>
      <c r="X981" s="4"/>
      <c r="Y981" s="4"/>
      <c r="Z981" s="4"/>
    </row>
    <row r="982" spans="1:26" s="1" customFormat="1">
      <c r="A982" s="8" t="s">
        <v>1088</v>
      </c>
      <c r="B982" s="8" t="s">
        <v>1088</v>
      </c>
      <c r="C982" s="1" t="str">
        <f>RIGHT(ProductInfo[[#This Row],[Drawing No]],1)</f>
        <v>0</v>
      </c>
      <c r="D982" s="178" t="s">
        <v>3137</v>
      </c>
      <c r="E982" s="17"/>
      <c r="F982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82" s="38"/>
      <c r="H982" s="3">
        <v>50</v>
      </c>
      <c r="I982" s="1">
        <f>COUNTA(ProductInfo[[#This Row],[P1]:[P15]])</f>
        <v>0</v>
      </c>
      <c r="J9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s="1" customFormat="1">
      <c r="A983" s="8" t="s">
        <v>1089</v>
      </c>
      <c r="B983" s="8" t="s">
        <v>4727</v>
      </c>
      <c r="C983" s="2" t="str">
        <f>RIGHT(ProductInfo[[#This Row],[Drawing No]],1)</f>
        <v>2</v>
      </c>
      <c r="D983" s="179" t="s">
        <v>3037</v>
      </c>
      <c r="E983" s="18" t="s">
        <v>3718</v>
      </c>
      <c r="F983" s="23" t="str">
        <f>IFERROR(INDEX(MaterialCode[รายละเอียด],MATCH(ProductInfo[[#This Row],[Material Code]],MaterialCode[Material Code],0)),"ไม่พบวัตถุดิบ")</f>
        <v>MATT FORDGE G M35</v>
      </c>
      <c r="G983" s="59">
        <v>1</v>
      </c>
      <c r="H983" s="59">
        <v>50</v>
      </c>
      <c r="I983" s="1">
        <f>COUNTA(ProductInfo[[#This Row],[P1]:[P15]])</f>
        <v>3</v>
      </c>
      <c r="J9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83" s="7" t="s">
        <v>12</v>
      </c>
      <c r="M983" s="7" t="s">
        <v>13</v>
      </c>
      <c r="N983" s="7" t="s">
        <v>16</v>
      </c>
      <c r="O983" s="4"/>
      <c r="P983" s="7"/>
      <c r="Q983" s="7"/>
      <c r="R983" s="4"/>
      <c r="S983" s="4"/>
      <c r="T983" s="4"/>
      <c r="U983" s="4"/>
      <c r="V983" s="4"/>
      <c r="W983" s="4"/>
      <c r="X983" s="4"/>
      <c r="Y983" s="4"/>
      <c r="Z983" s="4"/>
    </row>
    <row r="984" spans="1:26" s="1" customFormat="1">
      <c r="A984" s="8" t="s">
        <v>1090</v>
      </c>
      <c r="B984" s="8" t="s">
        <v>1090</v>
      </c>
      <c r="C984" s="1" t="str">
        <f>RIGHT(ProductInfo[[#This Row],[Drawing No]],1)</f>
        <v>0</v>
      </c>
      <c r="D984" s="178" t="s">
        <v>3138</v>
      </c>
      <c r="E984" s="17"/>
      <c r="F98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84" s="38"/>
      <c r="H984" s="3">
        <v>50</v>
      </c>
      <c r="I984" s="1">
        <f>COUNTA(ProductInfo[[#This Row],[P1]:[P15]])</f>
        <v>0</v>
      </c>
      <c r="J9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s="1" customFormat="1">
      <c r="A985" s="8" t="s">
        <v>1091</v>
      </c>
      <c r="B985" s="8" t="s">
        <v>1091</v>
      </c>
      <c r="C985" s="1" t="str">
        <f>RIGHT(ProductInfo[[#This Row],[Drawing No]],1)</f>
        <v>1</v>
      </c>
      <c r="D985" s="179" t="s">
        <v>3139</v>
      </c>
      <c r="E985" s="18"/>
      <c r="F98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85" s="32"/>
      <c r="H985" s="3">
        <v>50</v>
      </c>
      <c r="I985" s="1">
        <f>COUNTA(ProductInfo[[#This Row],[P1]:[P15]])</f>
        <v>0</v>
      </c>
      <c r="J9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s="1" customFormat="1">
      <c r="A986" s="8" t="s">
        <v>4296</v>
      </c>
      <c r="B986" s="8" t="s">
        <v>4297</v>
      </c>
      <c r="C986" s="2" t="str">
        <f>RIGHT(ProductInfo[[#This Row],[Drawing No]],1)</f>
        <v>0</v>
      </c>
      <c r="D986" s="179" t="s">
        <v>3139</v>
      </c>
      <c r="E986" s="16" t="s">
        <v>3722</v>
      </c>
      <c r="F986" s="23" t="str">
        <f>IFERROR(INDEX(MaterialCode[รายละเอียด],MATCH(ProductInfo[[#This Row],[Material Code]],MaterialCode[Material Code],0)),"ไม่พบวัตถุดิบ")</f>
        <v>MATT FORDGE G M42</v>
      </c>
      <c r="G986" s="31"/>
      <c r="H986" s="3">
        <v>40</v>
      </c>
      <c r="I986" s="1">
        <f>COUNTA(ProductInfo[[#This Row],[P1]:[P15]])</f>
        <v>5</v>
      </c>
      <c r="J9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986" s="4" t="s">
        <v>12</v>
      </c>
      <c r="M986" s="4" t="s">
        <v>13</v>
      </c>
      <c r="N986" s="4" t="s">
        <v>14</v>
      </c>
      <c r="O986" s="7"/>
      <c r="P986" s="7"/>
      <c r="Q986" s="7"/>
      <c r="R986" s="4" t="s">
        <v>19</v>
      </c>
      <c r="S986" s="4" t="s">
        <v>25</v>
      </c>
      <c r="T986" s="4"/>
      <c r="U986" s="4"/>
      <c r="V986" s="4"/>
      <c r="W986" s="4"/>
      <c r="X986" s="4"/>
      <c r="Y986" s="4"/>
      <c r="Z986" s="4"/>
    </row>
    <row r="987" spans="1:26" s="1" customFormat="1">
      <c r="A987" s="8" t="s">
        <v>5006</v>
      </c>
      <c r="B987" s="8" t="s">
        <v>5005</v>
      </c>
      <c r="C987" s="2" t="str">
        <f>RIGHT(ProductInfo[[#This Row],[Drawing No]],1)</f>
        <v>0</v>
      </c>
      <c r="D987" s="176" t="s">
        <v>5007</v>
      </c>
      <c r="E987" s="16" t="s">
        <v>3722</v>
      </c>
      <c r="F987" s="23" t="str">
        <f>IFERROR(INDEX(MaterialCode[รายละเอียด],MATCH(ProductInfo[[#This Row],[Material Code]],MaterialCode[Material Code],0)),"ไม่พบวัตถุดิบ")</f>
        <v>MATT FORDGE G M42</v>
      </c>
      <c r="G987" s="31"/>
      <c r="H987" s="3">
        <v>40</v>
      </c>
      <c r="I987" s="1">
        <f>COUNTA(ProductInfo[[#This Row],[P1]:[P15]])</f>
        <v>4</v>
      </c>
      <c r="J9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87" s="4" t="s">
        <v>12</v>
      </c>
      <c r="M987" s="4" t="s">
        <v>13</v>
      </c>
      <c r="N987" s="4"/>
      <c r="O987" s="4" t="s">
        <v>14</v>
      </c>
      <c r="P987" s="7"/>
      <c r="Q987" s="7"/>
      <c r="R987" s="4" t="s">
        <v>25</v>
      </c>
      <c r="S987" s="4"/>
      <c r="T987" s="4"/>
      <c r="U987" s="4"/>
      <c r="V987" s="4"/>
      <c r="W987" s="4"/>
      <c r="X987" s="4"/>
      <c r="Y987" s="4"/>
      <c r="Z987" s="4"/>
    </row>
    <row r="988" spans="1:26" s="1" customFormat="1">
      <c r="A988" s="8" t="s">
        <v>4780</v>
      </c>
      <c r="B988" s="8" t="s">
        <v>4779</v>
      </c>
      <c r="C988" s="2" t="str">
        <f>RIGHT(ProductInfo[[#This Row],[Drawing No]],1)</f>
        <v>0</v>
      </c>
      <c r="D988" s="176" t="s">
        <v>4781</v>
      </c>
      <c r="E988" s="16" t="s">
        <v>3722</v>
      </c>
      <c r="F988" s="23" t="str">
        <f>IFERROR(INDEX(MaterialCode[รายละเอียด],MATCH(ProductInfo[[#This Row],[Material Code]],MaterialCode[Material Code],0)),"ไม่พบวัตถุดิบ")</f>
        <v>MATT FORDGE G M42</v>
      </c>
      <c r="G988" s="59">
        <v>1</v>
      </c>
      <c r="H988" s="59">
        <v>40</v>
      </c>
      <c r="I988" s="1">
        <f>COUNTA(ProductInfo[[#This Row],[P1]:[P15]])</f>
        <v>3</v>
      </c>
      <c r="J9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88" s="4" t="s">
        <v>12</v>
      </c>
      <c r="M988" s="4" t="s">
        <v>13</v>
      </c>
      <c r="N988" s="4"/>
      <c r="O988" s="4" t="s">
        <v>14</v>
      </c>
      <c r="P988" s="7"/>
      <c r="Q988" s="7"/>
      <c r="R988" s="4"/>
      <c r="S988" s="4"/>
      <c r="T988" s="4"/>
      <c r="U988" s="4"/>
      <c r="V988" s="4"/>
      <c r="W988" s="4"/>
      <c r="X988" s="4"/>
      <c r="Y988" s="4"/>
      <c r="Z988" s="4"/>
    </row>
    <row r="989" spans="1:26" s="1" customFormat="1">
      <c r="A989" s="8" t="s">
        <v>5312</v>
      </c>
      <c r="B989" s="8" t="s">
        <v>5568</v>
      </c>
      <c r="C989" s="2" t="str">
        <f>RIGHT(ProductInfo[[#This Row],[Drawing No]],1)</f>
        <v>1</v>
      </c>
      <c r="D989" s="176" t="s">
        <v>5314</v>
      </c>
      <c r="E989" s="16" t="s">
        <v>5627</v>
      </c>
      <c r="F989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989" s="59">
        <v>1</v>
      </c>
      <c r="H989" s="59">
        <v>50</v>
      </c>
      <c r="I989" s="1">
        <f>COUNTA(ProductInfo[[#This Row],[P1]:[P15]])</f>
        <v>3</v>
      </c>
      <c r="J9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9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989" s="4" t="s">
        <v>12</v>
      </c>
      <c r="M989" s="4" t="s">
        <v>13</v>
      </c>
      <c r="N989" s="4" t="s">
        <v>16</v>
      </c>
      <c r="O989" s="4"/>
      <c r="P989" s="7"/>
      <c r="Q989" s="7"/>
      <c r="R989" s="4"/>
      <c r="S989" s="4"/>
      <c r="T989" s="4"/>
      <c r="U989" s="4"/>
      <c r="V989" s="4"/>
      <c r="W989" s="4"/>
      <c r="X989" s="4"/>
      <c r="Y989" s="4"/>
      <c r="Z989" s="4"/>
    </row>
    <row r="990" spans="1:26" s="1" customFormat="1">
      <c r="A990" s="8" t="s">
        <v>5530</v>
      </c>
      <c r="B990" s="8" t="s">
        <v>5529</v>
      </c>
      <c r="C990" s="2" t="str">
        <f>RIGHT(ProductInfo[[#This Row],[Drawing No]],1)</f>
        <v>0</v>
      </c>
      <c r="D990" s="176" t="s">
        <v>5531</v>
      </c>
      <c r="E990" s="16"/>
      <c r="F9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0" s="31"/>
      <c r="H990" s="31"/>
      <c r="I990" s="1">
        <f>COUNTA(ProductInfo[[#This Row],[P1]:[P15]])</f>
        <v>0</v>
      </c>
      <c r="J9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0" s="4"/>
      <c r="M990" s="4"/>
      <c r="N990" s="4"/>
      <c r="O990" s="4"/>
      <c r="P990" s="7"/>
      <c r="Q990" s="7"/>
      <c r="R990" s="4"/>
      <c r="S990" s="4"/>
      <c r="T990" s="4"/>
      <c r="U990" s="4"/>
      <c r="V990" s="4"/>
      <c r="W990" s="4"/>
      <c r="X990" s="4"/>
      <c r="Y990" s="4"/>
      <c r="Z990" s="4"/>
    </row>
    <row r="991" spans="1:26" s="1" customFormat="1">
      <c r="A991" s="8" t="s">
        <v>5533</v>
      </c>
      <c r="B991" s="8" t="s">
        <v>5532</v>
      </c>
      <c r="C991" s="2" t="str">
        <f>RIGHT(ProductInfo[[#This Row],[Drawing No]],1)</f>
        <v>0</v>
      </c>
      <c r="D991" s="176" t="s">
        <v>5536</v>
      </c>
      <c r="E991" s="16"/>
      <c r="F9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1" s="31"/>
      <c r="H991" s="31"/>
      <c r="I991" s="1">
        <f>COUNTA(ProductInfo[[#This Row],[P1]:[P15]])</f>
        <v>0</v>
      </c>
      <c r="J9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1" s="4"/>
      <c r="M991" s="4"/>
      <c r="N991" s="4"/>
      <c r="O991" s="4"/>
      <c r="P991" s="7"/>
      <c r="Q991" s="7"/>
      <c r="R991" s="4"/>
      <c r="S991" s="4"/>
      <c r="T991" s="4"/>
      <c r="U991" s="4"/>
      <c r="V991" s="4"/>
      <c r="W991" s="4"/>
      <c r="X991" s="4"/>
      <c r="Y991" s="4"/>
      <c r="Z991" s="4"/>
    </row>
    <row r="992" spans="1:26" s="1" customFormat="1">
      <c r="A992" s="8" t="s">
        <v>4529</v>
      </c>
      <c r="B992" s="8" t="s">
        <v>4530</v>
      </c>
      <c r="C992" s="2" t="str">
        <f>RIGHT(ProductInfo[[#This Row],[Drawing No]],1)</f>
        <v>0</v>
      </c>
      <c r="D992" s="176" t="s">
        <v>4531</v>
      </c>
      <c r="E992" s="16"/>
      <c r="F9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2" s="31"/>
      <c r="H992" s="3">
        <v>50</v>
      </c>
      <c r="I992" s="1">
        <f>COUNTA(ProductInfo[[#This Row],[P1]:[P15]])</f>
        <v>3</v>
      </c>
      <c r="J9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9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2" s="4" t="s">
        <v>12</v>
      </c>
      <c r="M992" s="4" t="s">
        <v>13</v>
      </c>
      <c r="N992" s="4" t="s">
        <v>14</v>
      </c>
      <c r="O992" s="4"/>
      <c r="P992" s="7"/>
      <c r="Q992" s="7"/>
      <c r="R992" s="4"/>
      <c r="S992" s="4"/>
      <c r="T992" s="4"/>
      <c r="U992" s="4"/>
      <c r="V992" s="4"/>
      <c r="W992" s="4"/>
      <c r="X992" s="4"/>
      <c r="Y992" s="4"/>
      <c r="Z992" s="4"/>
    </row>
    <row r="993" spans="1:26" s="1" customFormat="1">
      <c r="A993" s="8" t="s">
        <v>1092</v>
      </c>
      <c r="B993" s="8" t="s">
        <v>1092</v>
      </c>
      <c r="C993" s="1" t="str">
        <f>RIGHT(ProductInfo[[#This Row],[Drawing No]],1)</f>
        <v>6</v>
      </c>
      <c r="D993" s="176" t="s">
        <v>2917</v>
      </c>
      <c r="E993" s="16"/>
      <c r="F9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3" s="31"/>
      <c r="H993" s="31"/>
      <c r="I993" s="1">
        <f>COUNTA(ProductInfo[[#This Row],[P1]:[P15]])</f>
        <v>0</v>
      </c>
      <c r="J9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s="1" customFormat="1">
      <c r="A994" s="8" t="s">
        <v>1093</v>
      </c>
      <c r="B994" s="8" t="s">
        <v>1093</v>
      </c>
      <c r="C994" s="1" t="str">
        <f>RIGHT(ProductInfo[[#This Row],[Drawing No]],1)</f>
        <v>0</v>
      </c>
      <c r="D994" s="176" t="s">
        <v>2540</v>
      </c>
      <c r="E994" s="16"/>
      <c r="F9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4" s="31"/>
      <c r="H994" s="31"/>
      <c r="I994" s="1">
        <f>COUNTA(ProductInfo[[#This Row],[P1]:[P15]])</f>
        <v>0</v>
      </c>
      <c r="J9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s="1" customFormat="1">
      <c r="A995" s="8" t="s">
        <v>1094</v>
      </c>
      <c r="B995" s="8" t="s">
        <v>1094</v>
      </c>
      <c r="C995" s="1" t="str">
        <f>RIGHT(ProductInfo[[#This Row],[Drawing No]],1)</f>
        <v>A</v>
      </c>
      <c r="D995" s="176" t="s">
        <v>2918</v>
      </c>
      <c r="E995" s="16"/>
      <c r="F9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5" s="31"/>
      <c r="H995" s="31"/>
      <c r="I995" s="1">
        <f>COUNTA(ProductInfo[[#This Row],[P1]:[P15]])</f>
        <v>0</v>
      </c>
      <c r="J9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s="1" customFormat="1">
      <c r="A996" s="8" t="s">
        <v>1095</v>
      </c>
      <c r="B996" s="8" t="s">
        <v>1095</v>
      </c>
      <c r="C996" s="1" t="str">
        <f>RIGHT(ProductInfo[[#This Row],[Drawing No]],1)</f>
        <v>4</v>
      </c>
      <c r="D996" s="176" t="s">
        <v>2919</v>
      </c>
      <c r="E996" s="16"/>
      <c r="F9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6" s="31"/>
      <c r="H996" s="31"/>
      <c r="I996" s="1">
        <f>COUNTA(ProductInfo[[#This Row],[P1]:[P15]])</f>
        <v>0</v>
      </c>
      <c r="J9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s="1" customFormat="1">
      <c r="A997" s="8" t="s">
        <v>1096</v>
      </c>
      <c r="B997" s="8" t="s">
        <v>1096</v>
      </c>
      <c r="C997" s="1" t="str">
        <f>RIGHT(ProductInfo[[#This Row],[Drawing No]],1)</f>
        <v>0</v>
      </c>
      <c r="D997" s="176" t="s">
        <v>2541</v>
      </c>
      <c r="E997" s="16"/>
      <c r="F9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7" s="31"/>
      <c r="H997" s="31"/>
      <c r="I997" s="1">
        <f>COUNTA(ProductInfo[[#This Row],[P1]:[P15]])</f>
        <v>0</v>
      </c>
      <c r="J9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s="1" customFormat="1">
      <c r="A998" s="8" t="s">
        <v>1097</v>
      </c>
      <c r="B998" s="8" t="s">
        <v>1097</v>
      </c>
      <c r="C998" s="1" t="str">
        <f>RIGHT(ProductInfo[[#This Row],[Drawing No]],1)</f>
        <v>9</v>
      </c>
      <c r="D998" s="176" t="s">
        <v>2920</v>
      </c>
      <c r="E998" s="16"/>
      <c r="F9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8" s="31"/>
      <c r="H998" s="31"/>
      <c r="I998" s="1">
        <f>COUNTA(ProductInfo[[#This Row],[P1]:[P15]])</f>
        <v>0</v>
      </c>
      <c r="J9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s="1" customFormat="1">
      <c r="A999" s="8" t="s">
        <v>1098</v>
      </c>
      <c r="B999" s="8" t="s">
        <v>1098</v>
      </c>
      <c r="C999" s="1" t="str">
        <f>RIGHT(ProductInfo[[#This Row],[Drawing No]],1)</f>
        <v>A</v>
      </c>
      <c r="D999" s="176" t="s">
        <v>2542</v>
      </c>
      <c r="E999" s="16"/>
      <c r="F9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999" s="31"/>
      <c r="H999" s="31"/>
      <c r="I999" s="1">
        <f>COUNTA(ProductInfo[[#This Row],[P1]:[P15]])</f>
        <v>0</v>
      </c>
      <c r="J9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9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s="1" customFormat="1">
      <c r="A1000" s="8" t="s">
        <v>1099</v>
      </c>
      <c r="B1000" s="8" t="s">
        <v>1099</v>
      </c>
      <c r="C1000" s="1" t="str">
        <f>RIGHT(ProductInfo[[#This Row],[Drawing No]],1)</f>
        <v>C</v>
      </c>
      <c r="D1000" s="176" t="s">
        <v>3140</v>
      </c>
      <c r="E1000" s="16"/>
      <c r="F10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0" s="31"/>
      <c r="H1000" s="31"/>
      <c r="I1000" s="1">
        <f>COUNTA(ProductInfo[[#This Row],[P1]:[P15]])</f>
        <v>0</v>
      </c>
      <c r="J10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s="1" customFormat="1">
      <c r="A1001" s="8" t="s">
        <v>1100</v>
      </c>
      <c r="B1001" s="8" t="s">
        <v>1100</v>
      </c>
      <c r="C1001" s="1" t="str">
        <f>RIGHT(ProductInfo[[#This Row],[Drawing No]],1)</f>
        <v>D</v>
      </c>
      <c r="D1001" s="176" t="s">
        <v>3141</v>
      </c>
      <c r="E1001" s="16"/>
      <c r="F10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1" s="31"/>
      <c r="H1001" s="31"/>
      <c r="I1001" s="1">
        <f>COUNTA(ProductInfo[[#This Row],[P1]:[P15]])</f>
        <v>3</v>
      </c>
      <c r="J10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01" s="7" t="s">
        <v>12</v>
      </c>
      <c r="M1001" s="7"/>
      <c r="N1001" s="7" t="s">
        <v>15</v>
      </c>
      <c r="O1001" s="7" t="s">
        <v>16</v>
      </c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s="1" customFormat="1">
      <c r="A1002" s="8" t="s">
        <v>1101</v>
      </c>
      <c r="B1002" s="8" t="s">
        <v>1101</v>
      </c>
      <c r="C1002" s="1" t="str">
        <f>RIGHT(ProductInfo[[#This Row],[Drawing No]],1)</f>
        <v>E</v>
      </c>
      <c r="D1002" s="176" t="s">
        <v>3141</v>
      </c>
      <c r="E1002" s="16"/>
      <c r="F10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2" s="31"/>
      <c r="H1002" s="31"/>
      <c r="I1002" s="1">
        <f>COUNTA(ProductInfo[[#This Row],[P1]:[P15]])</f>
        <v>3</v>
      </c>
      <c r="J10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02" s="7" t="s">
        <v>12</v>
      </c>
      <c r="M1002" s="7"/>
      <c r="N1002" s="7" t="s">
        <v>15</v>
      </c>
      <c r="O1002" s="7" t="s">
        <v>16</v>
      </c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s="1" customFormat="1">
      <c r="A1003" s="8" t="s">
        <v>1102</v>
      </c>
      <c r="B1003" s="8" t="s">
        <v>3334</v>
      </c>
      <c r="C1003" s="1" t="str">
        <f>RIGHT(ProductInfo[[#This Row],[Drawing No]],1)</f>
        <v>1</v>
      </c>
      <c r="D1003" s="176" t="s">
        <v>3141</v>
      </c>
      <c r="E1003" s="16" t="s">
        <v>3607</v>
      </c>
      <c r="F1003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03" s="31"/>
      <c r="H1003" s="59">
        <v>80</v>
      </c>
      <c r="I1003" s="1">
        <f>COUNTA(ProductInfo[[#This Row],[P1]:[P15]])</f>
        <v>3</v>
      </c>
      <c r="J10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03" s="7" t="s">
        <v>12</v>
      </c>
      <c r="M1003" s="7" t="s">
        <v>13</v>
      </c>
      <c r="N1003" s="7" t="s">
        <v>15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s="1" customFormat="1">
      <c r="A1004" s="8" t="s">
        <v>5043</v>
      </c>
      <c r="B1004" s="8" t="s">
        <v>5042</v>
      </c>
      <c r="C1004" s="2" t="str">
        <f>RIGHT(ProductInfo[[#This Row],[Drawing No]],1)</f>
        <v>0</v>
      </c>
      <c r="D1004" s="176" t="s">
        <v>3141</v>
      </c>
      <c r="E1004" s="16" t="s">
        <v>3607</v>
      </c>
      <c r="F1004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04" s="31"/>
      <c r="H1004" s="59">
        <v>80</v>
      </c>
      <c r="I1004" s="1">
        <f>COUNTA(ProductInfo[[#This Row],[P1]:[P15]])</f>
        <v>5</v>
      </c>
      <c r="J10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04" s="7" t="s">
        <v>12</v>
      </c>
      <c r="M1004" s="7" t="s">
        <v>13</v>
      </c>
      <c r="N1004" s="7" t="s">
        <v>14</v>
      </c>
      <c r="O1004" s="4" t="s">
        <v>15</v>
      </c>
      <c r="P1004" s="7" t="s">
        <v>16</v>
      </c>
      <c r="Q1004" s="7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s="1" customFormat="1">
      <c r="A1005" s="8" t="s">
        <v>3603</v>
      </c>
      <c r="B1005" s="8" t="s">
        <v>3604</v>
      </c>
      <c r="C1005" s="2" t="str">
        <f>RIGHT(ProductInfo[[#This Row],[Drawing No]],1)</f>
        <v>0</v>
      </c>
      <c r="D1005" s="176" t="s">
        <v>3605</v>
      </c>
      <c r="E1005" s="16" t="s">
        <v>3421</v>
      </c>
      <c r="F1005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005" s="59">
        <v>90.5</v>
      </c>
      <c r="H1005" s="59">
        <v>60</v>
      </c>
      <c r="I1005" s="1">
        <f>COUNTA(ProductInfo[[#This Row],[P1]:[P15]])</f>
        <v>3</v>
      </c>
      <c r="J10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5" s="4" t="s">
        <v>12</v>
      </c>
      <c r="M1005" s="7" t="s">
        <v>13</v>
      </c>
      <c r="N1005" s="7" t="s">
        <v>14</v>
      </c>
      <c r="O1005" s="7"/>
      <c r="P1005" s="7"/>
      <c r="Q1005" s="7"/>
      <c r="R1005" s="7"/>
      <c r="S1005" s="4"/>
      <c r="T1005" s="7"/>
      <c r="U1005" s="7"/>
      <c r="V1005" s="7"/>
      <c r="W1005" s="7"/>
      <c r="X1005" s="7"/>
      <c r="Y1005" s="7"/>
      <c r="Z1005" s="7"/>
    </row>
    <row r="1006" spans="1:26" s="1" customFormat="1">
      <c r="A1006" s="8" t="s">
        <v>1103</v>
      </c>
      <c r="B1006" s="8" t="s">
        <v>1103</v>
      </c>
      <c r="C1006" s="1" t="str">
        <f>RIGHT(ProductInfo[[#This Row],[Drawing No]],1)</f>
        <v>1</v>
      </c>
      <c r="D1006" s="176" t="s">
        <v>2543</v>
      </c>
      <c r="E1006" s="16"/>
      <c r="F10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6" s="31"/>
      <c r="H1006" s="31"/>
      <c r="I1006" s="1">
        <f>COUNTA(ProductInfo[[#This Row],[P1]:[P15]])</f>
        <v>0</v>
      </c>
      <c r="J10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s="1" customFormat="1">
      <c r="A1007" s="8" t="s">
        <v>1104</v>
      </c>
      <c r="B1007" s="8" t="s">
        <v>1104</v>
      </c>
      <c r="C1007" s="1" t="str">
        <f>RIGHT(ProductInfo[[#This Row],[Drawing No]],1)</f>
        <v>0</v>
      </c>
      <c r="D1007" s="179" t="s">
        <v>2982</v>
      </c>
      <c r="E1007" s="18"/>
      <c r="F100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7" s="32"/>
      <c r="H1007" s="32"/>
      <c r="I1007" s="1">
        <f>COUNTA(ProductInfo[[#This Row],[P1]:[P15]])</f>
        <v>0</v>
      </c>
      <c r="J10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s="1" customFormat="1">
      <c r="A1008" s="8" t="s">
        <v>1105</v>
      </c>
      <c r="B1008" s="8" t="s">
        <v>1105</v>
      </c>
      <c r="C1008" s="1" t="str">
        <f>RIGHT(ProductInfo[[#This Row],[Drawing No]],1)</f>
        <v>0</v>
      </c>
      <c r="D1008" s="176" t="s">
        <v>2921</v>
      </c>
      <c r="E1008" s="16"/>
      <c r="F10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8" s="31"/>
      <c r="H1008" s="31"/>
      <c r="I1008" s="1">
        <f>COUNTA(ProductInfo[[#This Row],[P1]:[P15]])</f>
        <v>0</v>
      </c>
      <c r="J10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s="1" customFormat="1">
      <c r="A1009" s="8" t="s">
        <v>1106</v>
      </c>
      <c r="B1009" s="8" t="s">
        <v>1106</v>
      </c>
      <c r="C1009" s="1" t="str">
        <f>RIGHT(ProductInfo[[#This Row],[Drawing No]],1)</f>
        <v>1</v>
      </c>
      <c r="D1009" s="176" t="s">
        <v>2921</v>
      </c>
      <c r="E1009" s="16"/>
      <c r="F10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09" s="31"/>
      <c r="H1009" s="31"/>
      <c r="I1009" s="1">
        <f>COUNTA(ProductInfo[[#This Row],[P1]:[P15]])</f>
        <v>0</v>
      </c>
      <c r="J10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s="1" customFormat="1">
      <c r="A1010" s="8" t="s">
        <v>1107</v>
      </c>
      <c r="B1010" s="8" t="s">
        <v>1107</v>
      </c>
      <c r="C1010" s="1" t="str">
        <f>RIGHT(ProductInfo[[#This Row],[Drawing No]],1)</f>
        <v>2</v>
      </c>
      <c r="D1010" s="176" t="s">
        <v>2544</v>
      </c>
      <c r="E1010" s="16"/>
      <c r="F10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0" s="31"/>
      <c r="H1010" s="31"/>
      <c r="I1010" s="1">
        <f>COUNTA(ProductInfo[[#This Row],[P1]:[P15]])</f>
        <v>0</v>
      </c>
      <c r="J10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s="1" customFormat="1">
      <c r="A1011" s="8" t="s">
        <v>1108</v>
      </c>
      <c r="B1011" s="8" t="s">
        <v>1108</v>
      </c>
      <c r="C1011" s="1" t="str">
        <f>RIGHT(ProductInfo[[#This Row],[Drawing No]],1)</f>
        <v>3</v>
      </c>
      <c r="D1011" s="179" t="s">
        <v>2832</v>
      </c>
      <c r="E1011" s="18"/>
      <c r="F101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1" s="32"/>
      <c r="H1011" s="32"/>
      <c r="I1011" s="1">
        <f>COUNTA(ProductInfo[[#This Row],[P1]:[P15]])</f>
        <v>0</v>
      </c>
      <c r="J10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s="1" customFormat="1">
      <c r="A1012" s="8" t="s">
        <v>4675</v>
      </c>
      <c r="B1012" s="8" t="s">
        <v>4812</v>
      </c>
      <c r="C1012" s="2" t="str">
        <f>RIGHT(ProductInfo[[#This Row],[Drawing No]],1)</f>
        <v>1</v>
      </c>
      <c r="D1012" s="176" t="s">
        <v>4676</v>
      </c>
      <c r="E1012" s="16" t="s">
        <v>3607</v>
      </c>
      <c r="F1012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12" s="31"/>
      <c r="H1012" s="59">
        <v>80</v>
      </c>
      <c r="I1012" s="1">
        <f>COUNTA(ProductInfo[[#This Row],[P1]:[P15]])</f>
        <v>5</v>
      </c>
      <c r="J10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12" s="4" t="s">
        <v>12</v>
      </c>
      <c r="M1012" s="4" t="s">
        <v>13</v>
      </c>
      <c r="N1012" s="4" t="s">
        <v>14</v>
      </c>
      <c r="O1012" s="4" t="s">
        <v>15</v>
      </c>
      <c r="P1012" s="7" t="s">
        <v>16</v>
      </c>
      <c r="Q1012" s="7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s="1" customFormat="1" ht="19.8">
      <c r="A1013" s="8" t="s">
        <v>1109</v>
      </c>
      <c r="B1013" s="8" t="s">
        <v>4385</v>
      </c>
      <c r="C1013" s="2" t="str">
        <f>RIGHT(ProductInfo[[#This Row],[Drawing No]],1)</f>
        <v>0</v>
      </c>
      <c r="D1013" s="176" t="s">
        <v>4386</v>
      </c>
      <c r="E1013" s="121" t="s">
        <v>6530</v>
      </c>
      <c r="F101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1013" s="31" t="s">
        <v>6407</v>
      </c>
      <c r="H1013" s="31" t="s">
        <v>5999</v>
      </c>
      <c r="I1013" s="1">
        <f>COUNTA(ProductInfo[[#This Row],[P1]:[P15]])</f>
        <v>2</v>
      </c>
      <c r="J10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3" s="7" t="s">
        <v>12</v>
      </c>
      <c r="M1013" s="7" t="s">
        <v>13</v>
      </c>
      <c r="N1013" s="7"/>
      <c r="O1013" s="7"/>
      <c r="P1013" s="7"/>
      <c r="Q1013" s="7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s="1" customFormat="1">
      <c r="A1014" s="8" t="s">
        <v>1110</v>
      </c>
      <c r="B1014" s="8" t="s">
        <v>1110</v>
      </c>
      <c r="C1014" s="1" t="str">
        <f>RIGHT(ProductInfo[[#This Row],[Drawing No]],1)</f>
        <v>1</v>
      </c>
      <c r="D1014" s="176" t="s">
        <v>2545</v>
      </c>
      <c r="E1014" s="16"/>
      <c r="F10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4" s="31"/>
      <c r="H1014" s="31"/>
      <c r="I1014" s="1">
        <f>COUNTA(ProductInfo[[#This Row],[P1]:[P15]])</f>
        <v>0</v>
      </c>
      <c r="J10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s="1" customFormat="1">
      <c r="A1015" s="8" t="s">
        <v>1111</v>
      </c>
      <c r="B1015" s="8" t="s">
        <v>1111</v>
      </c>
      <c r="C1015" s="1" t="str">
        <f>RIGHT(ProductInfo[[#This Row],[Drawing No]],1)</f>
        <v>2</v>
      </c>
      <c r="D1015" s="176" t="s">
        <v>2546</v>
      </c>
      <c r="E1015" s="16"/>
      <c r="F10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5" s="31"/>
      <c r="H1015" s="31"/>
      <c r="I1015" s="1">
        <f>COUNTA(ProductInfo[[#This Row],[P1]:[P15]])</f>
        <v>0</v>
      </c>
      <c r="J10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s="1" customFormat="1" ht="19.8">
      <c r="A1016" s="8" t="s">
        <v>1112</v>
      </c>
      <c r="B1016" s="8" t="s">
        <v>3808</v>
      </c>
      <c r="C1016" s="1" t="str">
        <f>RIGHT(ProductInfo[[#This Row],[Drawing No]],1)</f>
        <v>1</v>
      </c>
      <c r="D1016" s="179" t="s">
        <v>2833</v>
      </c>
      <c r="E1016" s="121" t="s">
        <v>6530</v>
      </c>
      <c r="F1016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1016" s="3">
        <v>64</v>
      </c>
      <c r="H1016" s="3"/>
      <c r="I1016" s="1">
        <f>COUNTA(ProductInfo[[#This Row],[P1]:[P15]])</f>
        <v>5</v>
      </c>
      <c r="J10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16" s="7" t="s">
        <v>12</v>
      </c>
      <c r="M1016" s="7" t="s">
        <v>13</v>
      </c>
      <c r="N1016" s="7" t="s">
        <v>15</v>
      </c>
      <c r="O1016" s="7" t="s">
        <v>16</v>
      </c>
      <c r="P1016" s="7" t="s">
        <v>14</v>
      </c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s="1" customFormat="1">
      <c r="A1017" s="8" t="s">
        <v>1113</v>
      </c>
      <c r="B1017" s="8" t="s">
        <v>1113</v>
      </c>
      <c r="C1017" s="1" t="str">
        <f>RIGHT(ProductInfo[[#This Row],[Drawing No]],1)</f>
        <v>A</v>
      </c>
      <c r="D1017" s="176" t="s">
        <v>2922</v>
      </c>
      <c r="E1017" s="16"/>
      <c r="F10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7" s="31"/>
      <c r="H1017" s="31"/>
      <c r="I1017" s="1">
        <f>COUNTA(ProductInfo[[#This Row],[P1]:[P15]])</f>
        <v>0</v>
      </c>
      <c r="J10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s="1" customFormat="1">
      <c r="A1018" s="8" t="s">
        <v>1114</v>
      </c>
      <c r="B1018" s="8" t="s">
        <v>1114</v>
      </c>
      <c r="C1018" s="1" t="str">
        <f>RIGHT(ProductInfo[[#This Row],[Drawing No]],1)</f>
        <v>B</v>
      </c>
      <c r="D1018" s="176" t="s">
        <v>2923</v>
      </c>
      <c r="E1018" s="16"/>
      <c r="F10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8" s="31"/>
      <c r="H1018" s="31"/>
      <c r="I1018" s="1">
        <f>COUNTA(ProductInfo[[#This Row],[P1]:[P15]])</f>
        <v>0</v>
      </c>
      <c r="J10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s="1" customFormat="1">
      <c r="A1019" s="8" t="s">
        <v>1115</v>
      </c>
      <c r="B1019" s="8" t="s">
        <v>1115</v>
      </c>
      <c r="C1019" s="1" t="str">
        <f>RIGHT(ProductInfo[[#This Row],[Drawing No]],1)</f>
        <v>C</v>
      </c>
      <c r="D1019" s="176" t="s">
        <v>2924</v>
      </c>
      <c r="E1019" s="16"/>
      <c r="F10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19" s="31"/>
      <c r="H1019" s="31"/>
      <c r="I1019" s="1">
        <f>COUNTA(ProductInfo[[#This Row],[P1]:[P15]])</f>
        <v>0</v>
      </c>
      <c r="J10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s="1" customFormat="1">
      <c r="A1020" s="8" t="s">
        <v>1116</v>
      </c>
      <c r="B1020" s="8" t="s">
        <v>1116</v>
      </c>
      <c r="C1020" s="1" t="str">
        <f>RIGHT(ProductInfo[[#This Row],[Drawing No]],1)</f>
        <v>D</v>
      </c>
      <c r="D1020" s="176" t="s">
        <v>2924</v>
      </c>
      <c r="E1020" s="16"/>
      <c r="F10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0" s="31"/>
      <c r="H1020" s="31"/>
      <c r="I1020" s="1">
        <f>COUNTA(ProductInfo[[#This Row],[P1]:[P15]])</f>
        <v>0</v>
      </c>
      <c r="J10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s="1" customFormat="1">
      <c r="A1021" s="8" t="s">
        <v>1117</v>
      </c>
      <c r="B1021" s="8" t="s">
        <v>1117</v>
      </c>
      <c r="C1021" s="1" t="str">
        <f>RIGHT(ProductInfo[[#This Row],[Drawing No]],1)</f>
        <v>E</v>
      </c>
      <c r="D1021" s="176" t="s">
        <v>3142</v>
      </c>
      <c r="E1021" s="16"/>
      <c r="F10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1" s="31"/>
      <c r="H1021" s="31"/>
      <c r="I1021" s="1">
        <f>COUNTA(ProductInfo[[#This Row],[P1]:[P15]])</f>
        <v>0</v>
      </c>
      <c r="J10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s="1" customFormat="1">
      <c r="A1022" s="8" t="s">
        <v>1118</v>
      </c>
      <c r="B1022" s="8" t="s">
        <v>1118</v>
      </c>
      <c r="C1022" s="1" t="str">
        <f>RIGHT(ProductInfo[[#This Row],[Drawing No]],1)</f>
        <v>F</v>
      </c>
      <c r="D1022" s="176" t="s">
        <v>3142</v>
      </c>
      <c r="E1022" s="16"/>
      <c r="F10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2" s="31"/>
      <c r="H1022" s="31"/>
      <c r="I1022" s="1">
        <f>COUNTA(ProductInfo[[#This Row],[P1]:[P15]])</f>
        <v>0</v>
      </c>
      <c r="J10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s="1" customFormat="1">
      <c r="A1023" s="8" t="s">
        <v>1119</v>
      </c>
      <c r="B1023" s="8" t="s">
        <v>1119</v>
      </c>
      <c r="C1023" s="1" t="str">
        <f>RIGHT(ProductInfo[[#This Row],[Drawing No]],1)</f>
        <v>G</v>
      </c>
      <c r="D1023" s="176" t="s">
        <v>3142</v>
      </c>
      <c r="E1023" s="16"/>
      <c r="F10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3" s="31"/>
      <c r="H1023" s="31"/>
      <c r="I1023" s="1">
        <f>COUNTA(ProductInfo[[#This Row],[P1]:[P15]])</f>
        <v>0</v>
      </c>
      <c r="J10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s="1" customFormat="1">
      <c r="A1024" s="8" t="s">
        <v>1120</v>
      </c>
      <c r="B1024" s="8" t="s">
        <v>3306</v>
      </c>
      <c r="C1024" s="1" t="str">
        <f>RIGHT(ProductInfo[[#This Row],[Drawing No]],1)</f>
        <v>0</v>
      </c>
      <c r="D1024" s="176" t="s">
        <v>3109</v>
      </c>
      <c r="E1024" s="16" t="s">
        <v>3607</v>
      </c>
      <c r="F1024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24" s="31"/>
      <c r="H1024" s="59">
        <v>50</v>
      </c>
      <c r="I1024" s="1">
        <f>COUNTA(ProductInfo[[#This Row],[P1]:[P15]])</f>
        <v>3</v>
      </c>
      <c r="J10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24" s="7" t="s">
        <v>13</v>
      </c>
      <c r="M1024" s="7" t="s">
        <v>16</v>
      </c>
      <c r="N1024" s="7"/>
      <c r="O1024" s="7" t="s">
        <v>16</v>
      </c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s="1" customFormat="1">
      <c r="A1025" s="8" t="s">
        <v>1121</v>
      </c>
      <c r="B1025" s="8" t="s">
        <v>1121</v>
      </c>
      <c r="C1025" s="1" t="str">
        <f>RIGHT(ProductInfo[[#This Row],[Drawing No]],1)</f>
        <v>0</v>
      </c>
      <c r="D1025" s="176" t="s">
        <v>2547</v>
      </c>
      <c r="E1025" s="16"/>
      <c r="F10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5" s="31"/>
      <c r="H1025" s="31"/>
      <c r="I1025" s="1">
        <f>COUNTA(ProductInfo[[#This Row],[P1]:[P15]])</f>
        <v>3</v>
      </c>
      <c r="J10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25" s="7" t="s">
        <v>13</v>
      </c>
      <c r="M1025" s="7" t="s">
        <v>14</v>
      </c>
      <c r="N1025" s="7"/>
      <c r="O1025" s="7" t="s">
        <v>16</v>
      </c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s="1" customFormat="1">
      <c r="A1026" s="8" t="s">
        <v>1122</v>
      </c>
      <c r="B1026" s="8" t="s">
        <v>1122</v>
      </c>
      <c r="C1026" s="1" t="str">
        <f>RIGHT(ProductInfo[[#This Row],[Drawing No]],1)</f>
        <v>2</v>
      </c>
      <c r="D1026" s="176" t="s">
        <v>2548</v>
      </c>
      <c r="E1026" s="16"/>
      <c r="F10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6" s="31"/>
      <c r="H1026" s="31"/>
      <c r="I1026" s="1">
        <f>COUNTA(ProductInfo[[#This Row],[P1]:[P15]])</f>
        <v>3</v>
      </c>
      <c r="J10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26" s="7" t="s">
        <v>13</v>
      </c>
      <c r="M1026" s="7" t="s">
        <v>14</v>
      </c>
      <c r="N1026" s="7"/>
      <c r="O1026" s="7" t="s">
        <v>16</v>
      </c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s="1" customFormat="1">
      <c r="A1027" s="8" t="s">
        <v>1123</v>
      </c>
      <c r="B1027" s="8" t="s">
        <v>1123</v>
      </c>
      <c r="C1027" s="1" t="str">
        <f>RIGHT(ProductInfo[[#This Row],[Drawing No]],1)</f>
        <v>4</v>
      </c>
      <c r="D1027" s="176" t="s">
        <v>2549</v>
      </c>
      <c r="E1027" s="16"/>
      <c r="F10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7" s="31"/>
      <c r="H1027" s="31"/>
      <c r="I1027" s="1">
        <f>COUNTA(ProductInfo[[#This Row],[P1]:[P15]])</f>
        <v>3</v>
      </c>
      <c r="J10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27" s="7" t="s">
        <v>13</v>
      </c>
      <c r="M1027" s="7" t="s">
        <v>14</v>
      </c>
      <c r="N1027" s="7"/>
      <c r="O1027" s="7" t="s">
        <v>16</v>
      </c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s="1" customFormat="1">
      <c r="A1028" s="8" t="s">
        <v>1124</v>
      </c>
      <c r="B1028" s="8" t="s">
        <v>1124</v>
      </c>
      <c r="C1028" s="1" t="str">
        <f>RIGHT(ProductInfo[[#This Row],[Drawing No]],1)</f>
        <v>5</v>
      </c>
      <c r="D1028" s="176" t="s">
        <v>2549</v>
      </c>
      <c r="E1028" s="16"/>
      <c r="F10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8" s="31"/>
      <c r="H1028" s="31"/>
      <c r="I1028" s="1">
        <f>COUNTA(ProductInfo[[#This Row],[P1]:[P15]])</f>
        <v>3</v>
      </c>
      <c r="J10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28" s="7" t="s">
        <v>13</v>
      </c>
      <c r="M1028" s="7" t="s">
        <v>14</v>
      </c>
      <c r="N1028" s="7"/>
      <c r="O1028" s="7" t="s">
        <v>16</v>
      </c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s="1" customFormat="1">
      <c r="A1029" s="8" t="s">
        <v>1125</v>
      </c>
      <c r="B1029" s="8" t="s">
        <v>3307</v>
      </c>
      <c r="C1029" s="1" t="str">
        <f>RIGHT(ProductInfo[[#This Row],[Drawing No]],1)</f>
        <v>0</v>
      </c>
      <c r="D1029" s="176" t="s">
        <v>2549</v>
      </c>
      <c r="E1029" s="16"/>
      <c r="F10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29" s="31"/>
      <c r="H1029" s="31"/>
      <c r="I1029" s="1">
        <f>COUNTA(ProductInfo[[#This Row],[P1]:[P15]])</f>
        <v>2</v>
      </c>
      <c r="J10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29" s="7" t="s">
        <v>13</v>
      </c>
      <c r="M1029" s="7" t="s">
        <v>16</v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s="1" customFormat="1">
      <c r="A1030" s="8" t="s">
        <v>1126</v>
      </c>
      <c r="B1030" s="8" t="s">
        <v>3328</v>
      </c>
      <c r="C1030" s="1" t="str">
        <f>RIGHT(ProductInfo[[#This Row],[Drawing No]],1)</f>
        <v>0</v>
      </c>
      <c r="D1030" s="176" t="s">
        <v>2549</v>
      </c>
      <c r="E1030" s="16" t="s">
        <v>3622</v>
      </c>
      <c r="F1030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030" s="59">
        <v>1</v>
      </c>
      <c r="H1030" s="59">
        <v>70</v>
      </c>
      <c r="I1030" s="1">
        <f>COUNTA(ProductInfo[[#This Row],[P1]:[P15]])</f>
        <v>2</v>
      </c>
      <c r="J10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30" s="7" t="s">
        <v>13</v>
      </c>
      <c r="M1030" s="7" t="s">
        <v>16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s="1" customFormat="1">
      <c r="A1031" s="8" t="s">
        <v>5112</v>
      </c>
      <c r="B1031" s="8" t="s">
        <v>5110</v>
      </c>
      <c r="C1031" s="2" t="str">
        <f>RIGHT(ProductInfo[[#This Row],[Drawing No]],1)</f>
        <v>0</v>
      </c>
      <c r="D1031" s="176" t="s">
        <v>5113</v>
      </c>
      <c r="E1031" s="16" t="s">
        <v>3622</v>
      </c>
      <c r="F1031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031" s="31"/>
      <c r="H1031" s="59">
        <v>70</v>
      </c>
      <c r="I1031" s="1">
        <f>COUNTA(ProductInfo[[#This Row],[P1]:[P15]])</f>
        <v>5</v>
      </c>
      <c r="J10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31" s="7" t="s">
        <v>12</v>
      </c>
      <c r="M1031" s="4" t="s">
        <v>13</v>
      </c>
      <c r="N1031" s="7" t="s">
        <v>15</v>
      </c>
      <c r="O1031" s="4" t="s">
        <v>16</v>
      </c>
      <c r="P1031" s="7" t="s">
        <v>14</v>
      </c>
      <c r="Q1031" s="7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s="1" customFormat="1">
      <c r="A1032" s="8" t="s">
        <v>1127</v>
      </c>
      <c r="B1032" s="8" t="s">
        <v>1127</v>
      </c>
      <c r="C1032" s="1" t="str">
        <f>RIGHT(ProductInfo[[#This Row],[Drawing No]],1)</f>
        <v>0</v>
      </c>
      <c r="D1032" s="176" t="s">
        <v>2550</v>
      </c>
      <c r="E1032" s="16"/>
      <c r="F10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2" s="31"/>
      <c r="H1032" s="31"/>
      <c r="I1032" s="1">
        <f>COUNTA(ProductInfo[[#This Row],[P1]:[P15]])</f>
        <v>0</v>
      </c>
      <c r="J10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s="1" customFormat="1">
      <c r="A1033" s="8" t="s">
        <v>1128</v>
      </c>
      <c r="B1033" s="8" t="s">
        <v>1128</v>
      </c>
      <c r="C1033" s="1" t="str">
        <f>RIGHT(ProductInfo[[#This Row],[Drawing No]],1)</f>
        <v>7</v>
      </c>
      <c r="D1033" s="176" t="s">
        <v>2834</v>
      </c>
      <c r="E1033" s="16"/>
      <c r="F10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3" s="31"/>
      <c r="H1033" s="31"/>
      <c r="I1033" s="1">
        <f>COUNTA(ProductInfo[[#This Row],[P1]:[P15]])</f>
        <v>0</v>
      </c>
      <c r="J10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s="1" customFormat="1">
      <c r="A1034" s="8" t="s">
        <v>1129</v>
      </c>
      <c r="B1034" s="8" t="s">
        <v>3714</v>
      </c>
      <c r="C1034" s="1" t="str">
        <f>RIGHT(ProductInfo[[#This Row],[Drawing No]],1)</f>
        <v>0</v>
      </c>
      <c r="D1034" s="176" t="s">
        <v>2551</v>
      </c>
      <c r="E1034" s="16" t="s">
        <v>3622</v>
      </c>
      <c r="F1034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034" s="31"/>
      <c r="H1034" s="59">
        <v>50</v>
      </c>
      <c r="I1034" s="1">
        <f>COUNTA(ProductInfo[[#This Row],[P1]:[P15]])</f>
        <v>5</v>
      </c>
      <c r="J10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34" s="7" t="s">
        <v>12</v>
      </c>
      <c r="M1034" s="4" t="s">
        <v>13</v>
      </c>
      <c r="N1034" s="7" t="s">
        <v>15</v>
      </c>
      <c r="O1034" s="4" t="s">
        <v>16</v>
      </c>
      <c r="P1034" s="7" t="s">
        <v>14</v>
      </c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s="1" customFormat="1">
      <c r="A1035" s="8" t="s">
        <v>5111</v>
      </c>
      <c r="B1035" s="8" t="s">
        <v>5110</v>
      </c>
      <c r="C1035" s="2" t="str">
        <f>RIGHT(ProductInfo[[#This Row],[Drawing No]],1)</f>
        <v>0</v>
      </c>
      <c r="D1035" s="176" t="s">
        <v>2551</v>
      </c>
      <c r="E1035" s="16" t="s">
        <v>3622</v>
      </c>
      <c r="F1035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035" s="31"/>
      <c r="H1035" s="59">
        <v>50</v>
      </c>
      <c r="I1035" s="1">
        <f>COUNTA(ProductInfo[[#This Row],[P1]:[P15]])</f>
        <v>5</v>
      </c>
      <c r="J10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35" s="7" t="s">
        <v>12</v>
      </c>
      <c r="M1035" s="4" t="s">
        <v>13</v>
      </c>
      <c r="N1035" s="7" t="s">
        <v>15</v>
      </c>
      <c r="O1035" s="4" t="s">
        <v>16</v>
      </c>
      <c r="P1035" s="7" t="s">
        <v>14</v>
      </c>
      <c r="Q1035" s="7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s="1" customFormat="1">
      <c r="A1036" s="8" t="s">
        <v>4578</v>
      </c>
      <c r="B1036" s="8" t="s">
        <v>4591</v>
      </c>
      <c r="C1036" s="2" t="str">
        <f>RIGHT(ProductInfo[[#This Row],[Drawing No]],1)</f>
        <v>1</v>
      </c>
      <c r="D1036" s="176" t="s">
        <v>4590</v>
      </c>
      <c r="E1036" s="16" t="s">
        <v>3607</v>
      </c>
      <c r="F1036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36" s="59">
        <v>1</v>
      </c>
      <c r="H1036" s="59">
        <v>50</v>
      </c>
      <c r="I1036" s="1">
        <f>COUNTA(ProductInfo[[#This Row],[P1]:[P15]])</f>
        <v>2</v>
      </c>
      <c r="J10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6" s="4" t="s">
        <v>12</v>
      </c>
      <c r="M1036" s="4" t="s">
        <v>13</v>
      </c>
      <c r="N1036" s="7"/>
      <c r="O1036" s="4"/>
      <c r="P1036" s="7"/>
      <c r="Q1036" s="7"/>
      <c r="R1036" s="7"/>
      <c r="S1036" s="4"/>
      <c r="T1036" s="4"/>
      <c r="U1036" s="4"/>
      <c r="V1036" s="4"/>
      <c r="W1036" s="4"/>
      <c r="X1036" s="4"/>
      <c r="Y1036" s="4"/>
      <c r="Z1036" s="4"/>
    </row>
    <row r="1037" spans="1:26" s="1" customFormat="1">
      <c r="A1037" s="8" t="s">
        <v>1130</v>
      </c>
      <c r="B1037" s="8" t="s">
        <v>1130</v>
      </c>
      <c r="C1037" s="1" t="str">
        <f>RIGHT(ProductInfo[[#This Row],[Drawing No]],1)</f>
        <v>7</v>
      </c>
      <c r="D1037" s="176" t="s">
        <v>2925</v>
      </c>
      <c r="E1037" s="16"/>
      <c r="F10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7" s="31"/>
      <c r="H1037" s="31"/>
      <c r="I1037" s="1">
        <f>COUNTA(ProductInfo[[#This Row],[P1]:[P15]])</f>
        <v>0</v>
      </c>
      <c r="J10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s="1" customFormat="1">
      <c r="A1038" s="8" t="s">
        <v>1131</v>
      </c>
      <c r="B1038" s="8" t="s">
        <v>1131</v>
      </c>
      <c r="C1038" s="1" t="str">
        <f>RIGHT(ProductInfo[[#This Row],[Drawing No]],1)</f>
        <v>8</v>
      </c>
      <c r="D1038" s="176" t="s">
        <v>2925</v>
      </c>
      <c r="E1038" s="16"/>
      <c r="F10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8" s="31"/>
      <c r="H1038" s="31"/>
      <c r="I1038" s="1">
        <f>COUNTA(ProductInfo[[#This Row],[P1]:[P15]])</f>
        <v>0</v>
      </c>
      <c r="J10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s="1" customFormat="1">
      <c r="A1039" s="8" t="s">
        <v>1132</v>
      </c>
      <c r="B1039" s="8" t="s">
        <v>1132</v>
      </c>
      <c r="C1039" s="1" t="str">
        <f>RIGHT(ProductInfo[[#This Row],[Drawing No]],1)</f>
        <v>A</v>
      </c>
      <c r="D1039" s="176" t="s">
        <v>2926</v>
      </c>
      <c r="E1039" s="16"/>
      <c r="F10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39" s="31"/>
      <c r="H1039" s="31"/>
      <c r="I1039" s="1">
        <f>COUNTA(ProductInfo[[#This Row],[P1]:[P15]])</f>
        <v>0</v>
      </c>
      <c r="J10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s="1" customFormat="1">
      <c r="A1040" s="8" t="s">
        <v>1133</v>
      </c>
      <c r="B1040" s="8" t="s">
        <v>1133</v>
      </c>
      <c r="C1040" s="1" t="str">
        <f>RIGHT(ProductInfo[[#This Row],[Drawing No]],1)</f>
        <v>C</v>
      </c>
      <c r="D1040" s="176" t="s">
        <v>2927</v>
      </c>
      <c r="E1040" s="16"/>
      <c r="F10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0" s="31"/>
      <c r="H1040" s="31"/>
      <c r="I1040" s="1">
        <f>COUNTA(ProductInfo[[#This Row],[P1]:[P15]])</f>
        <v>0</v>
      </c>
      <c r="J10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s="1" customFormat="1">
      <c r="A1041" s="8" t="s">
        <v>1134</v>
      </c>
      <c r="B1041" s="8" t="s">
        <v>1134</v>
      </c>
      <c r="C1041" s="1" t="str">
        <f>RIGHT(ProductInfo[[#This Row],[Drawing No]],1)</f>
        <v>D</v>
      </c>
      <c r="D1041" s="176" t="s">
        <v>2552</v>
      </c>
      <c r="E1041" s="16"/>
      <c r="F10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1" s="31"/>
      <c r="H1041" s="31"/>
      <c r="I1041" s="1">
        <f>COUNTA(ProductInfo[[#This Row],[P1]:[P15]])</f>
        <v>0</v>
      </c>
      <c r="J10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s="1" customFormat="1">
      <c r="A1042" s="8" t="s">
        <v>1135</v>
      </c>
      <c r="B1042" s="8" t="s">
        <v>1135</v>
      </c>
      <c r="C1042" s="1" t="str">
        <f>RIGHT(ProductInfo[[#This Row],[Drawing No]],1)</f>
        <v>G</v>
      </c>
      <c r="D1042" s="176" t="s">
        <v>3143</v>
      </c>
      <c r="E1042" s="16"/>
      <c r="F10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2" s="31"/>
      <c r="H1042" s="31"/>
      <c r="I1042" s="1">
        <f>COUNTA(ProductInfo[[#This Row],[P1]:[P15]])</f>
        <v>0</v>
      </c>
      <c r="J10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s="1" customFormat="1">
      <c r="A1043" s="8" t="s">
        <v>1136</v>
      </c>
      <c r="B1043" s="8" t="s">
        <v>1136</v>
      </c>
      <c r="C1043" s="1" t="str">
        <f>RIGHT(ProductInfo[[#This Row],[Drawing No]],1)</f>
        <v>H</v>
      </c>
      <c r="D1043" s="176" t="s">
        <v>3143</v>
      </c>
      <c r="E1043" s="16"/>
      <c r="F10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3" s="31"/>
      <c r="H1043" s="31"/>
      <c r="I1043" s="1">
        <f>COUNTA(ProductInfo[[#This Row],[P1]:[P15]])</f>
        <v>0</v>
      </c>
      <c r="J10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s="1" customFormat="1">
      <c r="A1044" s="8" t="s">
        <v>1137</v>
      </c>
      <c r="B1044" s="8" t="s">
        <v>4487</v>
      </c>
      <c r="C1044" s="2" t="str">
        <f>RIGHT(ProductInfo[[#This Row],[Drawing No]],1)</f>
        <v>2</v>
      </c>
      <c r="D1044" s="179" t="s">
        <v>3038</v>
      </c>
      <c r="E1044" s="18" t="s">
        <v>5150</v>
      </c>
      <c r="F1044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044" s="59">
        <v>83.5</v>
      </c>
      <c r="H1044" s="59">
        <v>100</v>
      </c>
      <c r="I1044" s="1">
        <f>COUNTA(ProductInfo[[#This Row],[P1]:[P15]])</f>
        <v>2</v>
      </c>
      <c r="J10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4" s="7" t="s">
        <v>12</v>
      </c>
      <c r="M1044" s="7" t="s">
        <v>13</v>
      </c>
      <c r="N1044" s="7"/>
      <c r="O1044" s="7"/>
      <c r="P1044" s="7"/>
      <c r="Q1044" s="7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s="1" customFormat="1">
      <c r="A1045" s="8" t="s">
        <v>5013</v>
      </c>
      <c r="B1045" s="8" t="s">
        <v>5010</v>
      </c>
      <c r="C1045" s="2" t="str">
        <f>RIGHT(ProductInfo[[#This Row],[Drawing No]],1)</f>
        <v>0</v>
      </c>
      <c r="D1045" s="176" t="s">
        <v>3038</v>
      </c>
      <c r="E1045" s="18" t="s">
        <v>5150</v>
      </c>
      <c r="F1045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045" s="59">
        <v>83.5</v>
      </c>
      <c r="H1045" s="59">
        <v>100</v>
      </c>
      <c r="I1045" s="1">
        <f>COUNTA(ProductInfo[[#This Row],[P1]:[P15]])</f>
        <v>5</v>
      </c>
      <c r="J10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45" s="7" t="s">
        <v>12</v>
      </c>
      <c r="M1045" s="7" t="s">
        <v>13</v>
      </c>
      <c r="N1045" s="7" t="s">
        <v>15</v>
      </c>
      <c r="O1045" s="7" t="s">
        <v>16</v>
      </c>
      <c r="P1045" s="7" t="s">
        <v>14</v>
      </c>
      <c r="Q1045" s="7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s="1" customFormat="1">
      <c r="A1046" s="8" t="s">
        <v>1138</v>
      </c>
      <c r="B1046" s="8" t="s">
        <v>1138</v>
      </c>
      <c r="C1046" s="1" t="str">
        <f>RIGHT(ProductInfo[[#This Row],[Drawing No]],1)</f>
        <v>0</v>
      </c>
      <c r="D1046" s="176" t="s">
        <v>2928</v>
      </c>
      <c r="E1046" s="16"/>
      <c r="F10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6" s="31"/>
      <c r="H1046" s="31"/>
      <c r="I1046" s="1">
        <f>COUNTA(ProductInfo[[#This Row],[P1]:[P15]])</f>
        <v>0</v>
      </c>
      <c r="J10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s="1" customFormat="1">
      <c r="A1047" s="8" t="s">
        <v>1139</v>
      </c>
      <c r="B1047" s="8" t="s">
        <v>3615</v>
      </c>
      <c r="C1047" s="1" t="str">
        <f>RIGHT(ProductInfo[[#This Row],[Drawing No]],1)</f>
        <v>0</v>
      </c>
      <c r="D1047" s="175" t="s">
        <v>2553</v>
      </c>
      <c r="E1047" s="5"/>
      <c r="F1047" s="22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7" s="4" t="s">
        <v>3616</v>
      </c>
      <c r="H1047" s="4"/>
      <c r="I1047" s="1">
        <f>COUNTA(ProductInfo[[#This Row],[P1]:[P15]])</f>
        <v>2</v>
      </c>
      <c r="J10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47" s="7" t="s">
        <v>13</v>
      </c>
      <c r="M1047" s="7" t="s">
        <v>16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s="1" customFormat="1">
      <c r="A1048" s="8" t="s">
        <v>1140</v>
      </c>
      <c r="B1048" s="8" t="s">
        <v>3617</v>
      </c>
      <c r="C1048" s="1" t="str">
        <f>RIGHT(ProductInfo[[#This Row],[Drawing No]],1)</f>
        <v>0</v>
      </c>
      <c r="D1048" s="175" t="s">
        <v>2554</v>
      </c>
      <c r="E1048" s="5" t="s">
        <v>3406</v>
      </c>
      <c r="F1048" s="22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1048" s="2">
        <v>73.5</v>
      </c>
      <c r="H1048" s="2">
        <v>60</v>
      </c>
      <c r="I1048" s="1">
        <f>COUNTA(ProductInfo[[#This Row],[P1]:[P15]])</f>
        <v>2</v>
      </c>
      <c r="J10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48" s="7" t="s">
        <v>13</v>
      </c>
      <c r="M1048" s="7" t="s">
        <v>16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s="1" customFormat="1">
      <c r="A1049" s="8" t="s">
        <v>1141</v>
      </c>
      <c r="B1049" s="8" t="s">
        <v>1141</v>
      </c>
      <c r="C1049" s="1" t="str">
        <f>RIGHT(ProductInfo[[#This Row],[Drawing No]],1)</f>
        <v>2</v>
      </c>
      <c r="D1049" s="176" t="s">
        <v>2929</v>
      </c>
      <c r="E1049" s="16"/>
      <c r="F10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49" s="31"/>
      <c r="H1049" s="31"/>
      <c r="I1049" s="1">
        <f>COUNTA(ProductInfo[[#This Row],[P1]:[P15]])</f>
        <v>0</v>
      </c>
      <c r="J10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s="1" customFormat="1">
      <c r="A1050" s="8" t="s">
        <v>1142</v>
      </c>
      <c r="B1050" s="8" t="s">
        <v>1142</v>
      </c>
      <c r="C1050" s="1" t="str">
        <f>RIGHT(ProductInfo[[#This Row],[Drawing No]],1)</f>
        <v>3</v>
      </c>
      <c r="D1050" s="176" t="s">
        <v>2929</v>
      </c>
      <c r="E1050" s="16"/>
      <c r="F10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50" s="31"/>
      <c r="H1050" s="31"/>
      <c r="I1050" s="1">
        <f>COUNTA(ProductInfo[[#This Row],[P1]:[P15]])</f>
        <v>0</v>
      </c>
      <c r="J10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s="1" customFormat="1">
      <c r="A1051" s="8" t="s">
        <v>1143</v>
      </c>
      <c r="B1051" s="8" t="s">
        <v>3618</v>
      </c>
      <c r="C1051" s="1" t="str">
        <f>RIGHT(ProductInfo[[#This Row],[Drawing No]],1)</f>
        <v>0</v>
      </c>
      <c r="D1051" s="176" t="s">
        <v>2555</v>
      </c>
      <c r="E1051" s="16" t="s">
        <v>3561</v>
      </c>
      <c r="F1051" s="23" t="str">
        <f>IFERROR(INDEX(MaterialCode[รายละเอียด],MATCH(ProductInfo[[#This Row],[Material Code]],MaterialCode[Material Code],0)),"ไม่พบวัตถุดิบ")</f>
        <v>เพลาหน้าตัดพิเศษ 46 มม.* 75.5 มม.* 68 มม</v>
      </c>
      <c r="G1051" s="59">
        <v>68</v>
      </c>
      <c r="H1051" s="59"/>
      <c r="I1051" s="1">
        <f>COUNTA(ProductInfo[[#This Row],[P1]:[P15]])</f>
        <v>2</v>
      </c>
      <c r="J10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51" s="7" t="s">
        <v>13</v>
      </c>
      <c r="M1051" s="7" t="s">
        <v>15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s="1" customFormat="1">
      <c r="A1052" s="8" t="s">
        <v>1144</v>
      </c>
      <c r="B1052" s="8" t="s">
        <v>3874</v>
      </c>
      <c r="C1052" s="1" t="str">
        <f>RIGHT(ProductInfo[[#This Row],[Drawing No]],1)</f>
        <v>0</v>
      </c>
      <c r="D1052" s="176" t="s">
        <v>2556</v>
      </c>
      <c r="E1052" s="16" t="s">
        <v>3622</v>
      </c>
      <c r="F1052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052" s="31"/>
      <c r="H1052" s="59">
        <v>50</v>
      </c>
      <c r="I1052" s="1">
        <f>COUNTA(ProductInfo[[#This Row],[P1]:[P15]])</f>
        <v>2</v>
      </c>
      <c r="J10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0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52" s="7" t="s">
        <v>13</v>
      </c>
      <c r="M1052" s="7" t="s">
        <v>15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s="1" customFormat="1">
      <c r="A1053" s="8" t="s">
        <v>4536</v>
      </c>
      <c r="B1053" s="8" t="s">
        <v>4560</v>
      </c>
      <c r="C1053" s="2" t="str">
        <f>RIGHT(ProductInfo[[#This Row],[Drawing No]],1)</f>
        <v>1</v>
      </c>
      <c r="D1053" s="176" t="s">
        <v>4537</v>
      </c>
      <c r="E1053" s="16" t="s">
        <v>3607</v>
      </c>
      <c r="F1053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53" s="59">
        <v>1</v>
      </c>
      <c r="H1053" s="59">
        <v>80</v>
      </c>
      <c r="I1053" s="1">
        <f>COUNTA(ProductInfo[[#This Row],[P1]:[P15]])</f>
        <v>3</v>
      </c>
      <c r="J10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53" s="4" t="s">
        <v>12</v>
      </c>
      <c r="M1053" s="4" t="s">
        <v>13</v>
      </c>
      <c r="N1053" s="7" t="s">
        <v>16</v>
      </c>
      <c r="O1053" s="7"/>
      <c r="P1053" s="7"/>
      <c r="Q1053" s="7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s="1" customFormat="1">
      <c r="A1054" s="8" t="s">
        <v>5009</v>
      </c>
      <c r="B1054" s="8" t="s">
        <v>5008</v>
      </c>
      <c r="C1054" s="2" t="str">
        <f>RIGHT(ProductInfo[[#This Row],[Drawing No]],1)</f>
        <v>0</v>
      </c>
      <c r="D1054" s="176" t="s">
        <v>4537</v>
      </c>
      <c r="E1054" s="16" t="s">
        <v>3607</v>
      </c>
      <c r="F1054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54" s="59">
        <v>1</v>
      </c>
      <c r="H1054" s="59">
        <v>80</v>
      </c>
      <c r="I1054" s="1">
        <f>COUNTA(ProductInfo[[#This Row],[P1]:[P15]])</f>
        <v>5</v>
      </c>
      <c r="J10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54" s="4" t="s">
        <v>12</v>
      </c>
      <c r="M1054" s="4" t="s">
        <v>13</v>
      </c>
      <c r="N1054" s="4" t="s">
        <v>14</v>
      </c>
      <c r="O1054" s="4" t="s">
        <v>15</v>
      </c>
      <c r="P1054" s="7" t="s">
        <v>16</v>
      </c>
      <c r="Q1054" s="7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s="1" customFormat="1">
      <c r="A1055" s="8" t="s">
        <v>1145</v>
      </c>
      <c r="B1055" s="8" t="s">
        <v>1145</v>
      </c>
      <c r="C1055" s="1" t="str">
        <f>RIGHT(ProductInfo[[#This Row],[Drawing No]],1)</f>
        <v>0</v>
      </c>
      <c r="D1055" s="176" t="s">
        <v>3109</v>
      </c>
      <c r="E1055" s="16"/>
      <c r="F10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55" s="31"/>
      <c r="H1055" s="31"/>
      <c r="I1055" s="1">
        <f>COUNTA(ProductInfo[[#This Row],[P1]:[P15]])</f>
        <v>0</v>
      </c>
      <c r="J10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s="1" customFormat="1">
      <c r="A1056" s="8" t="s">
        <v>1146</v>
      </c>
      <c r="B1056" s="8" t="s">
        <v>1146</v>
      </c>
      <c r="C1056" s="1" t="str">
        <f>RIGHT(ProductInfo[[#This Row],[Drawing No]],1)</f>
        <v>1</v>
      </c>
      <c r="D1056" s="176" t="s">
        <v>3109</v>
      </c>
      <c r="E1056" s="16"/>
      <c r="F10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56" s="31"/>
      <c r="H1056" s="31"/>
      <c r="I1056" s="1">
        <f>COUNTA(ProductInfo[[#This Row],[P1]:[P15]])</f>
        <v>0</v>
      </c>
      <c r="J10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s="1" customFormat="1">
      <c r="A1057" s="8" t="s">
        <v>1147</v>
      </c>
      <c r="B1057" s="8" t="s">
        <v>4489</v>
      </c>
      <c r="C1057" s="2" t="str">
        <f>RIGHT(ProductInfo[[#This Row],[Drawing No]],1)</f>
        <v>1</v>
      </c>
      <c r="D1057" s="179" t="s">
        <v>3110</v>
      </c>
      <c r="E1057" s="18" t="s">
        <v>3607</v>
      </c>
      <c r="F1057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57" s="31"/>
      <c r="H1057" s="59">
        <v>80</v>
      </c>
      <c r="I1057" s="1">
        <f>COUNTA(ProductInfo[[#This Row],[P1]:[P15]])</f>
        <v>2</v>
      </c>
      <c r="J10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7" s="7" t="s">
        <v>12</v>
      </c>
      <c r="M1057" s="7" t="s">
        <v>13</v>
      </c>
      <c r="N1057" s="7"/>
      <c r="O1057" s="7"/>
      <c r="P1057" s="7"/>
      <c r="Q1057" s="7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s="1" customFormat="1">
      <c r="A1058" s="8" t="s">
        <v>5011</v>
      </c>
      <c r="B1058" s="8" t="s">
        <v>5010</v>
      </c>
      <c r="C1058" s="2" t="str">
        <f>RIGHT(ProductInfo[[#This Row],[Drawing No]],1)</f>
        <v>0</v>
      </c>
      <c r="D1058" s="179" t="s">
        <v>3110</v>
      </c>
      <c r="E1058" s="18" t="s">
        <v>3607</v>
      </c>
      <c r="F1058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58" s="31"/>
      <c r="H1058" s="59">
        <v>80</v>
      </c>
      <c r="I1058" s="1">
        <f>COUNTA(ProductInfo[[#This Row],[P1]:[P15]])</f>
        <v>5</v>
      </c>
      <c r="J10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58" s="7" t="s">
        <v>12</v>
      </c>
      <c r="M1058" s="7" t="s">
        <v>13</v>
      </c>
      <c r="N1058" s="7" t="s">
        <v>15</v>
      </c>
      <c r="O1058" s="7" t="s">
        <v>16</v>
      </c>
      <c r="P1058" s="7" t="s">
        <v>14</v>
      </c>
      <c r="Q1058" s="7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s="1" customFormat="1">
      <c r="A1059" s="8" t="s">
        <v>1148</v>
      </c>
      <c r="B1059" s="8" t="s">
        <v>1148</v>
      </c>
      <c r="C1059" s="1" t="str">
        <f>RIGHT(ProductInfo[[#This Row],[Drawing No]],1)</f>
        <v>1</v>
      </c>
      <c r="D1059" s="176" t="s">
        <v>2557</v>
      </c>
      <c r="E1059" s="16"/>
      <c r="F10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59" s="31"/>
      <c r="H1059" s="31"/>
      <c r="I1059" s="1">
        <f>COUNTA(ProductInfo[[#This Row],[P1]:[P15]])</f>
        <v>0</v>
      </c>
      <c r="J10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s="1" customFormat="1">
      <c r="A1060" s="8" t="s">
        <v>1149</v>
      </c>
      <c r="B1060" s="8" t="s">
        <v>1149</v>
      </c>
      <c r="C1060" s="1" t="str">
        <f>RIGHT(ProductInfo[[#This Row],[Drawing No]],1)</f>
        <v>2</v>
      </c>
      <c r="D1060" s="176" t="s">
        <v>2558</v>
      </c>
      <c r="E1060" s="16"/>
      <c r="F10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0" s="31"/>
      <c r="H1060" s="31"/>
      <c r="I1060" s="1">
        <f>COUNTA(ProductInfo[[#This Row],[P1]:[P15]])</f>
        <v>0</v>
      </c>
      <c r="J10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s="1" customFormat="1">
      <c r="A1061" s="8" t="s">
        <v>1150</v>
      </c>
      <c r="B1061" s="8" t="s">
        <v>1150</v>
      </c>
      <c r="C1061" s="1" t="str">
        <f>RIGHT(ProductInfo[[#This Row],[Drawing No]],1)</f>
        <v>3</v>
      </c>
      <c r="D1061" s="176" t="s">
        <v>2559</v>
      </c>
      <c r="E1061" s="16"/>
      <c r="F10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1" s="31"/>
      <c r="H1061" s="31"/>
      <c r="I1061" s="1">
        <f>COUNTA(ProductInfo[[#This Row],[P1]:[P15]])</f>
        <v>0</v>
      </c>
      <c r="J10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s="1" customFormat="1">
      <c r="A1062" s="8" t="s">
        <v>1151</v>
      </c>
      <c r="B1062" s="8" t="s">
        <v>3619</v>
      </c>
      <c r="C1062" s="1" t="str">
        <f>RIGHT(ProductInfo[[#This Row],[Drawing No]],1)</f>
        <v>2</v>
      </c>
      <c r="D1062" s="176" t="s">
        <v>2559</v>
      </c>
      <c r="E1062" s="16" t="s">
        <v>3607</v>
      </c>
      <c r="F1062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062" s="31"/>
      <c r="H1062" s="59">
        <v>80</v>
      </c>
      <c r="I1062" s="1">
        <f>COUNTA(ProductInfo[[#This Row],[P1]:[P15]])</f>
        <v>4</v>
      </c>
      <c r="J10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62" s="7" t="s">
        <v>12</v>
      </c>
      <c r="M1062" s="7" t="s">
        <v>13</v>
      </c>
      <c r="N1062" s="7" t="s">
        <v>14</v>
      </c>
      <c r="O1062" s="7" t="s">
        <v>15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s="1" customFormat="1">
      <c r="A1063" s="8" t="s">
        <v>1152</v>
      </c>
      <c r="B1063" s="8" t="s">
        <v>5980</v>
      </c>
      <c r="C1063" s="1" t="str">
        <f>RIGHT(ProductInfo[[#This Row],[Drawing No]],1)</f>
        <v>1</v>
      </c>
      <c r="D1063" s="176" t="s">
        <v>5978</v>
      </c>
      <c r="E1063" s="16"/>
      <c r="F10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3" s="59">
        <v>73.5</v>
      </c>
      <c r="H1063" s="31"/>
      <c r="I1063" s="1">
        <f>COUNTA(ProductInfo[[#This Row],[P1]:[P15]])</f>
        <v>3</v>
      </c>
      <c r="J10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63" s="7" t="s">
        <v>12</v>
      </c>
      <c r="M1063" s="7" t="s">
        <v>13</v>
      </c>
      <c r="N1063" s="7" t="s">
        <v>19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s="1" customFormat="1">
      <c r="A1064" s="8" t="s">
        <v>1153</v>
      </c>
      <c r="B1064" s="8" t="s">
        <v>1153</v>
      </c>
      <c r="C1064" s="1" t="str">
        <f>RIGHT(ProductInfo[[#This Row],[Drawing No]],1)</f>
        <v>4</v>
      </c>
      <c r="D1064" s="176" t="s">
        <v>2930</v>
      </c>
      <c r="E1064" s="16"/>
      <c r="F10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4" s="31"/>
      <c r="H1064" s="31"/>
      <c r="I1064" s="1">
        <f>COUNTA(ProductInfo[[#This Row],[P1]:[P15]])</f>
        <v>0</v>
      </c>
      <c r="J10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4" s="7"/>
      <c r="M1064" s="7"/>
      <c r="N1064" s="7"/>
      <c r="O1064" s="7"/>
      <c r="P1064" s="7"/>
      <c r="Q1064" s="7"/>
      <c r="R1064" s="7"/>
      <c r="S1064" s="7"/>
      <c r="T1064" s="4"/>
      <c r="U1064" s="4"/>
      <c r="V1064" s="4"/>
      <c r="W1064" s="4"/>
      <c r="X1064" s="4"/>
      <c r="Y1064" s="4"/>
      <c r="Z1064" s="4"/>
    </row>
    <row r="1065" spans="1:26" s="1" customFormat="1">
      <c r="A1065" s="8" t="s">
        <v>1154</v>
      </c>
      <c r="B1065" s="8" t="s">
        <v>1154</v>
      </c>
      <c r="C1065" s="1" t="str">
        <f>RIGHT(ProductInfo[[#This Row],[Drawing No]],1)</f>
        <v>5</v>
      </c>
      <c r="D1065" s="176" t="s">
        <v>2931</v>
      </c>
      <c r="E1065" s="16"/>
      <c r="F10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5" s="31"/>
      <c r="H1065" s="31"/>
      <c r="I1065" s="1">
        <f>COUNTA(ProductInfo[[#This Row],[P1]:[P15]])</f>
        <v>0</v>
      </c>
      <c r="J10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s="1" customFormat="1">
      <c r="A1066" s="8" t="s">
        <v>1155</v>
      </c>
      <c r="B1066" s="8" t="s">
        <v>1155</v>
      </c>
      <c r="C1066" s="1" t="str">
        <f>RIGHT(ProductInfo[[#This Row],[Drawing No]],1)</f>
        <v>6</v>
      </c>
      <c r="D1066" s="176" t="s">
        <v>2932</v>
      </c>
      <c r="E1066" s="16"/>
      <c r="F10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6" s="31"/>
      <c r="H1066" s="31"/>
      <c r="I1066" s="1">
        <f>COUNTA(ProductInfo[[#This Row],[P1]:[P15]])</f>
        <v>0</v>
      </c>
      <c r="J10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s="1" customFormat="1">
      <c r="A1067" s="8" t="s">
        <v>1156</v>
      </c>
      <c r="B1067" s="8" t="s">
        <v>1156</v>
      </c>
      <c r="C1067" s="1" t="str">
        <f>RIGHT(ProductInfo[[#This Row],[Drawing No]],1)</f>
        <v>7</v>
      </c>
      <c r="D1067" s="176" t="s">
        <v>2933</v>
      </c>
      <c r="E1067" s="16"/>
      <c r="F10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67" s="31"/>
      <c r="H1067" s="31"/>
      <c r="I1067" s="1">
        <f>COUNTA(ProductInfo[[#This Row],[P1]:[P15]])</f>
        <v>0</v>
      </c>
      <c r="J10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s="1" customFormat="1">
      <c r="A1068" s="8" t="s">
        <v>5252</v>
      </c>
      <c r="B1068" s="8" t="s">
        <v>5251</v>
      </c>
      <c r="C1068" s="2" t="str">
        <f>RIGHT(ProductInfo[[#This Row],[Drawing No]],1)</f>
        <v>0</v>
      </c>
      <c r="D1068" s="176" t="s">
        <v>2933</v>
      </c>
      <c r="E1068" s="16" t="s">
        <v>5150</v>
      </c>
      <c r="F1068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068" s="59">
        <v>54.5</v>
      </c>
      <c r="H1068" s="59">
        <v>100</v>
      </c>
      <c r="I1068" s="1">
        <f>COUNTA(ProductInfo[[#This Row],[P1]:[P15]])</f>
        <v>5</v>
      </c>
      <c r="J10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0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68" s="7" t="s">
        <v>12</v>
      </c>
      <c r="M1068" s="7" t="s">
        <v>13</v>
      </c>
      <c r="N1068" s="4" t="s">
        <v>14</v>
      </c>
      <c r="O1068" s="4" t="s">
        <v>15</v>
      </c>
      <c r="P1068" s="7" t="s">
        <v>16</v>
      </c>
      <c r="Q1068" s="7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s="1" customFormat="1">
      <c r="A1069" s="8" t="s">
        <v>1157</v>
      </c>
      <c r="B1069" s="8" t="s">
        <v>5429</v>
      </c>
      <c r="C1069" s="1" t="str">
        <f>RIGHT(ProductInfo[[#This Row],[Drawing No]],1)</f>
        <v>1</v>
      </c>
      <c r="D1069" s="176" t="s">
        <v>2560</v>
      </c>
      <c r="E1069" s="16" t="s">
        <v>3423</v>
      </c>
      <c r="F1069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76.2 มม. </v>
      </c>
      <c r="G1069" s="59">
        <v>50</v>
      </c>
      <c r="H1069" s="59">
        <v>50</v>
      </c>
      <c r="I1069" s="1">
        <f>COUNTA(ProductInfo[[#This Row],[P1]:[P15]])</f>
        <v>3</v>
      </c>
      <c r="J10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69" s="7" t="s">
        <v>12</v>
      </c>
      <c r="M1069" s="7" t="s">
        <v>13</v>
      </c>
      <c r="N1069" s="7" t="s">
        <v>19</v>
      </c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s="1" customFormat="1">
      <c r="A1070" s="8" t="s">
        <v>1158</v>
      </c>
      <c r="B1070" s="8" t="s">
        <v>1158</v>
      </c>
      <c r="C1070" s="1" t="str">
        <f>RIGHT(ProductInfo[[#This Row],[Drawing No]],1)</f>
        <v>1</v>
      </c>
      <c r="D1070" s="179" t="s">
        <v>2835</v>
      </c>
      <c r="E1070" s="18"/>
      <c r="F107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0" s="32"/>
      <c r="H1070" s="32"/>
      <c r="I1070" s="1">
        <f>COUNTA(ProductInfo[[#This Row],[P1]:[P15]])</f>
        <v>0</v>
      </c>
      <c r="J10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s="1" customFormat="1" ht="18.75" customHeight="1">
      <c r="A1071" s="8" t="s">
        <v>5332</v>
      </c>
      <c r="B1071" s="8" t="s">
        <v>5330</v>
      </c>
      <c r="C1071" s="2" t="str">
        <f>RIGHT(ProductInfo[[#This Row],[Drawing No]],1)</f>
        <v>0</v>
      </c>
      <c r="D1071" s="176" t="s">
        <v>5331</v>
      </c>
      <c r="E1071" s="16" t="s">
        <v>3427</v>
      </c>
      <c r="F1071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1071" s="59">
        <v>50</v>
      </c>
      <c r="H1071" s="59">
        <v>60</v>
      </c>
      <c r="I1071" s="1">
        <f>COUNTA(ProductInfo[[#This Row],[P1]:[P15]])</f>
        <v>3</v>
      </c>
      <c r="J10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71" s="7" t="s">
        <v>12</v>
      </c>
      <c r="M1071" s="7" t="s">
        <v>13</v>
      </c>
      <c r="N1071" s="7" t="s">
        <v>19</v>
      </c>
      <c r="O1071" s="4"/>
      <c r="P1071" s="7"/>
      <c r="Q1071" s="7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s="1" customFormat="1">
      <c r="A1072" s="8" t="s">
        <v>1159</v>
      </c>
      <c r="B1072" s="8" t="s">
        <v>1159</v>
      </c>
      <c r="C1072" s="1" t="str">
        <f>RIGHT(ProductInfo[[#This Row],[Drawing No]],1)</f>
        <v>0</v>
      </c>
      <c r="D1072" s="176" t="s">
        <v>2836</v>
      </c>
      <c r="E1072" s="16"/>
      <c r="F10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2" s="31"/>
      <c r="H1072" s="31"/>
      <c r="I1072" s="1">
        <f>COUNTA(ProductInfo[[#This Row],[P1]:[P15]])</f>
        <v>0</v>
      </c>
      <c r="J10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s="1" customFormat="1">
      <c r="A1073" s="8" t="s">
        <v>1160</v>
      </c>
      <c r="B1073" s="8" t="s">
        <v>1160</v>
      </c>
      <c r="C1073" s="1" t="str">
        <f>RIGHT(ProductInfo[[#This Row],[Drawing No]],1)</f>
        <v>2</v>
      </c>
      <c r="D1073" s="176" t="s">
        <v>2836</v>
      </c>
      <c r="E1073" s="16"/>
      <c r="F10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3" s="31"/>
      <c r="H1073" s="31"/>
      <c r="I1073" s="1">
        <f>COUNTA(ProductInfo[[#This Row],[P1]:[P15]])</f>
        <v>0</v>
      </c>
      <c r="J10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s="1" customFormat="1">
      <c r="A1074" s="8" t="s">
        <v>1161</v>
      </c>
      <c r="B1074" s="8" t="s">
        <v>3630</v>
      </c>
      <c r="C1074" s="1" t="str">
        <f>RIGHT(ProductInfo[[#This Row],[Drawing No]],1)</f>
        <v>0</v>
      </c>
      <c r="D1074" s="179" t="s">
        <v>2837</v>
      </c>
      <c r="E1074" s="18" t="s">
        <v>3427</v>
      </c>
      <c r="F1074" s="26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1074" s="3">
        <v>50</v>
      </c>
      <c r="H1074" s="3">
        <v>50</v>
      </c>
      <c r="I1074" s="1">
        <f>COUNTA(ProductInfo[[#This Row],[P1]:[P15]])</f>
        <v>2</v>
      </c>
      <c r="J10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4" s="7" t="s">
        <v>12</v>
      </c>
      <c r="M1074" s="7" t="s">
        <v>13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s="1" customFormat="1">
      <c r="A1075" s="8" t="s">
        <v>1162</v>
      </c>
      <c r="B1075" s="8" t="s">
        <v>1162</v>
      </c>
      <c r="C1075" s="1" t="str">
        <f>RIGHT(ProductInfo[[#This Row],[Drawing No]],1)</f>
        <v>0</v>
      </c>
      <c r="D1075" s="176" t="s">
        <v>2561</v>
      </c>
      <c r="E1075" s="16"/>
      <c r="F10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5" s="31"/>
      <c r="H1075" s="31"/>
      <c r="I1075" s="1">
        <f>COUNTA(ProductInfo[[#This Row],[P1]:[P15]])</f>
        <v>0</v>
      </c>
      <c r="J10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s="1" customFormat="1">
      <c r="A1076" s="8" t="s">
        <v>1163</v>
      </c>
      <c r="B1076" s="8" t="s">
        <v>1163</v>
      </c>
      <c r="C1076" s="1" t="str">
        <f>RIGHT(ProductInfo[[#This Row],[Drawing No]],1)</f>
        <v>1</v>
      </c>
      <c r="D1076" s="176" t="s">
        <v>2562</v>
      </c>
      <c r="E1076" s="16"/>
      <c r="F10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6" s="31"/>
      <c r="H1076" s="31"/>
      <c r="I1076" s="1">
        <f>COUNTA(ProductInfo[[#This Row],[P1]:[P15]])</f>
        <v>0</v>
      </c>
      <c r="J10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s="1" customFormat="1">
      <c r="A1077" s="8" t="s">
        <v>1164</v>
      </c>
      <c r="B1077" s="8" t="s">
        <v>1164</v>
      </c>
      <c r="C1077" s="1" t="str">
        <f>RIGHT(ProductInfo[[#This Row],[Drawing No]],1)</f>
        <v>2</v>
      </c>
      <c r="D1077" s="176" t="s">
        <v>2562</v>
      </c>
      <c r="E1077" s="16"/>
      <c r="F10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7" s="31"/>
      <c r="H1077" s="31"/>
      <c r="I1077" s="1">
        <f>COUNTA(ProductInfo[[#This Row],[P1]:[P15]])</f>
        <v>0</v>
      </c>
      <c r="J10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s="1" customFormat="1">
      <c r="A1078" s="8" t="s">
        <v>1165</v>
      </c>
      <c r="B1078" s="8" t="s">
        <v>1165</v>
      </c>
      <c r="C1078" s="1" t="str">
        <f>RIGHT(ProductInfo[[#This Row],[Drawing No]],1)</f>
        <v>0</v>
      </c>
      <c r="D1078" s="176" t="s">
        <v>3039</v>
      </c>
      <c r="E1078" s="16"/>
      <c r="F10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8" s="31"/>
      <c r="H1078" s="31"/>
      <c r="I1078" s="1">
        <f>COUNTA(ProductInfo[[#This Row],[P1]:[P15]])</f>
        <v>0</v>
      </c>
      <c r="J10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s="1" customFormat="1">
      <c r="A1079" s="8" t="s">
        <v>1166</v>
      </c>
      <c r="B1079" s="8" t="s">
        <v>1166</v>
      </c>
      <c r="C1079" s="1" t="str">
        <f>RIGHT(ProductInfo[[#This Row],[Drawing No]],1)</f>
        <v>1</v>
      </c>
      <c r="D1079" s="176" t="s">
        <v>3039</v>
      </c>
      <c r="E1079" s="16"/>
      <c r="F10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79" s="31"/>
      <c r="H1079" s="31"/>
      <c r="I1079" s="1">
        <f>COUNTA(ProductInfo[[#This Row],[P1]:[P15]])</f>
        <v>0</v>
      </c>
      <c r="J10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s="1" customFormat="1">
      <c r="A1080" s="8" t="s">
        <v>1167</v>
      </c>
      <c r="B1080" s="8" t="s">
        <v>5456</v>
      </c>
      <c r="C1080" s="1" t="str">
        <f>RIGHT(ProductInfo[[#This Row],[Drawing No]],1)</f>
        <v>0</v>
      </c>
      <c r="D1080" s="176" t="s">
        <v>2563</v>
      </c>
      <c r="E1080" s="16" t="s">
        <v>3406</v>
      </c>
      <c r="F1080" s="23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1080" s="59">
        <v>36</v>
      </c>
      <c r="H1080" s="59">
        <v>60</v>
      </c>
      <c r="I1080" s="1">
        <f>COUNTA(ProductInfo[[#This Row],[P1]:[P15]])</f>
        <v>2</v>
      </c>
      <c r="J10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0" s="7" t="s">
        <v>12</v>
      </c>
      <c r="M1080" s="7" t="s">
        <v>13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s="1" customFormat="1">
      <c r="A1081" s="8" t="s">
        <v>1168</v>
      </c>
      <c r="B1081" s="8" t="s">
        <v>1168</v>
      </c>
      <c r="C1081" s="1" t="str">
        <f>RIGHT(ProductInfo[[#This Row],[Drawing No]],1)</f>
        <v>1</v>
      </c>
      <c r="D1081" s="176" t="s">
        <v>2564</v>
      </c>
      <c r="E1081" s="16" t="s">
        <v>3427</v>
      </c>
      <c r="F1081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1081" s="59">
        <v>35</v>
      </c>
      <c r="H1081" s="59"/>
      <c r="I1081" s="1">
        <f>COUNTA(ProductInfo[[#This Row],[P1]:[P15]])</f>
        <v>4</v>
      </c>
      <c r="J10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81" s="7" t="s">
        <v>12</v>
      </c>
      <c r="M1081" s="7" t="s">
        <v>13</v>
      </c>
      <c r="N1081" s="7" t="s">
        <v>15</v>
      </c>
      <c r="O1081" s="7" t="s">
        <v>16</v>
      </c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s="1" customFormat="1">
      <c r="A1082" s="8" t="s">
        <v>1169</v>
      </c>
      <c r="B1082" s="8" t="s">
        <v>1169</v>
      </c>
      <c r="C1082" s="1" t="str">
        <f>RIGHT(ProductInfo[[#This Row],[Drawing No]],1)</f>
        <v>0</v>
      </c>
      <c r="D1082" s="176" t="s">
        <v>2565</v>
      </c>
      <c r="E1082" s="16"/>
      <c r="F10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2" s="31"/>
      <c r="H1082" s="31"/>
      <c r="I1082" s="1">
        <f>COUNTA(ProductInfo[[#This Row],[P1]:[P15]])</f>
        <v>0</v>
      </c>
      <c r="J10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s="1" customFormat="1">
      <c r="A1083" s="8" t="s">
        <v>4771</v>
      </c>
      <c r="B1083" s="8" t="s">
        <v>4770</v>
      </c>
      <c r="C1083" s="2" t="str">
        <f>RIGHT(ProductInfo[[#This Row],[Drawing No]],1)</f>
        <v>0</v>
      </c>
      <c r="D1083" s="176" t="s">
        <v>4772</v>
      </c>
      <c r="E1083" s="16" t="s">
        <v>5665</v>
      </c>
      <c r="F1083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083" s="59">
        <v>1</v>
      </c>
      <c r="H1083" s="59">
        <v>40</v>
      </c>
      <c r="I1083" s="1">
        <f>COUNTA(ProductInfo[[#This Row],[P1]:[P15]])</f>
        <v>5</v>
      </c>
      <c r="J10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083" s="4" t="s">
        <v>12</v>
      </c>
      <c r="M1083" s="7" t="s">
        <v>13</v>
      </c>
      <c r="N1083" s="4" t="s">
        <v>15</v>
      </c>
      <c r="O1083" s="4" t="s">
        <v>16</v>
      </c>
      <c r="P1083" s="7" t="s">
        <v>19</v>
      </c>
      <c r="Q1083" s="7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s="1" customFormat="1">
      <c r="A1084" s="8" t="s">
        <v>5147</v>
      </c>
      <c r="B1084" s="8" t="s">
        <v>5152</v>
      </c>
      <c r="C1084" s="2" t="str">
        <f>RIGHT(ProductInfo[[#This Row],[Drawing No]],1)</f>
        <v>1</v>
      </c>
      <c r="D1084" s="176" t="s">
        <v>5148</v>
      </c>
      <c r="E1084" s="16" t="s">
        <v>5665</v>
      </c>
      <c r="F1084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084" s="59">
        <v>1</v>
      </c>
      <c r="H1084" s="59">
        <v>40</v>
      </c>
      <c r="I1084" s="1">
        <f>COUNTA(ProductInfo[[#This Row],[P1]:[P15]])</f>
        <v>5</v>
      </c>
      <c r="J10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084" s="4" t="s">
        <v>12</v>
      </c>
      <c r="M1084" s="4" t="s">
        <v>13</v>
      </c>
      <c r="N1084" s="4" t="s">
        <v>15</v>
      </c>
      <c r="O1084" s="4" t="s">
        <v>16</v>
      </c>
      <c r="P1084" s="7" t="s">
        <v>19</v>
      </c>
      <c r="Q1084" s="7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s="1" customFormat="1">
      <c r="A1085" s="8" t="s">
        <v>5566</v>
      </c>
      <c r="B1085" s="8" t="s">
        <v>5565</v>
      </c>
      <c r="C1085" s="2" t="str">
        <f>RIGHT(ProductInfo[[#This Row],[Drawing No]],1)</f>
        <v>0</v>
      </c>
      <c r="D1085" s="176" t="s">
        <v>5567</v>
      </c>
      <c r="E1085" s="16" t="s">
        <v>5665</v>
      </c>
      <c r="F1085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085" s="59">
        <v>1</v>
      </c>
      <c r="H1085" s="59">
        <v>40</v>
      </c>
      <c r="I1085" s="1">
        <f>COUNTA(ProductInfo[[#This Row],[P1]:[P15]])</f>
        <v>3</v>
      </c>
      <c r="J10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085" s="7" t="s">
        <v>12</v>
      </c>
      <c r="M1085" s="7" t="s">
        <v>13</v>
      </c>
      <c r="N1085" s="4" t="s">
        <v>19</v>
      </c>
      <c r="O1085" s="4"/>
      <c r="P1085" s="7"/>
      <c r="Q1085" s="7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s="1" customFormat="1" ht="20.25" customHeight="1">
      <c r="A1086" s="8" t="s">
        <v>1170</v>
      </c>
      <c r="B1086" s="8" t="s">
        <v>1170</v>
      </c>
      <c r="C1086" s="1" t="str">
        <f>RIGHT(ProductInfo[[#This Row],[Drawing No]],1)</f>
        <v>0</v>
      </c>
      <c r="D1086" s="176" t="s">
        <v>1171</v>
      </c>
      <c r="E1086" s="16"/>
      <c r="F10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6" s="31"/>
      <c r="H1086" s="31"/>
      <c r="I1086" s="1">
        <f>COUNTA(ProductInfo[[#This Row],[P1]:[P15]])</f>
        <v>0</v>
      </c>
      <c r="J10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s="1" customFormat="1">
      <c r="A1087" s="8" t="s">
        <v>1172</v>
      </c>
      <c r="B1087" s="8" t="s">
        <v>1172</v>
      </c>
      <c r="C1087" s="1" t="str">
        <f>RIGHT(ProductInfo[[#This Row],[Drawing No]],1)</f>
        <v>1</v>
      </c>
      <c r="D1087" s="176" t="s">
        <v>2566</v>
      </c>
      <c r="E1087" s="16"/>
      <c r="F10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7" s="31"/>
      <c r="H1087" s="31"/>
      <c r="I1087" s="1">
        <f>COUNTA(ProductInfo[[#This Row],[P1]:[P15]])</f>
        <v>0</v>
      </c>
      <c r="J10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s="1" customFormat="1">
      <c r="A1088" s="8" t="s">
        <v>1173</v>
      </c>
      <c r="B1088" s="8" t="s">
        <v>1173</v>
      </c>
      <c r="C1088" s="1" t="str">
        <f>RIGHT(ProductInfo[[#This Row],[Drawing No]],1)</f>
        <v>2</v>
      </c>
      <c r="D1088" s="176" t="s">
        <v>2567</v>
      </c>
      <c r="E1088" s="16"/>
      <c r="F10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8" s="31"/>
      <c r="H1088" s="31"/>
      <c r="I1088" s="1">
        <f>COUNTA(ProductInfo[[#This Row],[P1]:[P15]])</f>
        <v>0</v>
      </c>
      <c r="J10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s="1" customFormat="1">
      <c r="A1089" s="8" t="s">
        <v>1174</v>
      </c>
      <c r="B1089" s="8" t="s">
        <v>1174</v>
      </c>
      <c r="C1089" s="1" t="str">
        <f>RIGHT(ProductInfo[[#This Row],[Drawing No]],1)</f>
        <v>0</v>
      </c>
      <c r="D1089" s="176" t="s">
        <v>2568</v>
      </c>
      <c r="E1089" s="16"/>
      <c r="F10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89" s="31"/>
      <c r="H1089" s="31"/>
      <c r="I1089" s="1">
        <f>COUNTA(ProductInfo[[#This Row],[P1]:[P15]])</f>
        <v>5</v>
      </c>
      <c r="J10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089" s="7" t="s">
        <v>15</v>
      </c>
      <c r="M1089" s="7" t="s">
        <v>12</v>
      </c>
      <c r="N1089" s="7" t="s">
        <v>14</v>
      </c>
      <c r="O1089" s="7" t="s">
        <v>19</v>
      </c>
      <c r="P1089" s="7"/>
      <c r="Q1089" s="7"/>
      <c r="R1089" s="7" t="s">
        <v>25</v>
      </c>
      <c r="S1089" s="7"/>
      <c r="T1089" s="7"/>
      <c r="U1089" s="7"/>
      <c r="V1089" s="7"/>
      <c r="W1089" s="7"/>
      <c r="X1089" s="7"/>
      <c r="Y1089" s="7"/>
      <c r="Z1089" s="7"/>
    </row>
    <row r="1090" spans="1:26" s="1" customFormat="1">
      <c r="A1090" s="8" t="s">
        <v>1175</v>
      </c>
      <c r="B1090" s="8" t="s">
        <v>1175</v>
      </c>
      <c r="C1090" s="1" t="str">
        <f>RIGHT(ProductInfo[[#This Row],[Drawing No]],1)</f>
        <v>3</v>
      </c>
      <c r="D1090" s="176" t="s">
        <v>2569</v>
      </c>
      <c r="E1090" s="16"/>
      <c r="F10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0" s="31"/>
      <c r="H1090" s="3"/>
      <c r="I1090" s="1">
        <f>COUNTA(ProductInfo[[#This Row],[P1]:[P15]])</f>
        <v>5</v>
      </c>
      <c r="J10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090" s="7" t="s">
        <v>12</v>
      </c>
      <c r="M1090" s="7" t="s">
        <v>13</v>
      </c>
      <c r="N1090" s="7" t="s">
        <v>16</v>
      </c>
      <c r="O1090" s="7" t="s">
        <v>19</v>
      </c>
      <c r="P1090" s="7"/>
      <c r="Q1090" s="7"/>
      <c r="R1090" s="7" t="s">
        <v>25</v>
      </c>
      <c r="S1090" s="7"/>
      <c r="T1090" s="7"/>
      <c r="U1090" s="7"/>
      <c r="V1090" s="7"/>
      <c r="W1090" s="7"/>
      <c r="X1090" s="7"/>
      <c r="Y1090" s="7"/>
      <c r="Z1090" s="7"/>
    </row>
    <row r="1091" spans="1:26" s="1" customFormat="1">
      <c r="A1091" s="8" t="s">
        <v>5015</v>
      </c>
      <c r="B1091" s="8" t="s">
        <v>5014</v>
      </c>
      <c r="C1091" s="2" t="str">
        <f>RIGHT(ProductInfo[[#This Row],[Drawing No]],1)</f>
        <v>0</v>
      </c>
      <c r="D1091" s="176" t="s">
        <v>5016</v>
      </c>
      <c r="E1091" s="16" t="s">
        <v>4524</v>
      </c>
      <c r="F1091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091" s="59">
        <v>71</v>
      </c>
      <c r="H1091" s="59">
        <v>40</v>
      </c>
      <c r="I1091" s="1">
        <f>COUNTA(ProductInfo[[#This Row],[P1]:[P15]])</f>
        <v>4</v>
      </c>
      <c r="J10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0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091" s="7" t="s">
        <v>15</v>
      </c>
      <c r="M1091" s="7" t="s">
        <v>12</v>
      </c>
      <c r="N1091" s="4"/>
      <c r="O1091" s="7" t="s">
        <v>14</v>
      </c>
      <c r="P1091" s="7"/>
      <c r="Q1091" s="7"/>
      <c r="R1091" s="4" t="s">
        <v>25</v>
      </c>
      <c r="S1091" s="4"/>
      <c r="T1091" s="4"/>
      <c r="U1091" s="4"/>
      <c r="V1091" s="4"/>
      <c r="W1091" s="4"/>
      <c r="X1091" s="4"/>
      <c r="Y1091" s="4"/>
      <c r="Z1091" s="4"/>
    </row>
    <row r="1092" spans="1:26" s="1" customFormat="1">
      <c r="A1092" s="8" t="s">
        <v>1176</v>
      </c>
      <c r="B1092" s="8" t="s">
        <v>1176</v>
      </c>
      <c r="C1092" s="1" t="str">
        <f>RIGHT(ProductInfo[[#This Row],[Drawing No]],1)</f>
        <v>0</v>
      </c>
      <c r="D1092" s="176" t="s">
        <v>3040</v>
      </c>
      <c r="E1092" s="16"/>
      <c r="F10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2" s="31"/>
      <c r="H1092" s="31"/>
      <c r="I1092" s="1">
        <f>COUNTA(ProductInfo[[#This Row],[P1]:[P15]])</f>
        <v>0</v>
      </c>
      <c r="J10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s="1" customFormat="1">
      <c r="A1093" s="8" t="s">
        <v>1177</v>
      </c>
      <c r="B1093" s="8" t="s">
        <v>1177</v>
      </c>
      <c r="C1093" s="1" t="str">
        <f>RIGHT(ProductInfo[[#This Row],[Drawing No]],1)</f>
        <v>0</v>
      </c>
      <c r="D1093" s="179" t="s">
        <v>1178</v>
      </c>
      <c r="E1093" s="18"/>
      <c r="F109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3" s="32"/>
      <c r="H1093" s="3"/>
      <c r="I1093" s="1">
        <f>COUNTA(ProductInfo[[#This Row],[P1]:[P15]])</f>
        <v>0</v>
      </c>
      <c r="J10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s="1" customFormat="1">
      <c r="A1094" s="8" t="s">
        <v>5020</v>
      </c>
      <c r="B1094" s="8" t="s">
        <v>5021</v>
      </c>
      <c r="C1094" s="2" t="str">
        <f>RIGHT(ProductInfo[[#This Row],[Drawing No]],1)</f>
        <v>0</v>
      </c>
      <c r="D1094" s="179" t="s">
        <v>1178</v>
      </c>
      <c r="E1094" s="16"/>
      <c r="F10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4" s="31"/>
      <c r="H1094" s="31"/>
      <c r="I1094" s="1">
        <f>COUNTA(ProductInfo[[#This Row],[P1]:[P15]])</f>
        <v>0</v>
      </c>
      <c r="J10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4" s="7"/>
      <c r="M1094" s="7"/>
      <c r="N1094" s="4"/>
      <c r="O1094" s="7"/>
      <c r="P1094" s="7"/>
      <c r="Q1094" s="7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s="1" customFormat="1">
      <c r="A1095" s="8" t="s">
        <v>1179</v>
      </c>
      <c r="B1095" s="8" t="s">
        <v>1179</v>
      </c>
      <c r="C1095" s="1" t="str">
        <f>RIGHT(ProductInfo[[#This Row],[Drawing No]],1)</f>
        <v>1</v>
      </c>
      <c r="D1095" s="176" t="s">
        <v>2570</v>
      </c>
      <c r="E1095" s="16"/>
      <c r="F10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5" s="31"/>
      <c r="H1095" s="31"/>
      <c r="I1095" s="1">
        <f>COUNTA(ProductInfo[[#This Row],[P1]:[P15]])</f>
        <v>0</v>
      </c>
      <c r="J10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s="1" customFormat="1">
      <c r="A1096" s="8" t="s">
        <v>1180</v>
      </c>
      <c r="B1096" s="8" t="s">
        <v>1180</v>
      </c>
      <c r="C1096" s="1" t="str">
        <f>RIGHT(ProductInfo[[#This Row],[Drawing No]],1)</f>
        <v>2</v>
      </c>
      <c r="D1096" s="176" t="s">
        <v>2570</v>
      </c>
      <c r="E1096" s="16"/>
      <c r="F10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6" s="31"/>
      <c r="H1096" s="31"/>
      <c r="I1096" s="1">
        <f>COUNTA(ProductInfo[[#This Row],[P1]:[P15]])</f>
        <v>0</v>
      </c>
      <c r="J10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s="1" customFormat="1">
      <c r="A1097" s="8" t="s">
        <v>1181</v>
      </c>
      <c r="B1097" s="8" t="s">
        <v>1181</v>
      </c>
      <c r="C1097" s="1" t="str">
        <f>RIGHT(ProductInfo[[#This Row],[Drawing No]],1)</f>
        <v>3</v>
      </c>
      <c r="D1097" s="179" t="s">
        <v>3041</v>
      </c>
      <c r="E1097" s="18"/>
      <c r="F109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7" s="32"/>
      <c r="H1097" s="3"/>
      <c r="I1097" s="1">
        <f>COUNTA(ProductInfo[[#This Row],[P1]:[P15]])</f>
        <v>0</v>
      </c>
      <c r="J10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s="1" customFormat="1">
      <c r="A1098" s="8" t="s">
        <v>1182</v>
      </c>
      <c r="B1098" s="8" t="s">
        <v>1182</v>
      </c>
      <c r="C1098" s="1" t="str">
        <f>RIGHT(ProductInfo[[#This Row],[Drawing No]],1)</f>
        <v>5</v>
      </c>
      <c r="D1098" s="176" t="s">
        <v>2570</v>
      </c>
      <c r="E1098" s="16"/>
      <c r="F10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8" s="31"/>
      <c r="H1098" s="31"/>
      <c r="I1098" s="1">
        <f>COUNTA(ProductInfo[[#This Row],[P1]:[P15]])</f>
        <v>0</v>
      </c>
      <c r="J10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s="1" customFormat="1">
      <c r="A1099" s="8" t="s">
        <v>1183</v>
      </c>
      <c r="B1099" s="8" t="s">
        <v>1183</v>
      </c>
      <c r="C1099" s="1" t="str">
        <f>RIGHT(ProductInfo[[#This Row],[Drawing No]],1)</f>
        <v>0</v>
      </c>
      <c r="D1099" s="176" t="s">
        <v>2934</v>
      </c>
      <c r="E1099" s="16"/>
      <c r="F10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099" s="31"/>
      <c r="H1099" s="31"/>
      <c r="I1099" s="1">
        <f>COUNTA(ProductInfo[[#This Row],[P1]:[P15]])</f>
        <v>0</v>
      </c>
      <c r="J10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0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s="1" customFormat="1">
      <c r="A1100" s="8" t="s">
        <v>1184</v>
      </c>
      <c r="B1100" s="8" t="s">
        <v>1184</v>
      </c>
      <c r="C1100" s="1" t="str">
        <f>RIGHT(ProductInfo[[#This Row],[Drawing No]],1)</f>
        <v>1</v>
      </c>
      <c r="D1100" s="176" t="s">
        <v>2935</v>
      </c>
      <c r="E1100" s="16"/>
      <c r="F11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0" s="31"/>
      <c r="H1100" s="31"/>
      <c r="I1100" s="1">
        <f>COUNTA(ProductInfo[[#This Row],[P1]:[P15]])</f>
        <v>0</v>
      </c>
      <c r="J11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s="1" customFormat="1">
      <c r="A1101" s="8" t="s">
        <v>1185</v>
      </c>
      <c r="B1101" s="8" t="s">
        <v>1185</v>
      </c>
      <c r="C1101" s="1" t="str">
        <f>RIGHT(ProductInfo[[#This Row],[Drawing No]],1)</f>
        <v>2</v>
      </c>
      <c r="D1101" s="176" t="s">
        <v>2936</v>
      </c>
      <c r="E1101" s="16"/>
      <c r="F11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1" s="31"/>
      <c r="H1101" s="31"/>
      <c r="I1101" s="1">
        <f>COUNTA(ProductInfo[[#This Row],[P1]:[P15]])</f>
        <v>0</v>
      </c>
      <c r="J11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s="1" customFormat="1">
      <c r="A1102" s="8" t="s">
        <v>1186</v>
      </c>
      <c r="B1102" s="8" t="s">
        <v>1186</v>
      </c>
      <c r="C1102" s="1" t="str">
        <f>RIGHT(ProductInfo[[#This Row],[Drawing No]],1)</f>
        <v>3</v>
      </c>
      <c r="D1102" s="176" t="s">
        <v>2936</v>
      </c>
      <c r="E1102" s="16"/>
      <c r="F11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2" s="31"/>
      <c r="H1102" s="31"/>
      <c r="I1102" s="1">
        <f>COUNTA(ProductInfo[[#This Row],[P1]:[P15]])</f>
        <v>0</v>
      </c>
      <c r="J11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s="1" customFormat="1">
      <c r="A1103" s="8" t="s">
        <v>1187</v>
      </c>
      <c r="B1103" s="8" t="s">
        <v>1187</v>
      </c>
      <c r="C1103" s="1" t="str">
        <f>RIGHT(ProductInfo[[#This Row],[Drawing No]],1)</f>
        <v>4</v>
      </c>
      <c r="D1103" s="176" t="s">
        <v>2571</v>
      </c>
      <c r="E1103" s="16"/>
      <c r="F11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3" s="31"/>
      <c r="H1103" s="31"/>
      <c r="I1103" s="1">
        <f>COUNTA(ProductInfo[[#This Row],[P1]:[P15]])</f>
        <v>0</v>
      </c>
      <c r="J11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s="1" customFormat="1">
      <c r="A1104" s="8" t="s">
        <v>1188</v>
      </c>
      <c r="B1104" s="8" t="s">
        <v>1188</v>
      </c>
      <c r="C1104" s="1" t="str">
        <f>RIGHT(ProductInfo[[#This Row],[Drawing No]],1)</f>
        <v>1</v>
      </c>
      <c r="D1104" s="176" t="s">
        <v>2572</v>
      </c>
      <c r="E1104" s="16"/>
      <c r="F11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4" s="31"/>
      <c r="H1104" s="31"/>
      <c r="I1104" s="1">
        <f>COUNTA(ProductInfo[[#This Row],[P1]:[P15]])</f>
        <v>0</v>
      </c>
      <c r="J11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s="1" customFormat="1">
      <c r="A1105" s="8" t="s">
        <v>1189</v>
      </c>
      <c r="B1105" s="8" t="s">
        <v>4743</v>
      </c>
      <c r="C1105" s="1" t="str">
        <f>RIGHT(ProductInfo[[#This Row],[Drawing No]],1)</f>
        <v>1</v>
      </c>
      <c r="D1105" s="176" t="s">
        <v>2573</v>
      </c>
      <c r="E1105" s="16" t="s">
        <v>4522</v>
      </c>
      <c r="F1105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05" s="59">
        <v>133</v>
      </c>
      <c r="H1105" s="59">
        <v>30</v>
      </c>
      <c r="I1105" s="1">
        <f>COUNTA(ProductInfo[[#This Row],[P1]:[P15]])</f>
        <v>4</v>
      </c>
      <c r="J11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105" s="7" t="s">
        <v>15</v>
      </c>
      <c r="M1105" s="7" t="s">
        <v>12</v>
      </c>
      <c r="N1105" s="7" t="s">
        <v>14</v>
      </c>
      <c r="O1105" s="7" t="s">
        <v>19</v>
      </c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s="1" customFormat="1">
      <c r="A1106" s="8" t="s">
        <v>1190</v>
      </c>
      <c r="B1106" s="8" t="s">
        <v>4925</v>
      </c>
      <c r="C1106" s="1" t="str">
        <f>RIGHT(ProductInfo[[#This Row],[Drawing No]],1)</f>
        <v>0</v>
      </c>
      <c r="D1106" s="176" t="s">
        <v>2574</v>
      </c>
      <c r="E1106" s="16" t="s">
        <v>4522</v>
      </c>
      <c r="F1106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06" s="59">
        <v>133</v>
      </c>
      <c r="H1106" s="59">
        <v>20</v>
      </c>
      <c r="I1106" s="1">
        <f>COUNTA(ProductInfo[[#This Row],[P1]:[P15]])</f>
        <v>4</v>
      </c>
      <c r="J11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106" s="7" t="s">
        <v>15</v>
      </c>
      <c r="M1106" s="7" t="s">
        <v>12</v>
      </c>
      <c r="N1106" s="7" t="s">
        <v>13</v>
      </c>
      <c r="O1106" s="7" t="s">
        <v>16</v>
      </c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s="1" customFormat="1" ht="15" customHeight="1">
      <c r="A1107" s="8" t="s">
        <v>1191</v>
      </c>
      <c r="B1107" s="8" t="s">
        <v>1191</v>
      </c>
      <c r="C1107" s="1" t="str">
        <f>RIGHT(ProductInfo[[#This Row],[Drawing No]],1)</f>
        <v>1</v>
      </c>
      <c r="D1107" s="176" t="s">
        <v>2575</v>
      </c>
      <c r="E1107" s="16"/>
      <c r="F11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7" s="31"/>
      <c r="H1107" s="31"/>
      <c r="I1107" s="1">
        <f>COUNTA(ProductInfo[[#This Row],[P1]:[P15]])</f>
        <v>0</v>
      </c>
      <c r="J11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s="1" customFormat="1">
      <c r="A1108" s="8" t="s">
        <v>1192</v>
      </c>
      <c r="B1108" s="8" t="s">
        <v>1192</v>
      </c>
      <c r="C1108" s="1" t="str">
        <f>RIGHT(ProductInfo[[#This Row],[Drawing No]],1)</f>
        <v>2</v>
      </c>
      <c r="D1108" s="176" t="s">
        <v>2576</v>
      </c>
      <c r="E1108" s="16"/>
      <c r="F11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8" s="31"/>
      <c r="H1108" s="31"/>
      <c r="I1108" s="1">
        <f>COUNTA(ProductInfo[[#This Row],[P1]:[P15]])</f>
        <v>0</v>
      </c>
      <c r="J11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s="1" customFormat="1">
      <c r="A1109" s="8" t="s">
        <v>1193</v>
      </c>
      <c r="B1109" s="8" t="s">
        <v>1193</v>
      </c>
      <c r="C1109" s="1" t="str">
        <f>RIGHT(ProductInfo[[#This Row],[Drawing No]],1)</f>
        <v>3</v>
      </c>
      <c r="D1109" s="176" t="s">
        <v>2576</v>
      </c>
      <c r="E1109" s="16"/>
      <c r="F11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09" s="31"/>
      <c r="H1109" s="31"/>
      <c r="I1109" s="1">
        <f>COUNTA(ProductInfo[[#This Row],[P1]:[P15]])</f>
        <v>0</v>
      </c>
      <c r="J11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s="1" customFormat="1">
      <c r="A1110" s="8" t="s">
        <v>1194</v>
      </c>
      <c r="B1110" s="8" t="s">
        <v>1194</v>
      </c>
      <c r="C1110" s="1" t="str">
        <f>RIGHT(ProductInfo[[#This Row],[Drawing No]],1)</f>
        <v>1</v>
      </c>
      <c r="D1110" s="176" t="s">
        <v>3176</v>
      </c>
      <c r="E1110" s="16"/>
      <c r="F11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0" s="31"/>
      <c r="H1110" s="31"/>
      <c r="I1110" s="1">
        <f>COUNTA(ProductInfo[[#This Row],[P1]:[P15]])</f>
        <v>0</v>
      </c>
      <c r="J11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s="1" customFormat="1">
      <c r="A1111" s="8" t="s">
        <v>1195</v>
      </c>
      <c r="B1111" s="8" t="s">
        <v>3720</v>
      </c>
      <c r="C1111" s="1" t="str">
        <f>RIGHT(ProductInfo[[#This Row],[Drawing No]],1)</f>
        <v>2</v>
      </c>
      <c r="D1111" s="176" t="s">
        <v>3176</v>
      </c>
      <c r="E1111" s="16" t="s">
        <v>4524</v>
      </c>
      <c r="F1111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111" s="59">
        <v>65.5</v>
      </c>
      <c r="H1111" s="59">
        <v>25</v>
      </c>
      <c r="I1111" s="1">
        <f>COUNTA(ProductInfo[[#This Row],[P1]:[P15]])</f>
        <v>5</v>
      </c>
      <c r="J11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111" s="7" t="s">
        <v>15</v>
      </c>
      <c r="M1111" s="7" t="s">
        <v>12</v>
      </c>
      <c r="N1111" s="7" t="s">
        <v>13</v>
      </c>
      <c r="O1111" s="7" t="s">
        <v>16</v>
      </c>
      <c r="P1111" s="7"/>
      <c r="Q1111" s="7" t="s">
        <v>19</v>
      </c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s="1" customFormat="1">
      <c r="A1112" s="8" t="s">
        <v>1196</v>
      </c>
      <c r="B1112" s="8" t="s">
        <v>1196</v>
      </c>
      <c r="C1112" s="1" t="str">
        <f>RIGHT(ProductInfo[[#This Row],[Drawing No]],1)</f>
        <v>0</v>
      </c>
      <c r="D1112" s="176" t="s">
        <v>2577</v>
      </c>
      <c r="E1112" s="16"/>
      <c r="F11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2" s="31"/>
      <c r="H1112" s="31"/>
      <c r="I1112" s="1">
        <f>COUNTA(ProductInfo[[#This Row],[P1]:[P15]])</f>
        <v>0</v>
      </c>
      <c r="J11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s="1" customFormat="1">
      <c r="A1113" s="8" t="s">
        <v>1197</v>
      </c>
      <c r="B1113" s="8" t="s">
        <v>3736</v>
      </c>
      <c r="C1113" s="1" t="str">
        <f>RIGHT(ProductInfo[[#This Row],[Drawing No]],1)</f>
        <v>0</v>
      </c>
      <c r="D1113" s="179" t="s">
        <v>1198</v>
      </c>
      <c r="E1113" s="18" t="s">
        <v>3726</v>
      </c>
      <c r="F1113" s="26" t="str">
        <f>IFERROR(INDEX(MaterialCode[รายละเอียด],MATCH(ProductInfo[[#This Row],[Material Code]],MaterialCode[Material Code],0)),"ไม่พบวัตถุดิบ")</f>
        <v>MATT FORDGE G M35</v>
      </c>
      <c r="G1113" s="32"/>
      <c r="H1113" s="3">
        <v>50</v>
      </c>
      <c r="I1113" s="1">
        <f>COUNTA(ProductInfo[[#This Row],[P1]:[P15]])</f>
        <v>3</v>
      </c>
      <c r="J11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3" s="7" t="s">
        <v>12</v>
      </c>
      <c r="M1113" s="7" t="s">
        <v>13</v>
      </c>
      <c r="N1113" s="7" t="s">
        <v>14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s="1" customFormat="1">
      <c r="A1114" s="8" t="s">
        <v>1199</v>
      </c>
      <c r="B1114" s="8" t="s">
        <v>1199</v>
      </c>
      <c r="C1114" s="1" t="str">
        <f>RIGHT(ProductInfo[[#This Row],[Drawing No]],1)</f>
        <v>0</v>
      </c>
      <c r="D1114" s="182" t="s">
        <v>2578</v>
      </c>
      <c r="E1114" s="16"/>
      <c r="F11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4" s="31"/>
      <c r="H1114" s="31"/>
      <c r="I1114" s="1">
        <f>COUNTA(ProductInfo[[#This Row],[P1]:[P15]])</f>
        <v>0</v>
      </c>
      <c r="J11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s="1" customFormat="1">
      <c r="A1115" s="8" t="s">
        <v>1200</v>
      </c>
      <c r="B1115" s="8" t="s">
        <v>1200</v>
      </c>
      <c r="C1115" s="1" t="str">
        <f>RIGHT(ProductInfo[[#This Row],[Drawing No]],1)</f>
        <v>0</v>
      </c>
      <c r="D1115" s="183" t="s">
        <v>3042</v>
      </c>
      <c r="E1115" s="18"/>
      <c r="F111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5" s="32"/>
      <c r="H1115" s="32"/>
      <c r="I1115" s="1">
        <f>COUNTA(ProductInfo[[#This Row],[P1]:[P15]])</f>
        <v>0</v>
      </c>
      <c r="J11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s="1" customFormat="1">
      <c r="A1116" s="8" t="s">
        <v>1201</v>
      </c>
      <c r="B1116" s="8" t="s">
        <v>1201</v>
      </c>
      <c r="C1116" s="1" t="str">
        <f>RIGHT(ProductInfo[[#This Row],[Drawing No]],1)</f>
        <v>0</v>
      </c>
      <c r="D1116" s="176" t="s">
        <v>3177</v>
      </c>
      <c r="E1116" s="16"/>
      <c r="F11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6" s="31"/>
      <c r="H1116" s="3">
        <v>50</v>
      </c>
      <c r="I1116" s="1">
        <f>COUNTA(ProductInfo[[#This Row],[P1]:[P15]])</f>
        <v>0</v>
      </c>
      <c r="J11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s="1" customFormat="1">
      <c r="A1117" s="8" t="s">
        <v>1202</v>
      </c>
      <c r="B1117" s="8" t="s">
        <v>1202</v>
      </c>
      <c r="C1117" s="1" t="str">
        <f>RIGHT(ProductInfo[[#This Row],[Drawing No]],1)</f>
        <v>2</v>
      </c>
      <c r="D1117" s="176" t="s">
        <v>3178</v>
      </c>
      <c r="E1117" s="16"/>
      <c r="F11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17" s="31"/>
      <c r="H1117" s="3">
        <v>50</v>
      </c>
      <c r="I1117" s="1">
        <f>COUNTA(ProductInfo[[#This Row],[P1]:[P15]])</f>
        <v>0</v>
      </c>
      <c r="J11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s="1" customFormat="1">
      <c r="A1118" s="8" t="s">
        <v>1203</v>
      </c>
      <c r="B1118" s="8" t="s">
        <v>3335</v>
      </c>
      <c r="C1118" s="1" t="str">
        <f>RIGHT(ProductInfo[[#This Row],[Drawing No]],1)</f>
        <v>2</v>
      </c>
      <c r="D1118" s="176" t="s">
        <v>3177</v>
      </c>
      <c r="E1118" s="16" t="s">
        <v>3722</v>
      </c>
      <c r="F1118" s="23" t="str">
        <f>IFERROR(INDEX(MaterialCode[รายละเอียด],MATCH(ProductInfo[[#This Row],[Material Code]],MaterialCode[Material Code],0)),"ไม่พบวัตถุดิบ")</f>
        <v>MATT FORDGE G M42</v>
      </c>
      <c r="G1118" s="59">
        <v>1</v>
      </c>
      <c r="H1118" s="3">
        <v>40</v>
      </c>
      <c r="I1118" s="1">
        <f>COUNTA(ProductInfo[[#This Row],[P1]:[P15]])</f>
        <v>4</v>
      </c>
      <c r="J11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18" s="7" t="s">
        <v>12</v>
      </c>
      <c r="M1118" s="7" t="s">
        <v>13</v>
      </c>
      <c r="N1118" s="7" t="s">
        <v>16</v>
      </c>
      <c r="O1118" s="7" t="s">
        <v>14</v>
      </c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s="1" customFormat="1">
      <c r="A1119" s="8" t="s">
        <v>5023</v>
      </c>
      <c r="B1119" s="8" t="s">
        <v>5022</v>
      </c>
      <c r="C1119" s="2" t="str">
        <f>RIGHT(ProductInfo[[#This Row],[Drawing No]],1)</f>
        <v>0</v>
      </c>
      <c r="D1119" s="176" t="s">
        <v>4840</v>
      </c>
      <c r="E1119" s="16" t="s">
        <v>3722</v>
      </c>
      <c r="F1119" s="23" t="str">
        <f>IFERROR(INDEX(MaterialCode[รายละเอียด],MATCH(ProductInfo[[#This Row],[Material Code]],MaterialCode[Material Code],0)),"ไม่พบวัตถุดิบ")</f>
        <v>MATT FORDGE G M42</v>
      </c>
      <c r="G1119" s="59">
        <v>1</v>
      </c>
      <c r="H1119" s="3">
        <v>40</v>
      </c>
      <c r="I1119" s="1">
        <f>COUNTA(ProductInfo[[#This Row],[P1]:[P15]])</f>
        <v>4</v>
      </c>
      <c r="J11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19" s="7" t="s">
        <v>12</v>
      </c>
      <c r="M1119" s="7" t="s">
        <v>13</v>
      </c>
      <c r="N1119" s="7" t="s">
        <v>19</v>
      </c>
      <c r="O1119" s="7" t="s">
        <v>14</v>
      </c>
      <c r="P1119" s="7"/>
      <c r="Q1119" s="7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s="1" customFormat="1">
      <c r="A1120" s="8" t="s">
        <v>1204</v>
      </c>
      <c r="B1120" s="8" t="s">
        <v>1204</v>
      </c>
      <c r="C1120" s="1" t="str">
        <f>RIGHT(ProductInfo[[#This Row],[Drawing No]],1)</f>
        <v>0</v>
      </c>
      <c r="D1120" s="176" t="s">
        <v>2579</v>
      </c>
      <c r="E1120" s="16"/>
      <c r="F11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0" s="31"/>
      <c r="H1120" s="3">
        <v>50</v>
      </c>
      <c r="I1120" s="1">
        <f>COUNTA(ProductInfo[[#This Row],[P1]:[P15]])</f>
        <v>0</v>
      </c>
      <c r="J11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0" s="7"/>
      <c r="M1120" s="7"/>
      <c r="N1120" s="7"/>
      <c r="O1120" s="4"/>
      <c r="P1120" s="7"/>
      <c r="Q1120" s="7"/>
      <c r="R1120" s="4"/>
      <c r="S1120" s="7"/>
      <c r="T1120" s="7"/>
      <c r="U1120" s="7"/>
      <c r="V1120" s="7"/>
      <c r="W1120" s="7"/>
      <c r="X1120" s="7"/>
      <c r="Y1120" s="7"/>
      <c r="Z1120" s="7"/>
    </row>
    <row r="1121" spans="1:26" s="1" customFormat="1">
      <c r="A1121" s="8" t="s">
        <v>1205</v>
      </c>
      <c r="B1121" s="8" t="s">
        <v>3895</v>
      </c>
      <c r="C1121" s="1" t="str">
        <f>RIGHT(ProductInfo[[#This Row],[Drawing No]],1)</f>
        <v>0</v>
      </c>
      <c r="D1121" s="176" t="s">
        <v>2580</v>
      </c>
      <c r="E1121" s="16" t="s">
        <v>4522</v>
      </c>
      <c r="F1121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21" s="62" t="s">
        <v>4848</v>
      </c>
      <c r="H1121" s="59">
        <v>40</v>
      </c>
      <c r="I1121" s="1">
        <f>COUNTA(ProductInfo[[#This Row],[P1]:[P15]])</f>
        <v>4</v>
      </c>
      <c r="J11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121" s="7" t="s">
        <v>15</v>
      </c>
      <c r="M1121" s="7" t="s">
        <v>16</v>
      </c>
      <c r="N1121" s="7" t="s">
        <v>13</v>
      </c>
      <c r="O1121" s="7" t="s">
        <v>14</v>
      </c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>
      <c r="A1122" s="8" t="s">
        <v>1206</v>
      </c>
      <c r="B1122" s="8" t="s">
        <v>1206</v>
      </c>
      <c r="C1122" s="1" t="str">
        <f>RIGHT(ProductInfo[[#This Row],[Drawing No]],1)</f>
        <v>1</v>
      </c>
      <c r="D1122" s="176" t="s">
        <v>2581</v>
      </c>
      <c r="E1122" s="16"/>
      <c r="F11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2" s="31"/>
      <c r="H1122" s="31"/>
      <c r="I1122" s="1">
        <f>COUNTA(ProductInfo[[#This Row],[P1]:[P15]])</f>
        <v>0</v>
      </c>
      <c r="J11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2" s="7"/>
      <c r="M1122" s="7"/>
      <c r="N1122" s="7"/>
      <c r="O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>
      <c r="A1123" s="8" t="s">
        <v>1207</v>
      </c>
      <c r="B1123" s="8" t="s">
        <v>1207</v>
      </c>
      <c r="C1123" s="1" t="str">
        <f>RIGHT(ProductInfo[[#This Row],[Drawing No]],1)</f>
        <v>2</v>
      </c>
      <c r="D1123" s="176" t="s">
        <v>2582</v>
      </c>
      <c r="E1123" s="16"/>
      <c r="F11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3" s="31"/>
      <c r="H1123" s="31"/>
      <c r="I1123" s="1">
        <f>COUNTA(ProductInfo[[#This Row],[P1]:[P15]])</f>
        <v>0</v>
      </c>
      <c r="J11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3" s="7"/>
      <c r="M1123" s="7"/>
      <c r="N1123" s="7"/>
      <c r="O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s="1" customFormat="1">
      <c r="A1124" s="8" t="s">
        <v>1208</v>
      </c>
      <c r="B1124" s="8" t="s">
        <v>1208</v>
      </c>
      <c r="C1124" s="1" t="str">
        <f>RIGHT(ProductInfo[[#This Row],[Drawing No]],1)</f>
        <v>3</v>
      </c>
      <c r="D1124" s="176" t="s">
        <v>2583</v>
      </c>
      <c r="E1124" s="16"/>
      <c r="F11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4" s="31"/>
      <c r="H1124" s="31"/>
      <c r="I1124" s="1">
        <f>COUNTA(ProductInfo[[#This Row],[P1]:[P15]])</f>
        <v>0</v>
      </c>
      <c r="J11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s="1" customFormat="1">
      <c r="A1125" s="8" t="s">
        <v>1209</v>
      </c>
      <c r="B1125" s="8" t="s">
        <v>1209</v>
      </c>
      <c r="C1125" s="1" t="str">
        <f>RIGHT(ProductInfo[[#This Row],[Drawing No]],1)</f>
        <v>4</v>
      </c>
      <c r="D1125" s="176" t="s">
        <v>1210</v>
      </c>
      <c r="E1125" s="16"/>
      <c r="F11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5" s="31"/>
      <c r="H1125" s="31"/>
      <c r="I1125" s="1">
        <f>COUNTA(ProductInfo[[#This Row],[P1]:[P15]])</f>
        <v>0</v>
      </c>
      <c r="J11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s="1" customFormat="1">
      <c r="A1126" s="8" t="s">
        <v>1211</v>
      </c>
      <c r="B1126" s="8" t="s">
        <v>1211</v>
      </c>
      <c r="C1126" s="1" t="str">
        <f>RIGHT(ProductInfo[[#This Row],[Drawing No]],1)</f>
        <v>0</v>
      </c>
      <c r="D1126" s="176" t="s">
        <v>2838</v>
      </c>
      <c r="E1126" s="16"/>
      <c r="F11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6" s="31"/>
      <c r="H1126" s="3">
        <v>50</v>
      </c>
      <c r="I1126" s="1">
        <f>COUNTA(ProductInfo[[#This Row],[P1]:[P15]])</f>
        <v>0</v>
      </c>
      <c r="J11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s="1" customFormat="1">
      <c r="A1127" s="8" t="s">
        <v>1212</v>
      </c>
      <c r="B1127" s="8" t="s">
        <v>1212</v>
      </c>
      <c r="C1127" s="1" t="str">
        <f>RIGHT(ProductInfo[[#This Row],[Drawing No]],1)</f>
        <v>0</v>
      </c>
      <c r="D1127" s="176" t="s">
        <v>1213</v>
      </c>
      <c r="E1127" s="16"/>
      <c r="F11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7" s="31"/>
      <c r="H1127" s="3">
        <v>50</v>
      </c>
      <c r="I1127" s="1">
        <f>COUNTA(ProductInfo[[#This Row],[P1]:[P15]])</f>
        <v>0</v>
      </c>
      <c r="J11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s="1" customFormat="1">
      <c r="A1128" s="8" t="s">
        <v>1214</v>
      </c>
      <c r="B1128" s="8" t="s">
        <v>1214</v>
      </c>
      <c r="C1128" s="1" t="str">
        <f>RIGHT(ProductInfo[[#This Row],[Drawing No]],1)</f>
        <v>2</v>
      </c>
      <c r="D1128" s="179" t="s">
        <v>1215</v>
      </c>
      <c r="E1128" s="18"/>
      <c r="F112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8" s="32"/>
      <c r="H1128" s="3">
        <v>50</v>
      </c>
      <c r="I1128" s="1">
        <f>COUNTA(ProductInfo[[#This Row],[P1]:[P15]])</f>
        <v>0</v>
      </c>
      <c r="J11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s="1" customFormat="1">
      <c r="A1129" s="8" t="s">
        <v>1216</v>
      </c>
      <c r="B1129" s="8" t="s">
        <v>1216</v>
      </c>
      <c r="C1129" s="1" t="str">
        <f>RIGHT(ProductInfo[[#This Row],[Drawing No]],1)</f>
        <v>2</v>
      </c>
      <c r="D1129" s="179" t="s">
        <v>1217</v>
      </c>
      <c r="E1129" s="18"/>
      <c r="F112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29" s="32"/>
      <c r="H1129" s="3">
        <v>50</v>
      </c>
      <c r="I1129" s="1">
        <f>COUNTA(ProductInfo[[#This Row],[P1]:[P15]])</f>
        <v>6</v>
      </c>
      <c r="J11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1129" s="7" t="s">
        <v>12</v>
      </c>
      <c r="M1129" s="7" t="s">
        <v>13</v>
      </c>
      <c r="N1129" s="7" t="s">
        <v>15</v>
      </c>
      <c r="O1129" s="7" t="s">
        <v>16</v>
      </c>
      <c r="P1129" s="7"/>
      <c r="Q1129" s="7"/>
      <c r="R1129" s="7" t="s">
        <v>19</v>
      </c>
      <c r="S1129" s="7" t="s">
        <v>25</v>
      </c>
      <c r="T1129" s="7"/>
      <c r="U1129" s="7"/>
      <c r="V1129" s="7"/>
      <c r="W1129" s="7"/>
      <c r="X1129" s="7"/>
      <c r="Y1129" s="7"/>
      <c r="Z1129" s="7"/>
    </row>
    <row r="1130" spans="1:26" s="1" customFormat="1">
      <c r="A1130" s="8" t="s">
        <v>5025</v>
      </c>
      <c r="B1130" s="8" t="s">
        <v>5024</v>
      </c>
      <c r="C1130" s="2" t="str">
        <f>RIGHT(ProductInfo[[#This Row],[Drawing No]],1)</f>
        <v>0</v>
      </c>
      <c r="D1130" s="179" t="s">
        <v>1217</v>
      </c>
      <c r="E1130" s="16" t="s">
        <v>3722</v>
      </c>
      <c r="F1130" s="23" t="str">
        <f>IFERROR(INDEX(MaterialCode[รายละเอียด],MATCH(ProductInfo[[#This Row],[Material Code]],MaterialCode[Material Code],0)),"ไม่พบวัตถุดิบ")</f>
        <v>MATT FORDGE G M42</v>
      </c>
      <c r="G1130" s="59">
        <v>1</v>
      </c>
      <c r="H1130" s="59">
        <v>40</v>
      </c>
      <c r="I1130" s="1">
        <f>COUNTA(ProductInfo[[#This Row],[P1]:[P15]])</f>
        <v>5</v>
      </c>
      <c r="J11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130" s="7" t="s">
        <v>12</v>
      </c>
      <c r="M1130" s="7" t="s">
        <v>13</v>
      </c>
      <c r="N1130" s="7" t="s">
        <v>16</v>
      </c>
      <c r="O1130" s="7" t="s">
        <v>19</v>
      </c>
      <c r="P1130" s="7"/>
      <c r="Q1130" s="7"/>
      <c r="R1130" s="7" t="s">
        <v>25</v>
      </c>
      <c r="S1130" s="4"/>
      <c r="T1130" s="4"/>
      <c r="U1130" s="4"/>
      <c r="V1130" s="4"/>
      <c r="W1130" s="4"/>
      <c r="X1130" s="4"/>
      <c r="Y1130" s="4"/>
      <c r="Z1130" s="4"/>
    </row>
    <row r="1131" spans="1:26" s="1" customFormat="1">
      <c r="A1131" s="8" t="s">
        <v>1218</v>
      </c>
      <c r="B1131" s="8" t="s">
        <v>1218</v>
      </c>
      <c r="C1131" s="1" t="str">
        <f>RIGHT(ProductInfo[[#This Row],[Drawing No]],1)</f>
        <v>0</v>
      </c>
      <c r="D1131" s="176" t="s">
        <v>3179</v>
      </c>
      <c r="E1131" s="16"/>
      <c r="F11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1" s="31"/>
      <c r="H1131" s="3">
        <v>50</v>
      </c>
      <c r="I1131" s="1">
        <f>COUNTA(ProductInfo[[#This Row],[P1]:[P15]])</f>
        <v>0</v>
      </c>
      <c r="J11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s="1" customFormat="1">
      <c r="A1132" s="8" t="s">
        <v>1219</v>
      </c>
      <c r="B1132" s="8" t="s">
        <v>3717</v>
      </c>
      <c r="C1132" s="1" t="str">
        <f>RIGHT(ProductInfo[[#This Row],[Drawing No]],1)</f>
        <v>0</v>
      </c>
      <c r="D1132" s="179" t="s">
        <v>3246</v>
      </c>
      <c r="E1132" s="18" t="s">
        <v>3718</v>
      </c>
      <c r="F1132" s="26" t="str">
        <f>IFERROR(INDEX(MaterialCode[รายละเอียด],MATCH(ProductInfo[[#This Row],[Material Code]],MaterialCode[Material Code],0)),"ไม่พบวัตถุดิบ")</f>
        <v>MATT FORDGE G M35</v>
      </c>
      <c r="G1132" s="32"/>
      <c r="H1132" s="3">
        <v>50</v>
      </c>
      <c r="I1132" s="1">
        <f>COUNTA(ProductInfo[[#This Row],[P1]:[P15]])</f>
        <v>3</v>
      </c>
      <c r="J11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2" s="7" t="s">
        <v>12</v>
      </c>
      <c r="M1132" s="7" t="s">
        <v>13</v>
      </c>
      <c r="N1132" s="7" t="s">
        <v>14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s="1" customFormat="1">
      <c r="A1133" s="8" t="s">
        <v>1220</v>
      </c>
      <c r="B1133" s="8" t="s">
        <v>1220</v>
      </c>
      <c r="C1133" s="1" t="str">
        <f>RIGHT(ProductInfo[[#This Row],[Drawing No]],1)</f>
        <v>1</v>
      </c>
      <c r="D1133" s="176" t="s">
        <v>3180</v>
      </c>
      <c r="E1133" s="16"/>
      <c r="F11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3" s="31"/>
      <c r="H1133" s="3">
        <v>50</v>
      </c>
      <c r="I1133" s="1">
        <f>COUNTA(ProductInfo[[#This Row],[P1]:[P15]])</f>
        <v>0</v>
      </c>
      <c r="J11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s="1" customFormat="1">
      <c r="A1134" s="8" t="s">
        <v>1221</v>
      </c>
      <c r="B1134" s="8" t="s">
        <v>3719</v>
      </c>
      <c r="C1134" s="1" t="str">
        <f>RIGHT(ProductInfo[[#This Row],[Drawing No]],1)</f>
        <v>0</v>
      </c>
      <c r="D1134" s="179" t="s">
        <v>3247</v>
      </c>
      <c r="E1134" s="18" t="s">
        <v>3718</v>
      </c>
      <c r="F1134" s="26" t="str">
        <f>IFERROR(INDEX(MaterialCode[รายละเอียด],MATCH(ProductInfo[[#This Row],[Material Code]],MaterialCode[Material Code],0)),"ไม่พบวัตถุดิบ")</f>
        <v>MATT FORDGE G M35</v>
      </c>
      <c r="G1134" s="32"/>
      <c r="H1134" s="3">
        <v>50</v>
      </c>
      <c r="I1134" s="1">
        <f>COUNTA(ProductInfo[[#This Row],[P1]:[P15]])</f>
        <v>3</v>
      </c>
      <c r="J11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4" s="7" t="s">
        <v>12</v>
      </c>
      <c r="M1134" s="7" t="s">
        <v>13</v>
      </c>
      <c r="N1134" s="7"/>
      <c r="O1134" s="7" t="s">
        <v>14</v>
      </c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s="1" customFormat="1">
      <c r="A1135" s="8" t="s">
        <v>1222</v>
      </c>
      <c r="B1135" s="8" t="s">
        <v>1222</v>
      </c>
      <c r="C1135" s="1" t="str">
        <f>RIGHT(ProductInfo[[#This Row],[Drawing No]],1)</f>
        <v>1</v>
      </c>
      <c r="D1135" s="176" t="s">
        <v>2937</v>
      </c>
      <c r="E1135" s="16"/>
      <c r="F11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5" s="31"/>
      <c r="H1135" s="31"/>
      <c r="I1135" s="1">
        <f>COUNTA(ProductInfo[[#This Row],[P1]:[P15]])</f>
        <v>0</v>
      </c>
      <c r="J11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s="1" customFormat="1">
      <c r="A1136" s="8" t="s">
        <v>1223</v>
      </c>
      <c r="B1136" s="8" t="s">
        <v>1223</v>
      </c>
      <c r="C1136" s="1" t="str">
        <f>RIGHT(ProductInfo[[#This Row],[Drawing No]],1)</f>
        <v>2</v>
      </c>
      <c r="D1136" s="176" t="s">
        <v>2938</v>
      </c>
      <c r="E1136" s="16"/>
      <c r="F11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6" s="31"/>
      <c r="H1136" s="31"/>
      <c r="I1136" s="1">
        <f>COUNTA(ProductInfo[[#This Row],[P1]:[P15]])</f>
        <v>0</v>
      </c>
      <c r="J11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s="1" customFormat="1">
      <c r="A1137" s="8" t="s">
        <v>1224</v>
      </c>
      <c r="B1137" s="8" t="s">
        <v>1224</v>
      </c>
      <c r="C1137" s="1" t="str">
        <f>RIGHT(ProductInfo[[#This Row],[Drawing No]],1)</f>
        <v>3</v>
      </c>
      <c r="D1137" s="179" t="s">
        <v>1225</v>
      </c>
      <c r="E1137" s="18"/>
      <c r="F113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7" s="32"/>
      <c r="H1137" s="3">
        <v>50</v>
      </c>
      <c r="I1137" s="1">
        <f>COUNTA(ProductInfo[[#This Row],[P1]:[P15]])</f>
        <v>0</v>
      </c>
      <c r="J11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s="1" customFormat="1">
      <c r="A1138" s="8" t="s">
        <v>1226</v>
      </c>
      <c r="B1138" s="8" t="s">
        <v>1226</v>
      </c>
      <c r="C1138" s="1" t="str">
        <f>RIGHT(ProductInfo[[#This Row],[Drawing No]],1)</f>
        <v>0</v>
      </c>
      <c r="D1138" s="176" t="s">
        <v>2584</v>
      </c>
      <c r="E1138" s="16"/>
      <c r="F11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8" s="31"/>
      <c r="H1138" s="31"/>
      <c r="I1138" s="1">
        <f>COUNTA(ProductInfo[[#This Row],[P1]:[P15]])</f>
        <v>2</v>
      </c>
      <c r="J11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8" s="7" t="s">
        <v>12</v>
      </c>
      <c r="M1138" s="7" t="s">
        <v>13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s="1" customFormat="1">
      <c r="A1139" s="8" t="s">
        <v>1227</v>
      </c>
      <c r="B1139" s="8" t="s">
        <v>1227</v>
      </c>
      <c r="C1139" s="1" t="str">
        <f>RIGHT(ProductInfo[[#This Row],[Drawing No]],1)</f>
        <v>1</v>
      </c>
      <c r="D1139" s="176" t="s">
        <v>2585</v>
      </c>
      <c r="E1139" s="16"/>
      <c r="F11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39" s="31"/>
      <c r="H1139" s="31"/>
      <c r="I1139" s="1">
        <f>COUNTA(ProductInfo[[#This Row],[P1]:[P15]])</f>
        <v>2</v>
      </c>
      <c r="J11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39" s="7" t="s">
        <v>12</v>
      </c>
      <c r="M1139" s="7" t="s">
        <v>13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s="1" customFormat="1">
      <c r="A1140" s="8" t="s">
        <v>1228</v>
      </c>
      <c r="B1140" s="8" t="s">
        <v>1228</v>
      </c>
      <c r="C1140" s="1" t="str">
        <f>RIGHT(ProductInfo[[#This Row],[Drawing No]],1)</f>
        <v>2</v>
      </c>
      <c r="D1140" s="176" t="s">
        <v>2585</v>
      </c>
      <c r="E1140" s="16"/>
      <c r="F11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0" s="31"/>
      <c r="H1140" s="31"/>
      <c r="I1140" s="1">
        <f>COUNTA(ProductInfo[[#This Row],[P1]:[P15]])</f>
        <v>2</v>
      </c>
      <c r="J11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0" s="7" t="s">
        <v>12</v>
      </c>
      <c r="M1140" s="7" t="s">
        <v>13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s="1" customFormat="1">
      <c r="A1141" s="8" t="s">
        <v>1229</v>
      </c>
      <c r="B1141" s="8" t="s">
        <v>1229</v>
      </c>
      <c r="C1141" s="1" t="str">
        <f>RIGHT(ProductInfo[[#This Row],[Drawing No]],1)</f>
        <v>3</v>
      </c>
      <c r="D1141" s="176" t="s">
        <v>2585</v>
      </c>
      <c r="E1141" s="16"/>
      <c r="F11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1" s="31"/>
      <c r="H1141" s="31"/>
      <c r="I1141" s="1">
        <f>COUNTA(ProductInfo[[#This Row],[P1]:[P15]])</f>
        <v>2</v>
      </c>
      <c r="J11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1" s="7" t="s">
        <v>12</v>
      </c>
      <c r="M1141" s="7" t="s">
        <v>13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s="1" customFormat="1">
      <c r="A1142" s="8" t="s">
        <v>1230</v>
      </c>
      <c r="B1142" s="8" t="s">
        <v>3321</v>
      </c>
      <c r="C1142" s="1" t="str">
        <f>RIGHT(ProductInfo[[#This Row],[Drawing No]],1)</f>
        <v>0</v>
      </c>
      <c r="D1142" s="176" t="s">
        <v>2585</v>
      </c>
      <c r="E1142" s="16" t="s">
        <v>3726</v>
      </c>
      <c r="F1142" s="23" t="str">
        <f>IFERROR(INDEX(MaterialCode[รายละเอียด],MATCH(ProductInfo[[#This Row],[Material Code]],MaterialCode[Material Code],0)),"ไม่พบวัตถุดิบ")</f>
        <v>MATT FORDGE G M35</v>
      </c>
      <c r="G1142" s="31"/>
      <c r="H1142" s="3">
        <v>50</v>
      </c>
      <c r="I1142" s="1">
        <f>COUNTA(ProductInfo[[#This Row],[P1]:[P15]])</f>
        <v>2</v>
      </c>
      <c r="J11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2" s="7" t="s">
        <v>12</v>
      </c>
      <c r="M1142" s="7" t="s">
        <v>13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s="1" customFormat="1">
      <c r="A1143" s="8" t="s">
        <v>4294</v>
      </c>
      <c r="B1143" s="8" t="s">
        <v>4293</v>
      </c>
      <c r="C1143" s="2" t="str">
        <f>RIGHT(ProductInfo[[#This Row],[Drawing No]],1)</f>
        <v>0</v>
      </c>
      <c r="D1143" s="176" t="s">
        <v>4295</v>
      </c>
      <c r="E1143" s="16" t="s">
        <v>3718</v>
      </c>
      <c r="F1143" s="23" t="str">
        <f>IFERROR(INDEX(MaterialCode[รายละเอียด],MATCH(ProductInfo[[#This Row],[Material Code]],MaterialCode[Material Code],0)),"ไม่พบวัตถุดิบ")</f>
        <v>MATT FORDGE G M35</v>
      </c>
      <c r="G1143" s="31"/>
      <c r="H1143" s="3">
        <v>50</v>
      </c>
      <c r="I1143" s="1">
        <f>COUNTA(ProductInfo[[#This Row],[P1]:[P15]])</f>
        <v>3</v>
      </c>
      <c r="J11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3" s="4" t="s">
        <v>12</v>
      </c>
      <c r="M1143" s="4" t="s">
        <v>13</v>
      </c>
      <c r="N1143" s="7"/>
      <c r="O1143" s="4" t="s">
        <v>14</v>
      </c>
      <c r="P1143" s="7"/>
      <c r="Q1143" s="7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s="1" customFormat="1">
      <c r="A1144" s="8" t="s">
        <v>1231</v>
      </c>
      <c r="B1144" s="8" t="s">
        <v>1231</v>
      </c>
      <c r="C1144" s="1" t="str">
        <f>RIGHT(ProductInfo[[#This Row],[Drawing No]],1)</f>
        <v>0</v>
      </c>
      <c r="D1144" s="176" t="s">
        <v>2586</v>
      </c>
      <c r="E1144" s="16"/>
      <c r="F11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4" s="31"/>
      <c r="H1144" s="31"/>
      <c r="I1144" s="1">
        <f>COUNTA(ProductInfo[[#This Row],[P1]:[P15]])</f>
        <v>3</v>
      </c>
      <c r="J11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44" s="7" t="s">
        <v>12</v>
      </c>
      <c r="M1144" s="7" t="s">
        <v>13</v>
      </c>
      <c r="N1144" s="7" t="s">
        <v>15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s="1" customFormat="1">
      <c r="A1145" s="8" t="s">
        <v>1232</v>
      </c>
      <c r="B1145" s="8" t="s">
        <v>1232</v>
      </c>
      <c r="C1145" s="1" t="str">
        <f>RIGHT(ProductInfo[[#This Row],[Drawing No]],1)</f>
        <v>1</v>
      </c>
      <c r="D1145" s="176" t="s">
        <v>2586</v>
      </c>
      <c r="E1145" s="16"/>
      <c r="F11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5" s="31"/>
      <c r="H1145" s="31"/>
      <c r="I1145" s="1">
        <f>COUNTA(ProductInfo[[#This Row],[P1]:[P15]])</f>
        <v>3</v>
      </c>
      <c r="J11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45" s="7" t="s">
        <v>12</v>
      </c>
      <c r="M1145" s="7" t="s">
        <v>13</v>
      </c>
      <c r="N1145" s="7" t="s">
        <v>15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s="1" customFormat="1">
      <c r="A1146" s="8" t="s">
        <v>1233</v>
      </c>
      <c r="B1146" s="8" t="s">
        <v>1233</v>
      </c>
      <c r="C1146" s="1" t="str">
        <f>RIGHT(ProductInfo[[#This Row],[Drawing No]],1)</f>
        <v>2</v>
      </c>
      <c r="D1146" s="176" t="s">
        <v>2586</v>
      </c>
      <c r="E1146" s="16"/>
      <c r="F11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6" s="31"/>
      <c r="H1146" s="31"/>
      <c r="I1146" s="1">
        <f>COUNTA(ProductInfo[[#This Row],[P1]:[P15]])</f>
        <v>3</v>
      </c>
      <c r="J11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46" s="7" t="s">
        <v>12</v>
      </c>
      <c r="M1146" s="7" t="s">
        <v>13</v>
      </c>
      <c r="N1146" s="7" t="s">
        <v>15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s="1" customFormat="1">
      <c r="A1147" s="8" t="s">
        <v>1234</v>
      </c>
      <c r="B1147" s="8" t="s">
        <v>1234</v>
      </c>
      <c r="C1147" s="1" t="str">
        <f>RIGHT(ProductInfo[[#This Row],[Drawing No]],1)</f>
        <v>3</v>
      </c>
      <c r="D1147" s="179" t="s">
        <v>1235</v>
      </c>
      <c r="E1147" s="18"/>
      <c r="F114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7" s="32"/>
      <c r="H1147" s="3">
        <v>50</v>
      </c>
      <c r="I1147" s="1">
        <f>COUNTA(ProductInfo[[#This Row],[P1]:[P15]])</f>
        <v>3</v>
      </c>
      <c r="J11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47" s="7" t="s">
        <v>12</v>
      </c>
      <c r="M1147" s="7" t="s">
        <v>13</v>
      </c>
      <c r="N1147" s="7" t="s">
        <v>15</v>
      </c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s="1" customFormat="1">
      <c r="A1148" s="8" t="s">
        <v>1236</v>
      </c>
      <c r="B1148" s="8" t="s">
        <v>3333</v>
      </c>
      <c r="C1148" s="1" t="str">
        <f>RIGHT(ProductInfo[[#This Row],[Drawing No]],1)</f>
        <v>0</v>
      </c>
      <c r="D1148" s="179" t="s">
        <v>1237</v>
      </c>
      <c r="E1148" s="18" t="s">
        <v>3718</v>
      </c>
      <c r="F1148" s="26" t="str">
        <f>IFERROR(INDEX(MaterialCode[รายละเอียด],MATCH(ProductInfo[[#This Row],[Material Code]],MaterialCode[Material Code],0)),"ไม่พบวัตถุดิบ")</f>
        <v>MATT FORDGE G M35</v>
      </c>
      <c r="G1148" s="3">
        <v>1</v>
      </c>
      <c r="H1148" s="3">
        <v>50</v>
      </c>
      <c r="I1148" s="1">
        <f>COUNTA(ProductInfo[[#This Row],[P1]:[P15]])</f>
        <v>3</v>
      </c>
      <c r="J11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8" s="7" t="s">
        <v>12</v>
      </c>
      <c r="M1148" s="7" t="s">
        <v>13</v>
      </c>
      <c r="N1148" s="7"/>
      <c r="O1148" s="7" t="s">
        <v>14</v>
      </c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s="1" customFormat="1">
      <c r="A1149" s="8" t="s">
        <v>1238</v>
      </c>
      <c r="B1149" s="8" t="s">
        <v>1238</v>
      </c>
      <c r="C1149" s="1" t="str">
        <f>RIGHT(ProductInfo[[#This Row],[Drawing No]],1)</f>
        <v>0</v>
      </c>
      <c r="D1149" s="176" t="s">
        <v>2587</v>
      </c>
      <c r="E1149" s="16"/>
      <c r="F11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49" s="31"/>
      <c r="H1149" s="3">
        <v>50</v>
      </c>
      <c r="I1149" s="1">
        <f>COUNTA(ProductInfo[[#This Row],[P1]:[P15]])</f>
        <v>0</v>
      </c>
      <c r="J11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s="1" customFormat="1">
      <c r="A1150" s="8" t="s">
        <v>1239</v>
      </c>
      <c r="B1150" s="8" t="s">
        <v>1239</v>
      </c>
      <c r="C1150" s="1" t="str">
        <f>RIGHT(ProductInfo[[#This Row],[Drawing No]],1)</f>
        <v>1</v>
      </c>
      <c r="D1150" s="176" t="s">
        <v>2588</v>
      </c>
      <c r="E1150" s="16"/>
      <c r="F11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0" s="31"/>
      <c r="H1150" s="3">
        <v>50</v>
      </c>
      <c r="I1150" s="1">
        <f>COUNTA(ProductInfo[[#This Row],[P1]:[P15]])</f>
        <v>0</v>
      </c>
      <c r="J11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s="1" customFormat="1">
      <c r="A1151" s="8" t="s">
        <v>1240</v>
      </c>
      <c r="B1151" s="8" t="s">
        <v>1240</v>
      </c>
      <c r="C1151" s="1" t="str">
        <f>RIGHT(ProductInfo[[#This Row],[Drawing No]],1)</f>
        <v>2</v>
      </c>
      <c r="D1151" s="176" t="s">
        <v>1241</v>
      </c>
      <c r="E1151" s="16"/>
      <c r="F11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1" s="31"/>
      <c r="H1151" s="3">
        <v>50</v>
      </c>
      <c r="I1151" s="1">
        <f>COUNTA(ProductInfo[[#This Row],[P1]:[P15]])</f>
        <v>2</v>
      </c>
      <c r="J11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1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51" s="7" t="s">
        <v>14</v>
      </c>
      <c r="M1151" s="7" t="s">
        <v>15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s="1" customFormat="1">
      <c r="A1152" s="8" t="s">
        <v>1242</v>
      </c>
      <c r="B1152" s="8" t="s">
        <v>3734</v>
      </c>
      <c r="C1152" s="1" t="str">
        <f>RIGHT(ProductInfo[[#This Row],[Drawing No]],1)</f>
        <v>1</v>
      </c>
      <c r="D1152" s="179" t="s">
        <v>1243</v>
      </c>
      <c r="E1152" s="18" t="s">
        <v>3718</v>
      </c>
      <c r="F1152" s="26" t="str">
        <f>IFERROR(INDEX(MaterialCode[รายละเอียด],MATCH(ProductInfo[[#This Row],[Material Code]],MaterialCode[Material Code],0)),"ไม่พบวัตถุดิบ")</f>
        <v>MATT FORDGE G M35</v>
      </c>
      <c r="G1152" s="32"/>
      <c r="H1152" s="3">
        <v>50</v>
      </c>
      <c r="I1152" s="1">
        <f>COUNTA(ProductInfo[[#This Row],[P1]:[P15]])</f>
        <v>3</v>
      </c>
      <c r="J11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2" s="7" t="s">
        <v>12</v>
      </c>
      <c r="M1152" s="7" t="s">
        <v>13</v>
      </c>
      <c r="N1152" s="7"/>
      <c r="O1152" s="7" t="s">
        <v>14</v>
      </c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s="1" customFormat="1">
      <c r="A1153" s="8" t="s">
        <v>3799</v>
      </c>
      <c r="B1153" s="8" t="s">
        <v>3798</v>
      </c>
      <c r="C1153" s="1" t="str">
        <f>RIGHT(ProductInfo[[#This Row],[Drawing No]],1)</f>
        <v>0</v>
      </c>
      <c r="D1153" s="179" t="s">
        <v>3043</v>
      </c>
      <c r="E1153" s="18" t="s">
        <v>3722</v>
      </c>
      <c r="F1153" s="26" t="str">
        <f>IFERROR(INDEX(MaterialCode[รายละเอียด],MATCH(ProductInfo[[#This Row],[Material Code]],MaterialCode[Material Code],0)),"ไม่พบวัตถุดิบ")</f>
        <v>MATT FORDGE G M42</v>
      </c>
      <c r="G1153" s="32"/>
      <c r="H1153" s="3">
        <v>40</v>
      </c>
      <c r="I1153" s="1">
        <f>COUNTA(ProductInfo[[#This Row],[P1]:[P15]])</f>
        <v>3</v>
      </c>
      <c r="J11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3" s="7" t="s">
        <v>12</v>
      </c>
      <c r="M1153" s="7" t="s">
        <v>13</v>
      </c>
      <c r="N1153" s="7"/>
      <c r="O1153" s="7" t="s">
        <v>14</v>
      </c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s="1" customFormat="1">
      <c r="A1154" s="8" t="s">
        <v>1244</v>
      </c>
      <c r="B1154" s="8" t="s">
        <v>1244</v>
      </c>
      <c r="C1154" s="1" t="str">
        <f>RIGHT(ProductInfo[[#This Row],[Drawing No]],1)</f>
        <v>0</v>
      </c>
      <c r="D1154" s="176" t="s">
        <v>2589</v>
      </c>
      <c r="E1154" s="16"/>
      <c r="F11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4" s="31"/>
      <c r="H1154" s="31"/>
      <c r="I1154" s="1">
        <f>COUNTA(ProductInfo[[#This Row],[P1]:[P15]])</f>
        <v>0</v>
      </c>
      <c r="J11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s="1" customFormat="1">
      <c r="A1155" s="8" t="s">
        <v>1245</v>
      </c>
      <c r="B1155" s="8" t="s">
        <v>1245</v>
      </c>
      <c r="C1155" s="1" t="str">
        <f>RIGHT(ProductInfo[[#This Row],[Drawing No]],1)</f>
        <v>1</v>
      </c>
      <c r="D1155" s="176" t="s">
        <v>3044</v>
      </c>
      <c r="E1155" s="16"/>
      <c r="F11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5" s="31"/>
      <c r="H1155" s="31"/>
      <c r="I1155" s="1">
        <f>COUNTA(ProductInfo[[#This Row],[P1]:[P15]])</f>
        <v>0</v>
      </c>
      <c r="J11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s="1" customFormat="1">
      <c r="A1156" s="8" t="s">
        <v>1246</v>
      </c>
      <c r="B1156" s="8" t="s">
        <v>1246</v>
      </c>
      <c r="C1156" s="1" t="str">
        <f>RIGHT(ProductInfo[[#This Row],[Drawing No]],1)</f>
        <v>2</v>
      </c>
      <c r="D1156" s="176" t="s">
        <v>2839</v>
      </c>
      <c r="E1156" s="16"/>
      <c r="F11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6" s="31"/>
      <c r="H1156" s="31"/>
      <c r="I1156" s="1">
        <f>COUNTA(ProductInfo[[#This Row],[P1]:[P15]])</f>
        <v>0</v>
      </c>
      <c r="J11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s="1" customFormat="1">
      <c r="A1157" s="8" t="s">
        <v>1247</v>
      </c>
      <c r="B1157" s="8" t="s">
        <v>1247</v>
      </c>
      <c r="C1157" s="1" t="str">
        <f>RIGHT(ProductInfo[[#This Row],[Drawing No]],1)</f>
        <v>0</v>
      </c>
      <c r="D1157" s="176" t="s">
        <v>2590</v>
      </c>
      <c r="E1157" s="16"/>
      <c r="F11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7" s="31"/>
      <c r="H1157" s="31"/>
      <c r="I1157" s="1">
        <f>COUNTA(ProductInfo[[#This Row],[P1]:[P15]])</f>
        <v>0</v>
      </c>
      <c r="J11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s="1" customFormat="1">
      <c r="A1158" s="8" t="s">
        <v>1248</v>
      </c>
      <c r="B1158" s="8" t="s">
        <v>1248</v>
      </c>
      <c r="C1158" s="1" t="str">
        <f>RIGHT(ProductInfo[[#This Row],[Drawing No]],1)</f>
        <v>1</v>
      </c>
      <c r="D1158" s="176" t="s">
        <v>2591</v>
      </c>
      <c r="E1158" s="16"/>
      <c r="F11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8" s="31"/>
      <c r="H1158" s="31"/>
      <c r="I1158" s="1">
        <f>COUNTA(ProductInfo[[#This Row],[P1]:[P15]])</f>
        <v>0</v>
      </c>
      <c r="J11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s="1" customFormat="1">
      <c r="A1159" s="8" t="s">
        <v>1249</v>
      </c>
      <c r="B1159" s="8" t="s">
        <v>1249</v>
      </c>
      <c r="C1159" s="1" t="str">
        <f>RIGHT(ProductInfo[[#This Row],[Drawing No]],1)</f>
        <v>4</v>
      </c>
      <c r="D1159" s="176" t="s">
        <v>2592</v>
      </c>
      <c r="E1159" s="16"/>
      <c r="F11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59" s="31"/>
      <c r="H1159" s="31"/>
      <c r="I1159" s="1">
        <f>COUNTA(ProductInfo[[#This Row],[P1]:[P15]])</f>
        <v>0</v>
      </c>
      <c r="J11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s="1" customFormat="1">
      <c r="A1160" s="8" t="s">
        <v>1250</v>
      </c>
      <c r="B1160" s="8" t="s">
        <v>1250</v>
      </c>
      <c r="C1160" s="1" t="str">
        <f>RIGHT(ProductInfo[[#This Row],[Drawing No]],1)</f>
        <v>0</v>
      </c>
      <c r="D1160" s="176" t="s">
        <v>2593</v>
      </c>
      <c r="E1160" s="16"/>
      <c r="F11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0" s="31"/>
      <c r="H1160" s="31"/>
      <c r="I1160" s="1">
        <f>COUNTA(ProductInfo[[#This Row],[P1]:[P15]])</f>
        <v>0</v>
      </c>
      <c r="J11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s="1" customFormat="1">
      <c r="A1161" s="8" t="s">
        <v>1251</v>
      </c>
      <c r="B1161" s="8" t="s">
        <v>1251</v>
      </c>
      <c r="C1161" s="1" t="str">
        <f>RIGHT(ProductInfo[[#This Row],[Drawing No]],1)</f>
        <v>1</v>
      </c>
      <c r="D1161" s="179" t="s">
        <v>3045</v>
      </c>
      <c r="E1161" s="18"/>
      <c r="F116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1" s="32"/>
      <c r="H1161" s="32"/>
      <c r="I1161" s="1">
        <f>COUNTA(ProductInfo[[#This Row],[P1]:[P15]])</f>
        <v>0</v>
      </c>
      <c r="J11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s="1" customFormat="1">
      <c r="A1162" s="8" t="s">
        <v>1252</v>
      </c>
      <c r="B1162" s="8" t="s">
        <v>1252</v>
      </c>
      <c r="C1162" s="1" t="str">
        <f>RIGHT(ProductInfo[[#This Row],[Drawing No]],1)</f>
        <v>0</v>
      </c>
      <c r="D1162" s="176" t="s">
        <v>2594</v>
      </c>
      <c r="E1162" s="16"/>
      <c r="F11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2" s="31"/>
      <c r="H1162" s="31"/>
      <c r="I1162" s="1">
        <f>COUNTA(ProductInfo[[#This Row],[P1]:[P15]])</f>
        <v>0</v>
      </c>
      <c r="J11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s="1" customFormat="1">
      <c r="A1163" s="8" t="s">
        <v>1253</v>
      </c>
      <c r="B1163" s="8" t="s">
        <v>1253</v>
      </c>
      <c r="C1163" s="1" t="str">
        <f>RIGHT(ProductInfo[[#This Row],[Drawing No]],1)</f>
        <v>1</v>
      </c>
      <c r="D1163" s="176" t="s">
        <v>2594</v>
      </c>
      <c r="E1163" s="16"/>
      <c r="F11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3" s="31"/>
      <c r="H1163" s="31"/>
      <c r="I1163" s="1">
        <f>COUNTA(ProductInfo[[#This Row],[P1]:[P15]])</f>
        <v>0</v>
      </c>
      <c r="J11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s="1" customFormat="1">
      <c r="A1164" s="8" t="s">
        <v>1254</v>
      </c>
      <c r="B1164" s="8" t="s">
        <v>1254</v>
      </c>
      <c r="C1164" s="1" t="str">
        <f>RIGHT(ProductInfo[[#This Row],[Drawing No]],1)</f>
        <v>0</v>
      </c>
      <c r="D1164" s="176" t="s">
        <v>2595</v>
      </c>
      <c r="E1164" s="16"/>
      <c r="F11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4" s="31"/>
      <c r="H1164" s="31"/>
      <c r="I1164" s="1">
        <f>COUNTA(ProductInfo[[#This Row],[P1]:[P15]])</f>
        <v>3</v>
      </c>
      <c r="J11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64" s="7" t="s">
        <v>12</v>
      </c>
      <c r="M1164" s="7" t="s">
        <v>13</v>
      </c>
      <c r="N1164" s="7" t="s">
        <v>16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s="1" customFormat="1">
      <c r="A1165" s="8" t="s">
        <v>1255</v>
      </c>
      <c r="B1165" s="8" t="s">
        <v>1255</v>
      </c>
      <c r="C1165" s="1" t="str">
        <f>RIGHT(ProductInfo[[#This Row],[Drawing No]],1)</f>
        <v>1</v>
      </c>
      <c r="D1165" s="176" t="s">
        <v>2596</v>
      </c>
      <c r="E1165" s="16"/>
      <c r="F11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5" s="31"/>
      <c r="H1165" s="31"/>
      <c r="I1165" s="1">
        <f>COUNTA(ProductInfo[[#This Row],[P1]:[P15]])</f>
        <v>3</v>
      </c>
      <c r="J11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65" s="7" t="s">
        <v>12</v>
      </c>
      <c r="M1165" s="7" t="s">
        <v>13</v>
      </c>
      <c r="N1165" s="7" t="s">
        <v>16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s="1" customFormat="1">
      <c r="A1166" s="8" t="s">
        <v>1256</v>
      </c>
      <c r="B1166" s="8" t="s">
        <v>1256</v>
      </c>
      <c r="C1166" s="1" t="str">
        <f>RIGHT(ProductInfo[[#This Row],[Drawing No]],1)</f>
        <v>2</v>
      </c>
      <c r="D1166" s="176" t="s">
        <v>3181</v>
      </c>
      <c r="E1166" s="16"/>
      <c r="F11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6" s="31"/>
      <c r="H1166" s="31"/>
      <c r="I1166" s="1">
        <f>COUNTA(ProductInfo[[#This Row],[P1]:[P15]])</f>
        <v>3</v>
      </c>
      <c r="J11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66" s="7" t="s">
        <v>12</v>
      </c>
      <c r="M1166" s="7" t="s">
        <v>13</v>
      </c>
      <c r="N1166" s="7" t="s">
        <v>16</v>
      </c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s="1" customFormat="1">
      <c r="A1167" s="8" t="s">
        <v>1257</v>
      </c>
      <c r="B1167" s="8" t="s">
        <v>3332</v>
      </c>
      <c r="C1167" s="1" t="str">
        <f>RIGHT(ProductInfo[[#This Row],[Drawing No]],1)</f>
        <v>0</v>
      </c>
      <c r="D1167" s="176" t="s">
        <v>3182</v>
      </c>
      <c r="E1167" s="16" t="s">
        <v>3718</v>
      </c>
      <c r="F1167" s="23" t="str">
        <f>IFERROR(INDEX(MaterialCode[รายละเอียด],MATCH(ProductInfo[[#This Row],[Material Code]],MaterialCode[Material Code],0)),"ไม่พบวัตถุดิบ")</f>
        <v>MATT FORDGE G M35</v>
      </c>
      <c r="G1167" s="59">
        <v>1</v>
      </c>
      <c r="H1167" s="3">
        <v>50</v>
      </c>
      <c r="I1167" s="1">
        <f>COUNTA(ProductInfo[[#This Row],[P1]:[P15]])</f>
        <v>3</v>
      </c>
      <c r="J11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7" s="7" t="s">
        <v>12</v>
      </c>
      <c r="M1167" s="7" t="s">
        <v>13</v>
      </c>
      <c r="N1167" s="7"/>
      <c r="O1167" s="7" t="s">
        <v>14</v>
      </c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s="1" customFormat="1">
      <c r="A1168" s="8" t="s">
        <v>1258</v>
      </c>
      <c r="B1168" s="8" t="s">
        <v>1258</v>
      </c>
      <c r="C1168" s="1" t="str">
        <f>RIGHT(ProductInfo[[#This Row],[Drawing No]],1)</f>
        <v>0</v>
      </c>
      <c r="D1168" s="176" t="s">
        <v>2597</v>
      </c>
      <c r="E1168" s="16"/>
      <c r="F11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8" s="31"/>
      <c r="H1168" s="31"/>
      <c r="I1168" s="1">
        <f>COUNTA(ProductInfo[[#This Row],[P1]:[P15]])</f>
        <v>0</v>
      </c>
      <c r="J11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8" s="4"/>
      <c r="M1168" s="7"/>
      <c r="N1168" s="7"/>
      <c r="O1168" s="7"/>
      <c r="P1168" s="7"/>
      <c r="Q1168" s="7"/>
      <c r="R1168" s="7"/>
      <c r="S1168" s="7"/>
      <c r="T1168" s="4"/>
      <c r="U1168" s="4"/>
      <c r="V1168" s="4"/>
      <c r="W1168" s="4"/>
      <c r="X1168" s="4"/>
      <c r="Y1168" s="4"/>
      <c r="Z1168" s="4"/>
    </row>
    <row r="1169" spans="1:26" s="1" customFormat="1">
      <c r="A1169" s="8" t="s">
        <v>1259</v>
      </c>
      <c r="B1169" s="8" t="s">
        <v>1259</v>
      </c>
      <c r="C1169" s="1" t="str">
        <f>RIGHT(ProductInfo[[#This Row],[Drawing No]],1)</f>
        <v>1</v>
      </c>
      <c r="D1169" s="176" t="s">
        <v>2598</v>
      </c>
      <c r="E1169" s="16"/>
      <c r="F11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69" s="31"/>
      <c r="H1169" s="31"/>
      <c r="I1169" s="1">
        <f>COUNTA(ProductInfo[[#This Row],[P1]:[P15]])</f>
        <v>0</v>
      </c>
      <c r="J11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s="1" customFormat="1">
      <c r="A1170" s="8" t="s">
        <v>1260</v>
      </c>
      <c r="B1170" s="8" t="s">
        <v>1260</v>
      </c>
      <c r="C1170" s="1" t="str">
        <f>RIGHT(ProductInfo[[#This Row],[Drawing No]],1)</f>
        <v>2</v>
      </c>
      <c r="D1170" s="176" t="s">
        <v>2597</v>
      </c>
      <c r="E1170" s="16"/>
      <c r="F11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0" s="31"/>
      <c r="H1170" s="31"/>
      <c r="I1170" s="1">
        <f>COUNTA(ProductInfo[[#This Row],[P1]:[P15]])</f>
        <v>0</v>
      </c>
      <c r="J11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s="1" customFormat="1">
      <c r="A1171" s="8" t="s">
        <v>1261</v>
      </c>
      <c r="B1171" s="8" t="s">
        <v>1261</v>
      </c>
      <c r="C1171" s="1" t="str">
        <f>RIGHT(ProductInfo[[#This Row],[Drawing No]],1)</f>
        <v>4</v>
      </c>
      <c r="D1171" s="179" t="s">
        <v>1262</v>
      </c>
      <c r="E1171" s="18"/>
      <c r="F117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1" s="32"/>
      <c r="H1171" s="3">
        <v>50</v>
      </c>
      <c r="I1171" s="1">
        <f>COUNTA(ProductInfo[[#This Row],[P1]:[P15]])</f>
        <v>0</v>
      </c>
      <c r="J11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s="1" customFormat="1">
      <c r="A1172" s="8" t="s">
        <v>1263</v>
      </c>
      <c r="B1172" s="8" t="s">
        <v>1263</v>
      </c>
      <c r="C1172" s="1" t="str">
        <f>RIGHT(ProductInfo[[#This Row],[Drawing No]],1)</f>
        <v>1</v>
      </c>
      <c r="D1172" s="179" t="s">
        <v>1264</v>
      </c>
      <c r="E1172" s="18"/>
      <c r="F117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2" s="32"/>
      <c r="H1172" s="3">
        <v>50</v>
      </c>
      <c r="I1172" s="1">
        <f>COUNTA(ProductInfo[[#This Row],[P1]:[P15]])</f>
        <v>0</v>
      </c>
      <c r="J11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s="1" customFormat="1">
      <c r="A1173" s="8" t="s">
        <v>1265</v>
      </c>
      <c r="B1173" s="8" t="s">
        <v>1265</v>
      </c>
      <c r="C1173" s="1" t="str">
        <f>RIGHT(ProductInfo[[#This Row],[Drawing No]],1)</f>
        <v>0</v>
      </c>
      <c r="D1173" s="179" t="s">
        <v>2599</v>
      </c>
      <c r="E1173" s="18"/>
      <c r="F117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3" s="32"/>
      <c r="H1173" s="3">
        <v>50</v>
      </c>
      <c r="I1173" s="1">
        <f>COUNTA(ProductInfo[[#This Row],[P1]:[P15]])</f>
        <v>0</v>
      </c>
      <c r="J11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s="1" customFormat="1">
      <c r="A1174" s="8" t="s">
        <v>4969</v>
      </c>
      <c r="B1174" s="8" t="s">
        <v>4970</v>
      </c>
      <c r="C1174" s="2" t="str">
        <f>RIGHT(ProductInfo[[#This Row],[Drawing No]],1)</f>
        <v>0</v>
      </c>
      <c r="D1174" s="176" t="s">
        <v>5026</v>
      </c>
      <c r="E1174" s="16"/>
      <c r="F11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4" s="31"/>
      <c r="H1174" s="31"/>
      <c r="I1174" s="1">
        <f>COUNTA(ProductInfo[[#This Row],[P1]:[P15]])</f>
        <v>4</v>
      </c>
      <c r="J11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1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174" s="4" t="s">
        <v>15</v>
      </c>
      <c r="M1174" s="4" t="s">
        <v>12</v>
      </c>
      <c r="N1174" s="4"/>
      <c r="O1174" s="4" t="s">
        <v>19</v>
      </c>
      <c r="P1174" s="7"/>
      <c r="Q1174" s="7"/>
      <c r="R1174" s="4" t="s">
        <v>4339</v>
      </c>
      <c r="S1174" s="4"/>
      <c r="T1174" s="4"/>
      <c r="U1174" s="4"/>
      <c r="V1174" s="4"/>
      <c r="W1174" s="4"/>
      <c r="X1174" s="4"/>
      <c r="Y1174" s="4"/>
      <c r="Z1174" s="4"/>
    </row>
    <row r="1175" spans="1:26" s="1" customFormat="1">
      <c r="A1175" s="8" t="s">
        <v>5028</v>
      </c>
      <c r="B1175" s="8" t="s">
        <v>5027</v>
      </c>
      <c r="C1175" s="2" t="str">
        <f>RIGHT(ProductInfo[[#This Row],[Drawing No]],1)</f>
        <v>0</v>
      </c>
      <c r="D1175" s="176" t="s">
        <v>5026</v>
      </c>
      <c r="E1175" s="16" t="s">
        <v>4522</v>
      </c>
      <c r="F1175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75" s="59">
        <v>118</v>
      </c>
      <c r="H1175" s="59">
        <v>20</v>
      </c>
      <c r="I1175" s="1">
        <f>COUNTA(ProductInfo[[#This Row],[P1]:[P15]])</f>
        <v>6</v>
      </c>
      <c r="J11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1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175" s="4" t="s">
        <v>15</v>
      </c>
      <c r="M1175" s="4" t="s">
        <v>12</v>
      </c>
      <c r="N1175" s="4" t="s">
        <v>16</v>
      </c>
      <c r="O1175" s="4" t="s">
        <v>19</v>
      </c>
      <c r="P1175" s="7" t="s">
        <v>25</v>
      </c>
      <c r="Q1175" s="4" t="s">
        <v>4339</v>
      </c>
      <c r="R1175" s="7"/>
      <c r="S1175" s="4"/>
      <c r="T1175" s="4"/>
      <c r="U1175" s="4"/>
      <c r="V1175" s="4"/>
      <c r="W1175" s="4"/>
      <c r="X1175" s="4"/>
      <c r="Y1175" s="4"/>
      <c r="Z1175" s="4"/>
    </row>
    <row r="1176" spans="1:26" s="1" customFormat="1">
      <c r="A1176" s="8" t="s">
        <v>4806</v>
      </c>
      <c r="B1176" s="8" t="s">
        <v>4804</v>
      </c>
      <c r="C1176" s="2" t="str">
        <f>RIGHT(ProductInfo[[#This Row],[Drawing No]],1)</f>
        <v>0</v>
      </c>
      <c r="D1176" s="176" t="s">
        <v>4807</v>
      </c>
      <c r="E1176" s="16" t="s">
        <v>4522</v>
      </c>
      <c r="F1176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76" s="59">
        <v>126</v>
      </c>
      <c r="H1176" s="59">
        <v>20</v>
      </c>
      <c r="I1176" s="1">
        <f>COUNTA(ProductInfo[[#This Row],[P1]:[P15]])</f>
        <v>4</v>
      </c>
      <c r="J11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1176" s="4" t="s">
        <v>15</v>
      </c>
      <c r="M1176" s="4" t="s">
        <v>16</v>
      </c>
      <c r="N1176" s="4"/>
      <c r="O1176" s="4" t="s">
        <v>19</v>
      </c>
      <c r="P1176" s="7"/>
      <c r="Q1176" s="7"/>
      <c r="R1176" s="4" t="s">
        <v>4339</v>
      </c>
      <c r="S1176" s="4"/>
      <c r="T1176" s="4"/>
      <c r="U1176" s="4"/>
      <c r="V1176" s="4"/>
      <c r="W1176" s="4"/>
      <c r="X1176" s="4"/>
      <c r="Y1176" s="4"/>
      <c r="Z1176" s="4"/>
    </row>
    <row r="1177" spans="1:26" s="1" customFormat="1">
      <c r="A1177" s="8" t="s">
        <v>5063</v>
      </c>
      <c r="B1177" s="8" t="s">
        <v>5062</v>
      </c>
      <c r="C1177" s="2" t="str">
        <f>RIGHT(ProductInfo[[#This Row],[Drawing No]],1)</f>
        <v>0</v>
      </c>
      <c r="D1177" s="176" t="s">
        <v>4807</v>
      </c>
      <c r="E1177" s="16" t="s">
        <v>4522</v>
      </c>
      <c r="F1177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177" s="59">
        <v>126</v>
      </c>
      <c r="H1177" s="59">
        <v>20</v>
      </c>
      <c r="I1177" s="1">
        <f>COUNTA(ProductInfo[[#This Row],[P1]:[P15]])</f>
        <v>6</v>
      </c>
      <c r="J11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6</v>
      </c>
      <c r="L1177" s="4" t="s">
        <v>15</v>
      </c>
      <c r="M1177" s="4" t="s">
        <v>16</v>
      </c>
      <c r="N1177" s="4" t="s">
        <v>19</v>
      </c>
      <c r="O1177" s="4" t="s">
        <v>25</v>
      </c>
      <c r="P1177" s="7"/>
      <c r="Q1177" s="7"/>
      <c r="R1177" s="4" t="s">
        <v>4339</v>
      </c>
      <c r="S1177" s="4" t="s">
        <v>4661</v>
      </c>
      <c r="T1177" s="4"/>
      <c r="U1177" s="4"/>
      <c r="V1177" s="4"/>
      <c r="W1177" s="4"/>
      <c r="X1177" s="4"/>
      <c r="Y1177" s="4"/>
      <c r="Z1177" s="4"/>
    </row>
    <row r="1178" spans="1:26" s="1" customFormat="1">
      <c r="A1178" s="8" t="s">
        <v>1266</v>
      </c>
      <c r="B1178" s="8" t="s">
        <v>1266</v>
      </c>
      <c r="C1178" s="1" t="str">
        <f>RIGHT(ProductInfo[[#This Row],[Drawing No]],1)</f>
        <v>0</v>
      </c>
      <c r="D1178" s="176" t="s">
        <v>2600</v>
      </c>
      <c r="E1178" s="16"/>
      <c r="F11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8" s="31"/>
      <c r="H1178" s="31"/>
      <c r="I1178" s="1">
        <f>COUNTA(ProductInfo[[#This Row],[P1]:[P15]])</f>
        <v>0</v>
      </c>
      <c r="J11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s="1" customFormat="1">
      <c r="A1179" s="8" t="s">
        <v>1267</v>
      </c>
      <c r="B1179" s="8" t="s">
        <v>1267</v>
      </c>
      <c r="C1179" s="1" t="str">
        <f>RIGHT(ProductInfo[[#This Row],[Drawing No]],1)</f>
        <v>1</v>
      </c>
      <c r="D1179" s="176" t="s">
        <v>1268</v>
      </c>
      <c r="E1179" s="16"/>
      <c r="F11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79" s="31"/>
      <c r="H1179" s="31"/>
      <c r="I1179" s="1">
        <f>COUNTA(ProductInfo[[#This Row],[P1]:[P15]])</f>
        <v>0</v>
      </c>
      <c r="J11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s="1" customFormat="1">
      <c r="A1180" s="8" t="s">
        <v>1269</v>
      </c>
      <c r="B1180" s="8" t="s">
        <v>1269</v>
      </c>
      <c r="C1180" s="1" t="str">
        <f>RIGHT(ProductInfo[[#This Row],[Drawing No]],1)</f>
        <v>2</v>
      </c>
      <c r="D1180" s="176" t="s">
        <v>1268</v>
      </c>
      <c r="E1180" s="16"/>
      <c r="F11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0" s="31"/>
      <c r="H1180" s="31"/>
      <c r="I1180" s="1">
        <f>COUNTA(ProductInfo[[#This Row],[P1]:[P15]])</f>
        <v>0</v>
      </c>
      <c r="J11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s="1" customFormat="1">
      <c r="A1181" s="8" t="s">
        <v>1270</v>
      </c>
      <c r="B1181" s="8" t="s">
        <v>1270</v>
      </c>
      <c r="C1181" s="1" t="str">
        <f>RIGHT(ProductInfo[[#This Row],[Drawing No]],1)</f>
        <v>3</v>
      </c>
      <c r="D1181" s="176" t="s">
        <v>2601</v>
      </c>
      <c r="E1181" s="16"/>
      <c r="F11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1" s="31"/>
      <c r="H1181" s="59">
        <v>50</v>
      </c>
      <c r="I1181" s="1">
        <f>COUNTA(ProductInfo[[#This Row],[P1]:[P15]])</f>
        <v>0</v>
      </c>
      <c r="J11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s="1" customFormat="1">
      <c r="A1182" s="8" t="s">
        <v>1271</v>
      </c>
      <c r="B1182" s="8" t="s">
        <v>1271</v>
      </c>
      <c r="C1182" s="1" t="str">
        <f>RIGHT(ProductInfo[[#This Row],[Drawing No]],1)</f>
        <v>4</v>
      </c>
      <c r="D1182" s="176" t="s">
        <v>2601</v>
      </c>
      <c r="E1182" s="16"/>
      <c r="F11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2" s="31"/>
      <c r="H1182" s="59">
        <v>50</v>
      </c>
      <c r="I1182" s="1">
        <f>COUNTA(ProductInfo[[#This Row],[P1]:[P15]])</f>
        <v>0</v>
      </c>
      <c r="J11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s="1" customFormat="1">
      <c r="A1183" s="8" t="s">
        <v>1272</v>
      </c>
      <c r="B1183" s="8" t="s">
        <v>3715</v>
      </c>
      <c r="C1183" s="1" t="str">
        <f>RIGHT(ProductInfo[[#This Row],[Drawing No]],1)</f>
        <v>0</v>
      </c>
      <c r="D1183" s="176" t="s">
        <v>2601</v>
      </c>
      <c r="E1183" s="16" t="s">
        <v>3716</v>
      </c>
      <c r="F1183" s="23" t="str">
        <f>IFERROR(INDEX(MaterialCode[รายละเอียด],MATCH(ProductInfo[[#This Row],[Material Code]],MaterialCode[Material Code],0)),"ไม่พบวัตถุดิบ")</f>
        <v>MATT FORDGE C M35</v>
      </c>
      <c r="G1183" s="31"/>
      <c r="H1183" s="3">
        <v>50</v>
      </c>
      <c r="I1183" s="1">
        <f>COUNTA(ProductInfo[[#This Row],[P1]:[P15]])</f>
        <v>3</v>
      </c>
      <c r="J11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3" s="7" t="s">
        <v>12</v>
      </c>
      <c r="M1183" s="7" t="s">
        <v>13</v>
      </c>
      <c r="N1183" s="7"/>
      <c r="O1183" s="7" t="s">
        <v>14</v>
      </c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s="1" customFormat="1">
      <c r="A1184" s="8" t="s">
        <v>1273</v>
      </c>
      <c r="B1184" s="8" t="s">
        <v>1273</v>
      </c>
      <c r="C1184" s="1" t="str">
        <f>RIGHT(ProductInfo[[#This Row],[Drawing No]],1)</f>
        <v>0</v>
      </c>
      <c r="D1184" s="176" t="s">
        <v>3046</v>
      </c>
      <c r="E1184" s="16"/>
      <c r="F11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4" s="31"/>
      <c r="H1184" s="62"/>
      <c r="I1184" s="1">
        <f>COUNTA(ProductInfo[[#This Row],[P1]:[P15]])</f>
        <v>0</v>
      </c>
      <c r="J11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s="1" customFormat="1">
      <c r="A1185" s="8" t="s">
        <v>1274</v>
      </c>
      <c r="B1185" s="8" t="s">
        <v>1274</v>
      </c>
      <c r="C1185" s="1" t="str">
        <f>RIGHT(ProductInfo[[#This Row],[Drawing No]],1)</f>
        <v>1</v>
      </c>
      <c r="D1185" s="176" t="s">
        <v>3047</v>
      </c>
      <c r="E1185" s="16"/>
      <c r="F11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5" s="31"/>
      <c r="H1185" s="62"/>
      <c r="I1185" s="1">
        <f>COUNTA(ProductInfo[[#This Row],[P1]:[P15]])</f>
        <v>0</v>
      </c>
      <c r="J11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s="1" customFormat="1">
      <c r="A1186" s="8" t="s">
        <v>1275</v>
      </c>
      <c r="B1186" s="8" t="s">
        <v>1275</v>
      </c>
      <c r="C1186" s="1" t="str">
        <f>RIGHT(ProductInfo[[#This Row],[Drawing No]],1)</f>
        <v>2</v>
      </c>
      <c r="D1186" s="176" t="s">
        <v>3047</v>
      </c>
      <c r="E1186" s="16"/>
      <c r="F11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6" s="31"/>
      <c r="H1186" s="62"/>
      <c r="I1186" s="1">
        <f>COUNTA(ProductInfo[[#This Row],[P1]:[P15]])</f>
        <v>0</v>
      </c>
      <c r="J11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s="1" customFormat="1">
      <c r="A1187" s="8" t="s">
        <v>1276</v>
      </c>
      <c r="B1187" s="8" t="s">
        <v>1276</v>
      </c>
      <c r="C1187" s="1" t="str">
        <f>RIGHT(ProductInfo[[#This Row],[Drawing No]],1)</f>
        <v>3</v>
      </c>
      <c r="D1187" s="176" t="s">
        <v>2840</v>
      </c>
      <c r="E1187" s="16"/>
      <c r="F11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7" s="31"/>
      <c r="H1187" s="62">
        <v>50</v>
      </c>
      <c r="I1187" s="1">
        <f>COUNTA(ProductInfo[[#This Row],[P1]:[P15]])</f>
        <v>0</v>
      </c>
      <c r="J11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s="1" customFormat="1">
      <c r="A1188" s="8" t="s">
        <v>1277</v>
      </c>
      <c r="B1188" s="8" t="s">
        <v>1277</v>
      </c>
      <c r="C1188" s="1" t="str">
        <f>RIGHT(ProductInfo[[#This Row],[Drawing No]],1)</f>
        <v>4</v>
      </c>
      <c r="D1188" s="176" t="s">
        <v>2841</v>
      </c>
      <c r="E1188" s="16"/>
      <c r="F11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88" s="31"/>
      <c r="H1188" s="62">
        <v>50</v>
      </c>
      <c r="I1188" s="1">
        <f>COUNTA(ProductInfo[[#This Row],[P1]:[P15]])</f>
        <v>0</v>
      </c>
      <c r="J11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s="1" customFormat="1">
      <c r="A1189" s="8" t="s">
        <v>5120</v>
      </c>
      <c r="B1189" s="8" t="s">
        <v>3715</v>
      </c>
      <c r="C1189" s="2" t="str">
        <f>RIGHT(ProductInfo[[#This Row],[Drawing No]],1)</f>
        <v>0</v>
      </c>
      <c r="D1189" s="178" t="s">
        <v>2865</v>
      </c>
      <c r="E1189" s="16" t="s">
        <v>3716</v>
      </c>
      <c r="F1189" s="23" t="str">
        <f>IFERROR(INDEX(MaterialCode[รายละเอียด],MATCH(ProductInfo[[#This Row],[Material Code]],MaterialCode[Material Code],0)),"ไม่พบวัตถุดิบ")</f>
        <v>MATT FORDGE C M35</v>
      </c>
      <c r="G1189" s="31"/>
      <c r="H1189" s="59">
        <v>50</v>
      </c>
      <c r="I1189" s="1">
        <f>COUNTA(ProductInfo[[#This Row],[P1]:[P15]])</f>
        <v>3</v>
      </c>
      <c r="J11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189" s="4" t="s">
        <v>12</v>
      </c>
      <c r="M1189" s="4" t="s">
        <v>13</v>
      </c>
      <c r="N1189" s="4" t="s">
        <v>16</v>
      </c>
      <c r="O1189" s="4"/>
      <c r="P1189" s="7"/>
      <c r="Q1189" s="7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s="1" customFormat="1">
      <c r="A1190" s="8" t="s">
        <v>1278</v>
      </c>
      <c r="B1190" s="8" t="s">
        <v>4172</v>
      </c>
      <c r="C1190" s="1" t="str">
        <f>RIGHT(ProductInfo[[#This Row],[Drawing No]],1)</f>
        <v>1</v>
      </c>
      <c r="D1190" s="179" t="s">
        <v>1279</v>
      </c>
      <c r="E1190" s="16" t="s">
        <v>3739</v>
      </c>
      <c r="F1190" s="26" t="str">
        <f>IFERROR(INDEX(MaterialCode[รายละเอียด],MATCH(ProductInfo[[#This Row],[Material Code]],MaterialCode[Material Code],0)),"ไม่พบวัตถุดิบ")</f>
        <v>MATT FORDGE C EURO M35</v>
      </c>
      <c r="G1190" s="32"/>
      <c r="H1190" s="3">
        <v>50</v>
      </c>
      <c r="I1190" s="1">
        <f>COUNTA(ProductInfo[[#This Row],[P1]:[P15]])</f>
        <v>3</v>
      </c>
      <c r="J11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0" s="7" t="s">
        <v>12</v>
      </c>
      <c r="M1190" s="7" t="s">
        <v>13</v>
      </c>
      <c r="N1190" s="4"/>
      <c r="O1190" s="7" t="s">
        <v>14</v>
      </c>
      <c r="P1190" s="7"/>
      <c r="Q1190" s="7"/>
      <c r="R1190" s="7"/>
      <c r="S1190" s="7"/>
      <c r="T1190" s="4"/>
      <c r="U1190" s="4"/>
      <c r="V1190" s="4"/>
      <c r="W1190" s="4"/>
      <c r="X1190" s="4"/>
      <c r="Y1190" s="4"/>
      <c r="Z1190" s="4"/>
    </row>
    <row r="1191" spans="1:26" s="1" customFormat="1">
      <c r="A1191" s="8" t="s">
        <v>4418</v>
      </c>
      <c r="B1191" s="8" t="s">
        <v>4420</v>
      </c>
      <c r="C1191" s="2" t="str">
        <f>RIGHT(ProductInfo[[#This Row],[Drawing No]],1)</f>
        <v>2</v>
      </c>
      <c r="D1191" s="176" t="s">
        <v>4421</v>
      </c>
      <c r="E1191" s="16" t="s">
        <v>3739</v>
      </c>
      <c r="F1191" s="23" t="str">
        <f>IFERROR(INDEX(MaterialCode[รายละเอียด],MATCH(ProductInfo[[#This Row],[Material Code]],MaterialCode[Material Code],0)),"ไม่พบวัตถุดิบ")</f>
        <v>MATT FORDGE C EURO M35</v>
      </c>
      <c r="G1191" s="31"/>
      <c r="H1191" s="3">
        <v>50</v>
      </c>
      <c r="I1191" s="1">
        <f>COUNTA(ProductInfo[[#This Row],[P1]:[P15]])</f>
        <v>2</v>
      </c>
      <c r="J11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1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1" s="7" t="s">
        <v>12</v>
      </c>
      <c r="M1191" s="7" t="s">
        <v>13</v>
      </c>
      <c r="N1191" s="7"/>
      <c r="O1191" s="7"/>
      <c r="P1191" s="7"/>
      <c r="Q1191" s="7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s="1" customFormat="1">
      <c r="A1192" s="8" t="s">
        <v>1280</v>
      </c>
      <c r="B1192" s="8" t="s">
        <v>3961</v>
      </c>
      <c r="C1192" s="1" t="str">
        <f>RIGHT(ProductInfo[[#This Row],[Drawing No]],1)</f>
        <v>1</v>
      </c>
      <c r="D1192" s="179" t="s">
        <v>3048</v>
      </c>
      <c r="E1192" s="18" t="s">
        <v>3739</v>
      </c>
      <c r="F1192" s="26" t="str">
        <f>IFERROR(INDEX(MaterialCode[รายละเอียด],MATCH(ProductInfo[[#This Row],[Material Code]],MaterialCode[Material Code],0)),"ไม่พบวัตถุดิบ")</f>
        <v>MATT FORDGE C EURO M35</v>
      </c>
      <c r="G1192" s="32"/>
      <c r="H1192" s="3">
        <v>50</v>
      </c>
      <c r="I1192" s="1">
        <f>COUNTA(ProductInfo[[#This Row],[P1]:[P15]])</f>
        <v>3</v>
      </c>
      <c r="J11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2" s="7" t="s">
        <v>12</v>
      </c>
      <c r="M1192" s="7" t="s">
        <v>13</v>
      </c>
      <c r="N1192" s="4"/>
      <c r="O1192" s="7" t="s">
        <v>14</v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s="1" customFormat="1">
      <c r="A1193" s="8" t="s">
        <v>4415</v>
      </c>
      <c r="B1193" s="65" t="s">
        <v>4414</v>
      </c>
      <c r="C1193" s="2" t="str">
        <f>RIGHT(ProductInfo[[#This Row],[Drawing No]],1)</f>
        <v>1</v>
      </c>
      <c r="D1193" s="176" t="s">
        <v>4416</v>
      </c>
      <c r="E1193" s="16" t="s">
        <v>3739</v>
      </c>
      <c r="F1193" s="23" t="str">
        <f>IFERROR(INDEX(MaterialCode[รายละเอียด],MATCH(ProductInfo[[#This Row],[Material Code]],MaterialCode[Material Code],0)),"ไม่พบวัตถุดิบ")</f>
        <v>MATT FORDGE C EURO M35</v>
      </c>
      <c r="G1193" s="31"/>
      <c r="H1193" s="3">
        <v>50</v>
      </c>
      <c r="I1193" s="1">
        <f>COUNTA(ProductInfo[[#This Row],[P1]:[P15]])</f>
        <v>3</v>
      </c>
      <c r="J11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1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3" s="7" t="s">
        <v>12</v>
      </c>
      <c r="M1193" s="7" t="s">
        <v>13</v>
      </c>
      <c r="N1193" s="7"/>
      <c r="O1193" s="7" t="s">
        <v>14</v>
      </c>
      <c r="P1193" s="7"/>
      <c r="Q1193" s="7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s="1" customFormat="1">
      <c r="A1194" s="8" t="s">
        <v>1281</v>
      </c>
      <c r="B1194" s="8" t="s">
        <v>1281</v>
      </c>
      <c r="C1194" s="1" t="str">
        <f>RIGHT(ProductInfo[[#This Row],[Drawing No]],1)</f>
        <v>0</v>
      </c>
      <c r="D1194" s="176" t="s">
        <v>2602</v>
      </c>
      <c r="E1194" s="16"/>
      <c r="F11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4" s="31"/>
      <c r="H1194" s="31"/>
      <c r="I1194" s="1">
        <f>COUNTA(ProductInfo[[#This Row],[P1]:[P15]])</f>
        <v>0</v>
      </c>
      <c r="J11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s="1" customFormat="1">
      <c r="A1195" s="8" t="s">
        <v>1282</v>
      </c>
      <c r="B1195" s="8" t="s">
        <v>1282</v>
      </c>
      <c r="C1195" s="1" t="str">
        <f>RIGHT(ProductInfo[[#This Row],[Drawing No]],1)</f>
        <v>1</v>
      </c>
      <c r="D1195" s="179" t="s">
        <v>3049</v>
      </c>
      <c r="E1195" s="18"/>
      <c r="F119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5" s="32"/>
      <c r="H1195" s="3">
        <v>50</v>
      </c>
      <c r="I1195" s="1">
        <f>COUNTA(ProductInfo[[#This Row],[P1]:[P15]])</f>
        <v>0</v>
      </c>
      <c r="J11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s="1" customFormat="1">
      <c r="A1196" s="8" t="s">
        <v>1283</v>
      </c>
      <c r="B1196" s="8" t="s">
        <v>1283</v>
      </c>
      <c r="C1196" s="1" t="str">
        <f>RIGHT(ProductInfo[[#This Row],[Drawing No]],1)</f>
        <v>0</v>
      </c>
      <c r="D1196" s="176" t="s">
        <v>2603</v>
      </c>
      <c r="E1196" s="16"/>
      <c r="F11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6" s="31"/>
      <c r="H1196" s="31"/>
      <c r="I1196" s="1">
        <f>COUNTA(ProductInfo[[#This Row],[P1]:[P15]])</f>
        <v>0</v>
      </c>
      <c r="J11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s="1" customFormat="1">
      <c r="A1197" s="8" t="s">
        <v>1284</v>
      </c>
      <c r="B1197" s="8" t="s">
        <v>1284</v>
      </c>
      <c r="C1197" s="1" t="str">
        <f>RIGHT(ProductInfo[[#This Row],[Drawing No]],1)</f>
        <v>1</v>
      </c>
      <c r="D1197" s="176" t="s">
        <v>2604</v>
      </c>
      <c r="E1197" s="16"/>
      <c r="F11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7" s="31"/>
      <c r="H1197" s="31"/>
      <c r="I1197" s="1">
        <f>COUNTA(ProductInfo[[#This Row],[P1]:[P15]])</f>
        <v>0</v>
      </c>
      <c r="J11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s="1" customFormat="1">
      <c r="A1198" s="8" t="s">
        <v>1285</v>
      </c>
      <c r="B1198" s="8" t="s">
        <v>1285</v>
      </c>
      <c r="C1198" s="1" t="str">
        <f>RIGHT(ProductInfo[[#This Row],[Drawing No]],1)</f>
        <v>2</v>
      </c>
      <c r="D1198" s="176" t="s">
        <v>2604</v>
      </c>
      <c r="E1198" s="16"/>
      <c r="F11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8" s="31"/>
      <c r="H1198" s="31"/>
      <c r="I1198" s="1">
        <f>COUNTA(ProductInfo[[#This Row],[P1]:[P15]])</f>
        <v>0</v>
      </c>
      <c r="J11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s="1" customFormat="1">
      <c r="A1199" s="8" t="s">
        <v>1286</v>
      </c>
      <c r="B1199" s="8" t="s">
        <v>1286</v>
      </c>
      <c r="C1199" s="1" t="str">
        <f>RIGHT(ProductInfo[[#This Row],[Drawing No]],1)</f>
        <v>3</v>
      </c>
      <c r="D1199" s="176" t="s">
        <v>2604</v>
      </c>
      <c r="E1199" s="16"/>
      <c r="F11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199" s="31"/>
      <c r="H1199" s="31"/>
      <c r="I1199" s="1">
        <f>COUNTA(ProductInfo[[#This Row],[P1]:[P15]])</f>
        <v>0</v>
      </c>
      <c r="J11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1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s="1" customFormat="1">
      <c r="A1200" s="8" t="s">
        <v>1287</v>
      </c>
      <c r="B1200" s="8" t="s">
        <v>1287</v>
      </c>
      <c r="C1200" s="1" t="str">
        <f>RIGHT(ProductInfo[[#This Row],[Drawing No]],1)</f>
        <v>4</v>
      </c>
      <c r="D1200" s="176" t="s">
        <v>2605</v>
      </c>
      <c r="E1200" s="16"/>
      <c r="F12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0" s="31"/>
      <c r="H1200" s="31"/>
      <c r="I1200" s="1">
        <f>COUNTA(ProductInfo[[#This Row],[P1]:[P15]])</f>
        <v>0</v>
      </c>
      <c r="J12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s="1" customFormat="1">
      <c r="A1201" s="8" t="s">
        <v>1288</v>
      </c>
      <c r="B1201" s="8" t="s">
        <v>1288</v>
      </c>
      <c r="C1201" s="1" t="str">
        <f>RIGHT(ProductInfo[[#This Row],[Drawing No]],1)</f>
        <v>5</v>
      </c>
      <c r="D1201" s="176" t="s">
        <v>2605</v>
      </c>
      <c r="E1201" s="16"/>
      <c r="F12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1" s="31"/>
      <c r="H1201" s="31"/>
      <c r="I1201" s="1">
        <f>COUNTA(ProductInfo[[#This Row],[P1]:[P15]])</f>
        <v>0</v>
      </c>
      <c r="J12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s="1" customFormat="1">
      <c r="A1202" s="8" t="s">
        <v>1289</v>
      </c>
      <c r="B1202" s="8" t="s">
        <v>3735</v>
      </c>
      <c r="C1202" s="1" t="str">
        <f>RIGHT(ProductInfo[[#This Row],[Drawing No]],1)</f>
        <v>0</v>
      </c>
      <c r="D1202" s="179" t="s">
        <v>3050</v>
      </c>
      <c r="E1202" s="18" t="s">
        <v>3716</v>
      </c>
      <c r="F1202" s="26" t="str">
        <f>IFERROR(INDEX(MaterialCode[รายละเอียด],MATCH(ProductInfo[[#This Row],[Material Code]],MaterialCode[Material Code],0)),"ไม่พบวัตถุดิบ")</f>
        <v>MATT FORDGE C M35</v>
      </c>
      <c r="G1202" s="32"/>
      <c r="H1202" s="3">
        <v>50</v>
      </c>
      <c r="I1202" s="1">
        <f>COUNTA(ProductInfo[[#This Row],[P1]:[P15]])</f>
        <v>3</v>
      </c>
      <c r="J12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2" s="7" t="s">
        <v>12</v>
      </c>
      <c r="M1202" s="7" t="s">
        <v>13</v>
      </c>
      <c r="N1202" s="4"/>
      <c r="O1202" s="7" t="s">
        <v>14</v>
      </c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s="1" customFormat="1">
      <c r="A1203" s="8" t="s">
        <v>1291</v>
      </c>
      <c r="B1203" s="8" t="s">
        <v>3743</v>
      </c>
      <c r="C1203" s="1" t="str">
        <f>RIGHT(ProductInfo[[#This Row],[Drawing No]],1)</f>
        <v>0</v>
      </c>
      <c r="D1203" s="176" t="s">
        <v>1290</v>
      </c>
      <c r="E1203" s="16" t="s">
        <v>3716</v>
      </c>
      <c r="F1203" s="23" t="str">
        <f>IFERROR(INDEX(MaterialCode[รายละเอียด],MATCH(ProductInfo[[#This Row],[Material Code]],MaterialCode[Material Code],0)),"ไม่พบวัตถุดิบ")</f>
        <v>MATT FORDGE C M35</v>
      </c>
      <c r="G1203" s="31"/>
      <c r="H1203" s="3">
        <v>50</v>
      </c>
      <c r="I1203" s="1">
        <f>COUNTA(ProductInfo[[#This Row],[P1]:[P15]])</f>
        <v>3</v>
      </c>
      <c r="J12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3" s="7" t="s">
        <v>12</v>
      </c>
      <c r="M1203" s="7" t="s">
        <v>3738</v>
      </c>
      <c r="N1203" s="7"/>
      <c r="O1203" s="7" t="s">
        <v>3744</v>
      </c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s="1" customFormat="1">
      <c r="A1204" s="8" t="s">
        <v>1292</v>
      </c>
      <c r="B1204" s="8" t="s">
        <v>3852</v>
      </c>
      <c r="C1204" s="1" t="str">
        <f>RIGHT(ProductInfo[[#This Row],[Drawing No]],1)</f>
        <v>0</v>
      </c>
      <c r="D1204" s="179" t="s">
        <v>3051</v>
      </c>
      <c r="E1204" s="18" t="s">
        <v>3716</v>
      </c>
      <c r="F1204" s="26" t="str">
        <f>IFERROR(INDEX(MaterialCode[รายละเอียด],MATCH(ProductInfo[[#This Row],[Material Code]],MaterialCode[Material Code],0)),"ไม่พบวัตถุดิบ")</f>
        <v>MATT FORDGE C M35</v>
      </c>
      <c r="G1204" s="3"/>
      <c r="H1204" s="3">
        <v>50</v>
      </c>
      <c r="I1204" s="1">
        <f>COUNTA(ProductInfo[[#This Row],[P1]:[P15]])</f>
        <v>2</v>
      </c>
      <c r="J12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4" s="7" t="s">
        <v>12</v>
      </c>
      <c r="M1204" s="7" t="s">
        <v>13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s="1" customFormat="1">
      <c r="A1205" s="8" t="s">
        <v>1294</v>
      </c>
      <c r="B1205" s="8" t="s">
        <v>1294</v>
      </c>
      <c r="C1205" s="1" t="str">
        <f>RIGHT(ProductInfo[[#This Row],[Drawing No]],1)</f>
        <v>0</v>
      </c>
      <c r="D1205" s="179" t="s">
        <v>1295</v>
      </c>
      <c r="E1205" s="18"/>
      <c r="F120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5" s="32"/>
      <c r="H1205" s="32"/>
      <c r="I1205" s="1">
        <f>COUNTA(ProductInfo[[#This Row],[P1]:[P15]])</f>
        <v>0</v>
      </c>
      <c r="J12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s="1" customFormat="1">
      <c r="A1206" s="8" t="s">
        <v>1296</v>
      </c>
      <c r="B1206" s="8" t="s">
        <v>1296</v>
      </c>
      <c r="C1206" s="1" t="str">
        <f>RIGHT(ProductInfo[[#This Row],[Drawing No]],1)</f>
        <v>0</v>
      </c>
      <c r="D1206" s="188" t="s">
        <v>2606</v>
      </c>
      <c r="E1206" s="20"/>
      <c r="F1206" s="28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6" s="43"/>
      <c r="H1206" s="43"/>
      <c r="I1206" s="1">
        <f>COUNTA(ProductInfo[[#This Row],[P1]:[P15]])</f>
        <v>0</v>
      </c>
      <c r="J12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s="1" customFormat="1">
      <c r="A1207" s="8" t="s">
        <v>1297</v>
      </c>
      <c r="B1207" s="8" t="s">
        <v>1297</v>
      </c>
      <c r="C1207" s="1" t="str">
        <f>RIGHT(ProductInfo[[#This Row],[Drawing No]],1)</f>
        <v>1</v>
      </c>
      <c r="D1207" s="179" t="s">
        <v>2607</v>
      </c>
      <c r="E1207" s="18"/>
      <c r="F120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7" s="32"/>
      <c r="H1207" s="32"/>
      <c r="I1207" s="1">
        <f>COUNTA(ProductInfo[[#This Row],[P1]:[P15]])</f>
        <v>0</v>
      </c>
      <c r="J12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s="1" customFormat="1">
      <c r="A1208" s="8" t="s">
        <v>1298</v>
      </c>
      <c r="B1208" s="8" t="s">
        <v>1298</v>
      </c>
      <c r="C1208" s="1" t="str">
        <f>RIGHT(ProductInfo[[#This Row],[Drawing No]],1)</f>
        <v>0</v>
      </c>
      <c r="D1208" s="176" t="s">
        <v>3052</v>
      </c>
      <c r="E1208" s="16"/>
      <c r="F12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8" s="31"/>
      <c r="H1208" s="31"/>
      <c r="I1208" s="1">
        <f>COUNTA(ProductInfo[[#This Row],[P1]:[P15]])</f>
        <v>0</v>
      </c>
      <c r="J12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s="1" customFormat="1">
      <c r="A1209" s="8" t="s">
        <v>1299</v>
      </c>
      <c r="B1209" s="8" t="s">
        <v>1299</v>
      </c>
      <c r="C1209" s="1" t="str">
        <f>RIGHT(ProductInfo[[#This Row],[Drawing No]],1)</f>
        <v>1</v>
      </c>
      <c r="D1209" s="176" t="s">
        <v>3053</v>
      </c>
      <c r="E1209" s="16"/>
      <c r="F12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09" s="31"/>
      <c r="H1209" s="31"/>
      <c r="I1209" s="1">
        <f>COUNTA(ProductInfo[[#This Row],[P1]:[P15]])</f>
        <v>0</v>
      </c>
      <c r="J12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s="1" customFormat="1">
      <c r="A1210" s="8" t="s">
        <v>1300</v>
      </c>
      <c r="B1210" s="8" t="s">
        <v>1300</v>
      </c>
      <c r="C1210" s="1" t="str">
        <f>RIGHT(ProductInfo[[#This Row],[Drawing No]],1)</f>
        <v>0</v>
      </c>
      <c r="D1210" s="176" t="s">
        <v>2608</v>
      </c>
      <c r="E1210" s="16"/>
      <c r="F12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0" s="31"/>
      <c r="H1210" s="31"/>
      <c r="I1210" s="1">
        <f>COUNTA(ProductInfo[[#This Row],[P1]:[P15]])</f>
        <v>0</v>
      </c>
      <c r="J12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s="1" customFormat="1">
      <c r="A1211" s="8" t="s">
        <v>3879</v>
      </c>
      <c r="B1211" s="8" t="s">
        <v>3878</v>
      </c>
      <c r="C1211" s="1" t="str">
        <f>RIGHT(ProductInfo[[#This Row],[Drawing No]],1)</f>
        <v>0</v>
      </c>
      <c r="D1211" s="179" t="s">
        <v>3054</v>
      </c>
      <c r="E1211" s="18" t="s">
        <v>3441</v>
      </c>
      <c r="F1211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1211" s="3">
        <v>70.5</v>
      </c>
      <c r="H1211" s="3"/>
      <c r="I1211" s="1">
        <f>COUNTA(ProductInfo[[#This Row],[P1]:[P15]])</f>
        <v>4</v>
      </c>
      <c r="J12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11" s="7" t="s">
        <v>12</v>
      </c>
      <c r="M1211" s="7" t="s">
        <v>13</v>
      </c>
      <c r="N1211" s="7" t="s">
        <v>15</v>
      </c>
      <c r="O1211" s="7" t="s">
        <v>14</v>
      </c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s="1" customFormat="1">
      <c r="A1212" s="8" t="s">
        <v>1301</v>
      </c>
      <c r="B1212" s="8" t="s">
        <v>1301</v>
      </c>
      <c r="C1212" s="1" t="str">
        <f>RIGHT(ProductInfo[[#This Row],[Drawing No]],1)</f>
        <v>0</v>
      </c>
      <c r="D1212" s="179" t="s">
        <v>3055</v>
      </c>
      <c r="E1212" s="18"/>
      <c r="F121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2" s="32"/>
      <c r="H1212" s="32"/>
      <c r="I1212" s="1">
        <f>COUNTA(ProductInfo[[#This Row],[P1]:[P15]])</f>
        <v>0</v>
      </c>
      <c r="J12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s="1" customFormat="1">
      <c r="A1213" s="8" t="s">
        <v>1302</v>
      </c>
      <c r="B1213" s="8" t="s">
        <v>1302</v>
      </c>
      <c r="C1213" s="1" t="str">
        <f>RIGHT(ProductInfo[[#This Row],[Drawing No]],1)</f>
        <v>0</v>
      </c>
      <c r="D1213" s="181" t="s">
        <v>1303</v>
      </c>
      <c r="E1213" s="19"/>
      <c r="F121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3" s="41"/>
      <c r="H1213" s="41"/>
      <c r="I1213" s="1">
        <f>COUNTA(ProductInfo[[#This Row],[P1]:[P15]])</f>
        <v>0</v>
      </c>
      <c r="J12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s="1" customFormat="1">
      <c r="A1214" s="8" t="s">
        <v>1304</v>
      </c>
      <c r="B1214" s="8" t="s">
        <v>1304</v>
      </c>
      <c r="C1214" s="1" t="str">
        <f>RIGHT(ProductInfo[[#This Row],[Drawing No]],1)</f>
        <v>2</v>
      </c>
      <c r="D1214" s="181" t="s">
        <v>2609</v>
      </c>
      <c r="E1214" s="19"/>
      <c r="F121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4" s="41"/>
      <c r="H1214" s="41"/>
      <c r="I1214" s="1">
        <f>COUNTA(ProductInfo[[#This Row],[P1]:[P15]])</f>
        <v>0</v>
      </c>
      <c r="J12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s="1" customFormat="1">
      <c r="A1215" s="8" t="s">
        <v>4541</v>
      </c>
      <c r="B1215" s="8" t="s">
        <v>4543</v>
      </c>
      <c r="C1215" s="1" t="str">
        <f>RIGHT(ProductInfo[[#This Row],[Drawing No]],1)</f>
        <v>0</v>
      </c>
      <c r="D1215" s="181" t="s">
        <v>4542</v>
      </c>
      <c r="E1215" s="19" t="s">
        <v>3716</v>
      </c>
      <c r="F1215" s="27" t="str">
        <f>IFERROR(INDEX(MaterialCode[รายละเอียด],MATCH(ProductInfo[[#This Row],[Material Code]],MaterialCode[Material Code],0)),"ไม่พบวัตถุดิบ")</f>
        <v>MATT FORDGE C M35</v>
      </c>
      <c r="G1215" s="41"/>
      <c r="H1215" s="3">
        <v>50</v>
      </c>
      <c r="I1215" s="1">
        <f>COUNTA(ProductInfo[[#This Row],[P1]:[P15]])</f>
        <v>3</v>
      </c>
      <c r="J12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15" s="7" t="s">
        <v>12</v>
      </c>
      <c r="M1215" s="7" t="s">
        <v>13</v>
      </c>
      <c r="N1215" s="7" t="s">
        <v>15</v>
      </c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s="1" customFormat="1">
      <c r="A1216" s="8" t="s">
        <v>1305</v>
      </c>
      <c r="B1216" s="8" t="s">
        <v>1305</v>
      </c>
      <c r="C1216" s="1" t="str">
        <f>RIGHT(ProductInfo[[#This Row],[Drawing No]],1)</f>
        <v>0</v>
      </c>
      <c r="D1216" s="181" t="s">
        <v>1303</v>
      </c>
      <c r="E1216" s="19"/>
      <c r="F121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6" s="41"/>
      <c r="H1216" s="41"/>
      <c r="I1216" s="1">
        <f>COUNTA(ProductInfo[[#This Row],[P1]:[P15]])</f>
        <v>0</v>
      </c>
      <c r="J12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s="1" customFormat="1">
      <c r="A1217" s="8" t="s">
        <v>1306</v>
      </c>
      <c r="B1217" s="8" t="s">
        <v>1306</v>
      </c>
      <c r="C1217" s="1" t="str">
        <f>RIGHT(ProductInfo[[#This Row],[Drawing No]],1)</f>
        <v>2</v>
      </c>
      <c r="D1217" s="181" t="s">
        <v>3056</v>
      </c>
      <c r="E1217" s="19"/>
      <c r="F1217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7" s="41"/>
      <c r="H1217" s="41"/>
      <c r="I1217" s="1">
        <f>COUNTA(ProductInfo[[#This Row],[P1]:[P15]])</f>
        <v>0</v>
      </c>
      <c r="J12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s="1" customFormat="1">
      <c r="A1218" s="8" t="s">
        <v>4546</v>
      </c>
      <c r="B1218" s="8" t="s">
        <v>4545</v>
      </c>
      <c r="C1218" s="1" t="str">
        <f>RIGHT(ProductInfo[[#This Row],[Drawing No]],1)</f>
        <v>0</v>
      </c>
      <c r="D1218" s="178" t="s">
        <v>4544</v>
      </c>
      <c r="E1218" s="17" t="s">
        <v>6529</v>
      </c>
      <c r="F1218" s="25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218" s="61">
        <v>70</v>
      </c>
      <c r="H1218" s="61">
        <v>100</v>
      </c>
      <c r="I1218" s="1">
        <f>COUNTA(ProductInfo[[#This Row],[P1]:[P15]])</f>
        <v>3</v>
      </c>
      <c r="J12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18" s="7" t="s">
        <v>12</v>
      </c>
      <c r="M1218" s="7" t="s">
        <v>13</v>
      </c>
      <c r="N1218" s="7"/>
      <c r="O1218" s="7" t="s">
        <v>15</v>
      </c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s="1" customFormat="1">
      <c r="A1219" s="8" t="s">
        <v>1307</v>
      </c>
      <c r="B1219" s="8" t="s">
        <v>1307</v>
      </c>
      <c r="C1219" s="1" t="str">
        <f>RIGHT(ProductInfo[[#This Row],[Drawing No]],1)</f>
        <v>0</v>
      </c>
      <c r="D1219" s="181" t="s">
        <v>2610</v>
      </c>
      <c r="E1219" s="19"/>
      <c r="F1219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19" s="41"/>
      <c r="H1219" s="41"/>
      <c r="I1219" s="1">
        <f>COUNTA(ProductInfo[[#This Row],[P1]:[P15]])</f>
        <v>0</v>
      </c>
      <c r="J12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s="1" customFormat="1">
      <c r="A1220" s="8" t="s">
        <v>1308</v>
      </c>
      <c r="B1220" s="8" t="s">
        <v>1308</v>
      </c>
      <c r="C1220" s="1" t="str">
        <f>RIGHT(ProductInfo[[#This Row],[Drawing No]],1)</f>
        <v>2</v>
      </c>
      <c r="D1220" s="181" t="s">
        <v>2611</v>
      </c>
      <c r="E1220" s="19"/>
      <c r="F1220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0" s="41"/>
      <c r="H1220" s="41"/>
      <c r="I1220" s="1">
        <f>COUNTA(ProductInfo[[#This Row],[P1]:[P15]])</f>
        <v>0</v>
      </c>
      <c r="J12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s="1" customFormat="1">
      <c r="A1221" s="8" t="s">
        <v>1309</v>
      </c>
      <c r="B1221" s="8" t="s">
        <v>1309</v>
      </c>
      <c r="C1221" s="1" t="str">
        <f>RIGHT(ProductInfo[[#This Row],[Drawing No]],1)</f>
        <v>3</v>
      </c>
      <c r="D1221" s="181" t="s">
        <v>2612</v>
      </c>
      <c r="E1221" s="19"/>
      <c r="F1221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1" s="41"/>
      <c r="H1221" s="59">
        <v>50</v>
      </c>
      <c r="I1221" s="1">
        <f>COUNTA(ProductInfo[[#This Row],[P1]:[P15]])</f>
        <v>0</v>
      </c>
      <c r="J12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s="1" customFormat="1">
      <c r="A1222" s="8" t="s">
        <v>1310</v>
      </c>
      <c r="B1222" s="8" t="s">
        <v>1310</v>
      </c>
      <c r="C1222" s="1" t="str">
        <f>RIGHT(ProductInfo[[#This Row],[Drawing No]],1)</f>
        <v>2</v>
      </c>
      <c r="D1222" s="181" t="s">
        <v>3057</v>
      </c>
      <c r="E1222" s="19"/>
      <c r="F1222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2" s="41"/>
      <c r="H1222" s="41"/>
      <c r="I1222" s="1">
        <f>COUNTA(ProductInfo[[#This Row],[P1]:[P15]])</f>
        <v>0</v>
      </c>
      <c r="J12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s="1" customFormat="1">
      <c r="A1223" s="8" t="s">
        <v>1311</v>
      </c>
      <c r="B1223" s="8" t="s">
        <v>1311</v>
      </c>
      <c r="C1223" s="1" t="str">
        <f>RIGHT(ProductInfo[[#This Row],[Drawing No]],1)</f>
        <v>3</v>
      </c>
      <c r="D1223" s="181" t="s">
        <v>2613</v>
      </c>
      <c r="E1223" s="19"/>
      <c r="F122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3" s="41"/>
      <c r="H1223" s="59">
        <v>50</v>
      </c>
      <c r="I1223" s="1">
        <f>COUNTA(ProductInfo[[#This Row],[P1]:[P15]])</f>
        <v>0</v>
      </c>
      <c r="J12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s="1" customFormat="1">
      <c r="A1224" s="8" t="s">
        <v>1312</v>
      </c>
      <c r="B1224" s="8" t="s">
        <v>1312</v>
      </c>
      <c r="C1224" s="1" t="str">
        <f>RIGHT(ProductInfo[[#This Row],[Drawing No]],1)</f>
        <v>0</v>
      </c>
      <c r="D1224" s="179" t="s">
        <v>3058</v>
      </c>
      <c r="E1224" s="18"/>
      <c r="F122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4" s="32"/>
      <c r="H1224" s="32"/>
      <c r="I1224" s="1">
        <f>COUNTA(ProductInfo[[#This Row],[P1]:[P15]])</f>
        <v>0</v>
      </c>
      <c r="J12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s="1" customFormat="1">
      <c r="A1225" s="8" t="s">
        <v>1313</v>
      </c>
      <c r="B1225" s="8" t="s">
        <v>1313</v>
      </c>
      <c r="C1225" s="1" t="str">
        <f>RIGHT(ProductInfo[[#This Row],[Drawing No]],1)</f>
        <v>1</v>
      </c>
      <c r="D1225" s="181" t="s">
        <v>2614</v>
      </c>
      <c r="E1225" s="19"/>
      <c r="F122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5" s="41"/>
      <c r="H1225" s="41"/>
      <c r="I1225" s="1">
        <f>COUNTA(ProductInfo[[#This Row],[P1]:[P15]])</f>
        <v>0</v>
      </c>
      <c r="J12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s="1" customFormat="1">
      <c r="A1226" s="8" t="s">
        <v>1314</v>
      </c>
      <c r="B1226" s="8" t="s">
        <v>1314</v>
      </c>
      <c r="C1226" s="1" t="str">
        <f>RIGHT(ProductInfo[[#This Row],[Drawing No]],1)</f>
        <v>0</v>
      </c>
      <c r="D1226" s="176" t="s">
        <v>2939</v>
      </c>
      <c r="E1226" s="16"/>
      <c r="F12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6" s="31"/>
      <c r="H1226" s="31"/>
      <c r="I1226" s="1">
        <f>COUNTA(ProductInfo[[#This Row],[P1]:[P15]])</f>
        <v>0</v>
      </c>
      <c r="J12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s="1" customFormat="1">
      <c r="A1227" s="8" t="s">
        <v>1315</v>
      </c>
      <c r="B1227" s="8" t="s">
        <v>1315</v>
      </c>
      <c r="C1227" s="1" t="str">
        <f>RIGHT(ProductInfo[[#This Row],[Drawing No]],1)</f>
        <v>2</v>
      </c>
      <c r="D1227" s="176" t="s">
        <v>2615</v>
      </c>
      <c r="E1227" s="16"/>
      <c r="F12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7" s="31"/>
      <c r="H1227" s="31"/>
      <c r="I1227" s="1">
        <f>COUNTA(ProductInfo[[#This Row],[P1]:[P15]])</f>
        <v>0</v>
      </c>
      <c r="J12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s="1" customFormat="1">
      <c r="A1228" s="8" t="s">
        <v>1316</v>
      </c>
      <c r="B1228" s="8" t="s">
        <v>1316</v>
      </c>
      <c r="C1228" s="1" t="str">
        <f>RIGHT(ProductInfo[[#This Row],[Drawing No]],1)</f>
        <v>3</v>
      </c>
      <c r="D1228" s="176" t="s">
        <v>2615</v>
      </c>
      <c r="E1228" s="16"/>
      <c r="F12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8" s="31"/>
      <c r="H1228" s="31"/>
      <c r="I1228" s="1">
        <f>COUNTA(ProductInfo[[#This Row],[P1]:[P15]])</f>
        <v>0</v>
      </c>
      <c r="J12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s="1" customFormat="1">
      <c r="A1229" s="8" t="s">
        <v>1317</v>
      </c>
      <c r="B1229" s="8" t="s">
        <v>1317</v>
      </c>
      <c r="C1229" s="1" t="str">
        <f>RIGHT(ProductInfo[[#This Row],[Drawing No]],1)</f>
        <v>4</v>
      </c>
      <c r="D1229" s="176" t="s">
        <v>2615</v>
      </c>
      <c r="E1229" s="16"/>
      <c r="F12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29" s="31"/>
      <c r="H1229" s="31"/>
      <c r="I1229" s="1">
        <f>COUNTA(ProductInfo[[#This Row],[P1]:[P15]])</f>
        <v>0</v>
      </c>
      <c r="J12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s="1" customFormat="1">
      <c r="A1230" s="8" t="s">
        <v>1318</v>
      </c>
      <c r="B1230" s="8" t="s">
        <v>1318</v>
      </c>
      <c r="C1230" s="1" t="str">
        <f>RIGHT(ProductInfo[[#This Row],[Drawing No]],1)</f>
        <v>5</v>
      </c>
      <c r="D1230" s="176" t="s">
        <v>1319</v>
      </c>
      <c r="E1230" s="16" t="s">
        <v>3726</v>
      </c>
      <c r="F1230" s="23" t="str">
        <f>IFERROR(INDEX(MaterialCode[รายละเอียด],MATCH(ProductInfo[[#This Row],[Material Code]],MaterialCode[Material Code],0)),"ไม่พบวัตถุดิบ")</f>
        <v>MATT FORDGE G M35</v>
      </c>
      <c r="G1230" s="31"/>
      <c r="H1230" s="3">
        <v>50</v>
      </c>
      <c r="I1230" s="1">
        <f>COUNTA(ProductInfo[[#This Row],[P1]:[P15]])</f>
        <v>4</v>
      </c>
      <c r="J12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30" s="7" t="s">
        <v>12</v>
      </c>
      <c r="M1230" s="7" t="s">
        <v>13</v>
      </c>
      <c r="N1230" s="7" t="s">
        <v>15</v>
      </c>
      <c r="O1230" s="7" t="s">
        <v>16</v>
      </c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s="1" customFormat="1">
      <c r="A1231" s="8" t="s">
        <v>1320</v>
      </c>
      <c r="B1231" s="8" t="s">
        <v>3881</v>
      </c>
      <c r="C1231" s="1" t="str">
        <f>RIGHT(ProductInfo[[#This Row],[Drawing No]],1)</f>
        <v>0</v>
      </c>
      <c r="D1231" s="176" t="s">
        <v>3183</v>
      </c>
      <c r="E1231" s="16" t="s">
        <v>3726</v>
      </c>
      <c r="F1231" s="23" t="str">
        <f>IFERROR(INDEX(MaterialCode[รายละเอียด],MATCH(ProductInfo[[#This Row],[Material Code]],MaterialCode[Material Code],0)),"ไม่พบวัตถุดิบ")</f>
        <v>MATT FORDGE G M35</v>
      </c>
      <c r="G1231" s="31"/>
      <c r="H1231" s="3">
        <v>50</v>
      </c>
      <c r="I1231" s="1">
        <f>COUNTA(ProductInfo[[#This Row],[P1]:[P15]])</f>
        <v>3</v>
      </c>
      <c r="J12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31" s="7" t="s">
        <v>12</v>
      </c>
      <c r="M1231" s="7" t="s">
        <v>13</v>
      </c>
      <c r="N1231" s="7" t="s">
        <v>16</v>
      </c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s="1" customFormat="1">
      <c r="A1232" s="8" t="s">
        <v>1321</v>
      </c>
      <c r="B1232" s="8" t="s">
        <v>1321</v>
      </c>
      <c r="C1232" s="1" t="str">
        <f>RIGHT(ProductInfo[[#This Row],[Drawing No]],1)</f>
        <v>0</v>
      </c>
      <c r="D1232" s="179" t="s">
        <v>3059</v>
      </c>
      <c r="E1232" s="18"/>
      <c r="F123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2" s="32"/>
      <c r="H1232" s="32"/>
      <c r="I1232" s="1">
        <f>COUNTA(ProductInfo[[#This Row],[P1]:[P15]])</f>
        <v>0</v>
      </c>
      <c r="J12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s="1" customFormat="1">
      <c r="A1233" s="8" t="s">
        <v>5512</v>
      </c>
      <c r="B1233" s="8" t="s">
        <v>5511</v>
      </c>
      <c r="C1233" s="2" t="str">
        <f>RIGHT(ProductInfo[[#This Row],[Drawing No]],1)</f>
        <v>0</v>
      </c>
      <c r="D1233" s="176" t="s">
        <v>5513</v>
      </c>
      <c r="E1233" s="16" t="s">
        <v>5627</v>
      </c>
      <c r="F1233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233" s="59">
        <v>1</v>
      </c>
      <c r="H1233" s="59">
        <v>50</v>
      </c>
      <c r="I1233" s="1">
        <f>COUNTA(ProductInfo[[#This Row],[P1]:[P15]])</f>
        <v>4</v>
      </c>
      <c r="J12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33" s="4" t="s">
        <v>12</v>
      </c>
      <c r="M1233" s="4" t="s">
        <v>13</v>
      </c>
      <c r="N1233" s="4" t="s">
        <v>16</v>
      </c>
      <c r="O1233" s="4" t="s">
        <v>19</v>
      </c>
      <c r="P1233" s="7"/>
      <c r="Q1233" s="7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s="1" customFormat="1">
      <c r="A1234" s="8" t="s">
        <v>1322</v>
      </c>
      <c r="B1234" s="8" t="s">
        <v>1322</v>
      </c>
      <c r="C1234" s="1" t="str">
        <f>RIGHT(ProductInfo[[#This Row],[Drawing No]],1)</f>
        <v>0</v>
      </c>
      <c r="D1234" s="176" t="s">
        <v>2616</v>
      </c>
      <c r="E1234" s="16"/>
      <c r="F12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4" s="31"/>
      <c r="H1234" s="31"/>
      <c r="I1234" s="1">
        <f>COUNTA(ProductInfo[[#This Row],[P1]:[P15]])</f>
        <v>0</v>
      </c>
      <c r="J12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s="1" customFormat="1">
      <c r="A1235" s="8" t="s">
        <v>1323</v>
      </c>
      <c r="B1235" s="8" t="s">
        <v>1323</v>
      </c>
      <c r="C1235" s="1" t="str">
        <f>RIGHT(ProductInfo[[#This Row],[Drawing No]],1)</f>
        <v>1</v>
      </c>
      <c r="D1235" s="176" t="s">
        <v>2616</v>
      </c>
      <c r="E1235" s="16"/>
      <c r="F12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5" s="31"/>
      <c r="H1235" s="31"/>
      <c r="I1235" s="1">
        <f>COUNTA(ProductInfo[[#This Row],[P1]:[P15]])</f>
        <v>0</v>
      </c>
      <c r="J12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s="1" customFormat="1">
      <c r="A1236" s="8" t="s">
        <v>1324</v>
      </c>
      <c r="B1236" s="8" t="s">
        <v>1324</v>
      </c>
      <c r="C1236" s="1" t="str">
        <f>RIGHT(ProductInfo[[#This Row],[Drawing No]],1)</f>
        <v>2</v>
      </c>
      <c r="D1236" s="176" t="s">
        <v>2617</v>
      </c>
      <c r="E1236" s="16"/>
      <c r="F12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6" s="31"/>
      <c r="H1236" s="31"/>
      <c r="I1236" s="1">
        <f>COUNTA(ProductInfo[[#This Row],[P1]:[P15]])</f>
        <v>0</v>
      </c>
      <c r="J12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s="1" customFormat="1">
      <c r="A1237" s="8" t="s">
        <v>1325</v>
      </c>
      <c r="B1237" s="8" t="s">
        <v>1325</v>
      </c>
      <c r="C1237" s="1" t="str">
        <f>RIGHT(ProductInfo[[#This Row],[Drawing No]],1)</f>
        <v>3</v>
      </c>
      <c r="D1237" s="176" t="s">
        <v>2618</v>
      </c>
      <c r="E1237" s="16"/>
      <c r="F12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7" s="31"/>
      <c r="H1237" s="31"/>
      <c r="I1237" s="1">
        <f>COUNTA(ProductInfo[[#This Row],[P1]:[P15]])</f>
        <v>0</v>
      </c>
      <c r="J12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s="1" customFormat="1">
      <c r="A1238" s="8" t="s">
        <v>1326</v>
      </c>
      <c r="B1238" s="8" t="s">
        <v>1326</v>
      </c>
      <c r="C1238" s="1" t="str">
        <f>RIGHT(ProductInfo[[#This Row],[Drawing No]],1)</f>
        <v>4</v>
      </c>
      <c r="D1238" s="176" t="s">
        <v>2618</v>
      </c>
      <c r="E1238" s="16"/>
      <c r="F12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38" s="31"/>
      <c r="H1238" s="31"/>
      <c r="I1238" s="1">
        <f>COUNTA(ProductInfo[[#This Row],[P1]:[P15]])</f>
        <v>0</v>
      </c>
      <c r="J12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s="1" customFormat="1">
      <c r="A1239" s="8" t="s">
        <v>1327</v>
      </c>
      <c r="B1239" s="8" t="s">
        <v>3727</v>
      </c>
      <c r="C1239" s="1" t="str">
        <f>RIGHT(ProductInfo[[#This Row],[Drawing No]],1)</f>
        <v>0</v>
      </c>
      <c r="D1239" s="176" t="s">
        <v>2618</v>
      </c>
      <c r="E1239" s="16" t="s">
        <v>3716</v>
      </c>
      <c r="F1239" s="23" t="str">
        <f>IFERROR(INDEX(MaterialCode[รายละเอียด],MATCH(ProductInfo[[#This Row],[Material Code]],MaterialCode[Material Code],0)),"ไม่พบวัตถุดิบ")</f>
        <v>MATT FORDGE C M35</v>
      </c>
      <c r="G1239" s="31"/>
      <c r="H1239" s="3">
        <v>50</v>
      </c>
      <c r="I1239" s="1">
        <f>COUNTA(ProductInfo[[#This Row],[P1]:[P15]])</f>
        <v>3</v>
      </c>
      <c r="J12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39" s="7" t="s">
        <v>12</v>
      </c>
      <c r="M1239" s="7" t="s">
        <v>13</v>
      </c>
      <c r="N1239" s="7"/>
      <c r="O1239" s="7" t="s">
        <v>14</v>
      </c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s="1" customFormat="1">
      <c r="A1240" s="8" t="s">
        <v>1328</v>
      </c>
      <c r="B1240" s="8" t="s">
        <v>1328</v>
      </c>
      <c r="C1240" s="1" t="str">
        <f>RIGHT(ProductInfo[[#This Row],[Drawing No]],1)</f>
        <v>0</v>
      </c>
      <c r="D1240" s="176" t="s">
        <v>2619</v>
      </c>
      <c r="E1240" s="16"/>
      <c r="F12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40" s="31"/>
      <c r="H1240" s="31"/>
      <c r="I1240" s="1">
        <f>COUNTA(ProductInfo[[#This Row],[P1]:[P15]])</f>
        <v>0</v>
      </c>
      <c r="J12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s="1" customFormat="1">
      <c r="A1241" s="8" t="s">
        <v>4148</v>
      </c>
      <c r="B1241" s="8" t="s">
        <v>4412</v>
      </c>
      <c r="C1241" s="2" t="str">
        <f>RIGHT(ProductInfo[[#This Row],[Drawing No]],1)</f>
        <v>1</v>
      </c>
      <c r="D1241" s="176" t="s">
        <v>4150</v>
      </c>
      <c r="E1241" s="16" t="s">
        <v>3739</v>
      </c>
      <c r="F1241" s="23" t="str">
        <f>IFERROR(INDEX(MaterialCode[รายละเอียด],MATCH(ProductInfo[[#This Row],[Material Code]],MaterialCode[Material Code],0)),"ไม่พบวัตถุดิบ")</f>
        <v>MATT FORDGE C EURO M35</v>
      </c>
      <c r="G1241" s="31"/>
      <c r="H1241" s="3">
        <v>50</v>
      </c>
      <c r="I1241" s="2">
        <f>COUNTA(ProductInfo[[#This Row],[P1]:[P15]])</f>
        <v>4</v>
      </c>
      <c r="J12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41" s="7" t="s">
        <v>12</v>
      </c>
      <c r="M1241" s="7" t="s">
        <v>13</v>
      </c>
      <c r="N1241" s="7"/>
      <c r="O1241" s="7" t="s">
        <v>14</v>
      </c>
      <c r="P1241" s="7"/>
      <c r="Q1241" s="7"/>
      <c r="R1241" s="7"/>
      <c r="S1241" s="7" t="s">
        <v>25</v>
      </c>
      <c r="T1241" s="7"/>
      <c r="U1241" s="7"/>
      <c r="V1241" s="7"/>
      <c r="W1241" s="7"/>
      <c r="X1241" s="7"/>
      <c r="Y1241" s="7"/>
      <c r="Z1241" s="7"/>
    </row>
    <row r="1242" spans="1:26" s="1" customFormat="1">
      <c r="A1242" s="8" t="s">
        <v>1329</v>
      </c>
      <c r="B1242" s="8" t="s">
        <v>4422</v>
      </c>
      <c r="C1242" s="2" t="str">
        <f>RIGHT(ProductInfo[[#This Row],[Drawing No]],1)</f>
        <v>2</v>
      </c>
      <c r="D1242" s="176" t="s">
        <v>4413</v>
      </c>
      <c r="E1242" s="16" t="s">
        <v>3739</v>
      </c>
      <c r="F1242" s="23" t="str">
        <f>IFERROR(INDEX(MaterialCode[รายละเอียด],MATCH(ProductInfo[[#This Row],[Material Code]],MaterialCode[Material Code],0)),"ไม่พบวัตถุดิบ")</f>
        <v>MATT FORDGE C EURO M35</v>
      </c>
      <c r="G1242" s="31"/>
      <c r="H1242" s="3">
        <v>50</v>
      </c>
      <c r="I1242" s="1">
        <f>COUNTA(ProductInfo[[#This Row],[P1]:[P15]])</f>
        <v>4</v>
      </c>
      <c r="J12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42" s="4" t="s">
        <v>12</v>
      </c>
      <c r="M1242" s="4" t="s">
        <v>13</v>
      </c>
      <c r="N1242" s="4" t="s">
        <v>16</v>
      </c>
      <c r="O1242" s="7" t="s">
        <v>19</v>
      </c>
      <c r="P1242" s="7"/>
      <c r="Q1242" s="7"/>
      <c r="R1242" s="7"/>
      <c r="S1242" s="4"/>
      <c r="T1242" s="4"/>
      <c r="U1242" s="4"/>
      <c r="V1242" s="4"/>
      <c r="W1242" s="4"/>
      <c r="X1242" s="4"/>
      <c r="Y1242" s="4"/>
      <c r="Z1242" s="4"/>
    </row>
    <row r="1243" spans="1:26" s="1" customFormat="1">
      <c r="A1243" s="8" t="s">
        <v>4277</v>
      </c>
      <c r="B1243" s="8" t="s">
        <v>4276</v>
      </c>
      <c r="C1243" s="1" t="str">
        <f>RIGHT(ProductInfo[[#This Row],[Drawing No]],1)</f>
        <v>0</v>
      </c>
      <c r="D1243" s="179" t="s">
        <v>2842</v>
      </c>
      <c r="E1243" s="18" t="s">
        <v>3716</v>
      </c>
      <c r="F1243" s="26" t="str">
        <f>IFERROR(INDEX(MaterialCode[รายละเอียด],MATCH(ProductInfo[[#This Row],[Material Code]],MaterialCode[Material Code],0)),"ไม่พบวัตถุดิบ")</f>
        <v>MATT FORDGE C M35</v>
      </c>
      <c r="G1243" s="32"/>
      <c r="H1243" s="3">
        <v>50</v>
      </c>
      <c r="I1243" s="1">
        <f>COUNTA(ProductInfo[[#This Row],[P1]:[P15]])</f>
        <v>3</v>
      </c>
      <c r="J12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43" s="7" t="s">
        <v>12</v>
      </c>
      <c r="M1243" s="7" t="s">
        <v>13</v>
      </c>
      <c r="N1243" s="7" t="s">
        <v>16</v>
      </c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s="1" customFormat="1">
      <c r="A1244" s="8" t="s">
        <v>1330</v>
      </c>
      <c r="B1244" s="8" t="s">
        <v>3755</v>
      </c>
      <c r="C1244" s="1" t="str">
        <f>RIGHT(ProductInfo[[#This Row],[Drawing No]],1)</f>
        <v>0</v>
      </c>
      <c r="D1244" s="176" t="s">
        <v>2620</v>
      </c>
      <c r="E1244" s="16" t="s">
        <v>3716</v>
      </c>
      <c r="F1244" s="23" t="str">
        <f>IFERROR(INDEX(MaterialCode[รายละเอียด],MATCH(ProductInfo[[#This Row],[Material Code]],MaterialCode[Material Code],0)),"ไม่พบวัตถุดิบ")</f>
        <v>MATT FORDGE C M35</v>
      </c>
      <c r="G1244" s="31"/>
      <c r="H1244" s="3">
        <v>50</v>
      </c>
      <c r="I1244" s="1">
        <f>COUNTA(ProductInfo[[#This Row],[P1]:[P15]])</f>
        <v>3</v>
      </c>
      <c r="J12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44" s="7" t="s">
        <v>12</v>
      </c>
      <c r="M1244" s="7" t="s">
        <v>13</v>
      </c>
      <c r="N1244" s="7"/>
      <c r="O1244" s="7" t="s">
        <v>14</v>
      </c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s="1" customFormat="1">
      <c r="A1245" s="8" t="s">
        <v>1331</v>
      </c>
      <c r="B1245" s="8" t="s">
        <v>1331</v>
      </c>
      <c r="C1245" s="1" t="str">
        <f>RIGHT(ProductInfo[[#This Row],[Drawing No]],1)</f>
        <v>0</v>
      </c>
      <c r="D1245" s="176" t="s">
        <v>2621</v>
      </c>
      <c r="E1245" s="16"/>
      <c r="F12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45" s="31"/>
      <c r="H1245" s="3">
        <v>50</v>
      </c>
      <c r="I1245" s="1">
        <f>COUNTA(ProductInfo[[#This Row],[P1]:[P15]])</f>
        <v>4</v>
      </c>
      <c r="J12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45" s="4" t="s">
        <v>12</v>
      </c>
      <c r="M1245" s="7" t="s">
        <v>13</v>
      </c>
      <c r="N1245" s="4" t="s">
        <v>15</v>
      </c>
      <c r="O1245" s="4" t="s">
        <v>16</v>
      </c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s="1" customFormat="1">
      <c r="A1246" s="8" t="s">
        <v>1332</v>
      </c>
      <c r="B1246" s="8" t="s">
        <v>1332</v>
      </c>
      <c r="C1246" s="1" t="str">
        <f>RIGHT(ProductInfo[[#This Row],[Drawing No]],1)</f>
        <v>1</v>
      </c>
      <c r="D1246" s="176" t="s">
        <v>2621</v>
      </c>
      <c r="E1246" s="16"/>
      <c r="F12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46" s="31"/>
      <c r="H1246" s="3">
        <v>50</v>
      </c>
      <c r="I1246" s="1">
        <f>COUNTA(ProductInfo[[#This Row],[P1]:[P15]])</f>
        <v>4</v>
      </c>
      <c r="J12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46" s="4" t="s">
        <v>12</v>
      </c>
      <c r="M1246" s="7" t="s">
        <v>13</v>
      </c>
      <c r="N1246" s="4" t="s">
        <v>15</v>
      </c>
      <c r="O1246" s="4" t="s">
        <v>16</v>
      </c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s="1" customFormat="1">
      <c r="A1247" s="8" t="s">
        <v>1333</v>
      </c>
      <c r="B1247" s="8" t="s">
        <v>1333</v>
      </c>
      <c r="C1247" s="1" t="str">
        <f>RIGHT(ProductInfo[[#This Row],[Drawing No]],1)</f>
        <v>2</v>
      </c>
      <c r="D1247" s="176" t="s">
        <v>2622</v>
      </c>
      <c r="E1247" s="16"/>
      <c r="F12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47" s="31"/>
      <c r="H1247" s="3">
        <v>50</v>
      </c>
      <c r="I1247" s="1">
        <f>COUNTA(ProductInfo[[#This Row],[P1]:[P15]])</f>
        <v>4</v>
      </c>
      <c r="J12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47" s="4" t="s">
        <v>12</v>
      </c>
      <c r="M1247" s="7" t="s">
        <v>13</v>
      </c>
      <c r="N1247" s="4" t="s">
        <v>15</v>
      </c>
      <c r="O1247" s="4" t="s">
        <v>16</v>
      </c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s="1" customFormat="1">
      <c r="A1248" s="8" t="s">
        <v>1334</v>
      </c>
      <c r="B1248" s="8" t="s">
        <v>1334</v>
      </c>
      <c r="C1248" s="1" t="str">
        <f>RIGHT(ProductInfo[[#This Row],[Drawing No]],1)</f>
        <v>3</v>
      </c>
      <c r="D1248" s="176" t="s">
        <v>2622</v>
      </c>
      <c r="E1248" s="16" t="s">
        <v>3718</v>
      </c>
      <c r="F1248" s="23" t="str">
        <f>IFERROR(INDEX(MaterialCode[รายละเอียด],MATCH(ProductInfo[[#This Row],[Material Code]],MaterialCode[Material Code],0)),"ไม่พบวัตถุดิบ")</f>
        <v>MATT FORDGE G M35</v>
      </c>
      <c r="G1248" s="59">
        <v>1</v>
      </c>
      <c r="H1248" s="3">
        <v>50</v>
      </c>
      <c r="I1248" s="1">
        <f>COUNTA(ProductInfo[[#This Row],[P1]:[P15]])</f>
        <v>4</v>
      </c>
      <c r="J12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48" s="4" t="s">
        <v>12</v>
      </c>
      <c r="M1248" s="7" t="s">
        <v>13</v>
      </c>
      <c r="N1248" s="4" t="s">
        <v>15</v>
      </c>
      <c r="O1248" s="4" t="s">
        <v>16</v>
      </c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s="1" customFormat="1">
      <c r="A1249" s="8" t="s">
        <v>1335</v>
      </c>
      <c r="B1249" s="8" t="s">
        <v>3331</v>
      </c>
      <c r="C1249" s="2" t="str">
        <f>RIGHT(ProductInfo[[#This Row],[Drawing No]],1)</f>
        <v>0</v>
      </c>
      <c r="D1249" s="176" t="s">
        <v>3257</v>
      </c>
      <c r="E1249" s="16" t="s">
        <v>3718</v>
      </c>
      <c r="F1249" s="23" t="str">
        <f>IFERROR(INDEX(MaterialCode[รายละเอียด],MATCH(ProductInfo[[#This Row],[Material Code]],MaterialCode[Material Code],0)),"ไม่พบวัตถุดิบ")</f>
        <v>MATT FORDGE G M35</v>
      </c>
      <c r="G1249" s="59">
        <v>1</v>
      </c>
      <c r="H1249" s="3">
        <v>50</v>
      </c>
      <c r="I1249" s="2">
        <f>COUNTA(ProductInfo[[#This Row],[P1]:[P15]])</f>
        <v>3</v>
      </c>
      <c r="J1249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49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49" s="4" t="s">
        <v>12</v>
      </c>
      <c r="M1249" s="7" t="s">
        <v>13</v>
      </c>
      <c r="N1249" s="4" t="s">
        <v>15</v>
      </c>
      <c r="O1249" s="7"/>
      <c r="P1249" s="7"/>
      <c r="Q1249" s="7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s="1" customFormat="1">
      <c r="A1250" s="8" t="s">
        <v>1336</v>
      </c>
      <c r="B1250" s="8" t="s">
        <v>1336</v>
      </c>
      <c r="C1250" s="1" t="str">
        <f>RIGHT(ProductInfo[[#This Row],[Drawing No]],1)</f>
        <v>0</v>
      </c>
      <c r="D1250" s="179" t="s">
        <v>3060</v>
      </c>
      <c r="E1250" s="18"/>
      <c r="F125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50" s="32"/>
      <c r="H1250" s="3">
        <v>50</v>
      </c>
      <c r="I1250" s="1">
        <f>COUNTA(ProductInfo[[#This Row],[P1]:[P15]])</f>
        <v>0</v>
      </c>
      <c r="J12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s="1" customFormat="1">
      <c r="A1251" s="8" t="s">
        <v>1337</v>
      </c>
      <c r="B1251" s="8" t="s">
        <v>1337</v>
      </c>
      <c r="C1251" s="1" t="str">
        <f>RIGHT(ProductInfo[[#This Row],[Drawing No]],1)</f>
        <v>2</v>
      </c>
      <c r="D1251" s="176" t="s">
        <v>3184</v>
      </c>
      <c r="E1251" s="16"/>
      <c r="F12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51" s="31"/>
      <c r="H1251" s="3">
        <v>50</v>
      </c>
      <c r="I1251" s="1">
        <f>COUNTA(ProductInfo[[#This Row],[P1]:[P15]])</f>
        <v>0</v>
      </c>
      <c r="J12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s="1" customFormat="1">
      <c r="A1252" s="8" t="s">
        <v>1338</v>
      </c>
      <c r="B1252" s="8" t="s">
        <v>4102</v>
      </c>
      <c r="C1252" s="2" t="str">
        <f>RIGHT(ProductInfo[[#This Row],[Drawing No]],1)</f>
        <v>2</v>
      </c>
      <c r="D1252" s="176" t="s">
        <v>4215</v>
      </c>
      <c r="E1252" s="16" t="s">
        <v>3701</v>
      </c>
      <c r="F1252" s="23" t="str">
        <f>IFERROR(INDEX(MaterialCode[รายละเอียด],MATCH(ProductInfo[[#This Row],[Material Code]],MaterialCode[Material Code],0)),"ไม่พบวัตถุดิบ")</f>
        <v>MATT FORDGE G M42</v>
      </c>
      <c r="G1252" s="31"/>
      <c r="H1252" s="3">
        <v>40</v>
      </c>
      <c r="I1252" s="1">
        <f>COUNTA(ProductInfo[[#This Row],[P1]:[P15]])</f>
        <v>3</v>
      </c>
      <c r="J12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2" s="7" t="s">
        <v>12</v>
      </c>
      <c r="M1252" s="7" t="s">
        <v>13</v>
      </c>
      <c r="N1252" s="7" t="s">
        <v>14</v>
      </c>
      <c r="O1252" s="7"/>
      <c r="P1252" s="7"/>
      <c r="Q1252" s="7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s="1" customFormat="1">
      <c r="A1253" s="8" t="s">
        <v>1339</v>
      </c>
      <c r="B1253" s="8" t="s">
        <v>4088</v>
      </c>
      <c r="C1253" s="2" t="str">
        <f>RIGHT(ProductInfo[[#This Row],[Drawing No]],1)</f>
        <v>1</v>
      </c>
      <c r="D1253" s="179" t="s">
        <v>3061</v>
      </c>
      <c r="E1253" s="16" t="s">
        <v>3701</v>
      </c>
      <c r="F1253" s="23" t="str">
        <f>IFERROR(INDEX(MaterialCode[รายละเอียด],MATCH(ProductInfo[[#This Row],[Material Code]],MaterialCode[Material Code],0)),"ไม่พบวัตถุดิบ")</f>
        <v>MATT FORDGE G M42</v>
      </c>
      <c r="G1253" s="31"/>
      <c r="H1253" s="3">
        <v>40</v>
      </c>
      <c r="I1253" s="2">
        <f>COUNTA(ProductInfo[[#This Row],[P1]:[P15]])</f>
        <v>5</v>
      </c>
      <c r="J12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53" s="7" t="s">
        <v>12</v>
      </c>
      <c r="M1253" s="7" t="s">
        <v>13</v>
      </c>
      <c r="N1253" s="7" t="s">
        <v>14</v>
      </c>
      <c r="O1253" s="4" t="s">
        <v>15</v>
      </c>
      <c r="P1253" s="4" t="s">
        <v>16</v>
      </c>
      <c r="Q1253" s="7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s="1" customFormat="1">
      <c r="A1254" s="8" t="s">
        <v>4424</v>
      </c>
      <c r="B1254" s="8" t="s">
        <v>4423</v>
      </c>
      <c r="C1254" s="2" t="str">
        <f>RIGHT(ProductInfo[[#This Row],[Drawing No]],1)</f>
        <v>0</v>
      </c>
      <c r="D1254" s="176" t="s">
        <v>4425</v>
      </c>
      <c r="E1254" s="16"/>
      <c r="F12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54" s="31"/>
      <c r="H1254" s="3">
        <v>50</v>
      </c>
      <c r="I1254" s="1">
        <f>COUNTA(ProductInfo[[#This Row],[P1]:[P15]])</f>
        <v>0</v>
      </c>
      <c r="J12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4" s="4"/>
      <c r="M1254" s="4"/>
      <c r="N1254" s="4"/>
      <c r="O1254" s="7"/>
      <c r="P1254" s="7"/>
      <c r="Q1254" s="7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s="1" customFormat="1">
      <c r="A1255" s="8" t="s">
        <v>4447</v>
      </c>
      <c r="B1255" s="8" t="s">
        <v>4446</v>
      </c>
      <c r="C1255" s="2" t="str">
        <f>RIGHT(ProductInfo[[#This Row],[Drawing No]],1)</f>
        <v>0</v>
      </c>
      <c r="D1255" s="176" t="s">
        <v>4448</v>
      </c>
      <c r="E1255" s="16"/>
      <c r="F12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55" s="31"/>
      <c r="H1255" s="31"/>
      <c r="I1255" s="1">
        <f>COUNTA(ProductInfo[[#This Row],[P1]:[P15]])</f>
        <v>1</v>
      </c>
      <c r="J12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5" s="4" t="s">
        <v>12</v>
      </c>
      <c r="M1255" s="4"/>
      <c r="N1255" s="4"/>
      <c r="O1255" s="7"/>
      <c r="P1255" s="7"/>
      <c r="Q1255" s="7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s="1" customFormat="1">
      <c r="A1256" s="8" t="s">
        <v>4496</v>
      </c>
      <c r="B1256" s="8" t="s">
        <v>4495</v>
      </c>
      <c r="C1256" s="2" t="str">
        <f>RIGHT(ProductInfo[[#This Row],[Drawing No]],1)</f>
        <v>0</v>
      </c>
      <c r="D1256" s="182" t="s">
        <v>4448</v>
      </c>
      <c r="E1256" s="16" t="s">
        <v>5665</v>
      </c>
      <c r="F1256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256" s="59">
        <v>1</v>
      </c>
      <c r="H1256" s="3">
        <v>40</v>
      </c>
      <c r="I1256" s="1">
        <f>COUNTA(ProductInfo[[#This Row],[P1]:[P15]])</f>
        <v>2</v>
      </c>
      <c r="J12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56" s="4" t="s">
        <v>15</v>
      </c>
      <c r="M1256" s="4" t="s">
        <v>12</v>
      </c>
      <c r="N1256" s="7"/>
      <c r="O1256" s="7"/>
      <c r="P1256" s="7"/>
      <c r="Q1256" s="7"/>
      <c r="R1256" s="7"/>
      <c r="S1256" s="7"/>
      <c r="T1256" s="4"/>
      <c r="U1256" s="4"/>
      <c r="V1256" s="4"/>
      <c r="W1256" s="4"/>
      <c r="X1256" s="4"/>
      <c r="Y1256" s="4"/>
      <c r="Z1256" s="4"/>
    </row>
    <row r="1257" spans="1:26" s="1" customFormat="1">
      <c r="A1257" s="8" t="s">
        <v>4427</v>
      </c>
      <c r="B1257" s="8" t="s">
        <v>4426</v>
      </c>
      <c r="C1257" s="2" t="str">
        <f>RIGHT(ProductInfo[[#This Row],[Drawing No]],1)</f>
        <v>0</v>
      </c>
      <c r="D1257" s="182" t="s">
        <v>4425</v>
      </c>
      <c r="E1257" s="16" t="s">
        <v>5665</v>
      </c>
      <c r="F1257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257" s="59">
        <v>1</v>
      </c>
      <c r="H1257" s="3">
        <v>40</v>
      </c>
      <c r="I1257" s="1">
        <f>COUNTA(ProductInfo[[#This Row],[P1]:[P15]])</f>
        <v>0</v>
      </c>
      <c r="J12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57" s="4"/>
      <c r="M1257" s="4"/>
      <c r="N1257" s="4"/>
      <c r="O1257" s="7"/>
      <c r="P1257" s="7"/>
      <c r="Q1257" s="7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s="1" customFormat="1">
      <c r="A1258" s="8" t="s">
        <v>4450</v>
      </c>
      <c r="B1258" s="8" t="s">
        <v>4449</v>
      </c>
      <c r="C1258" s="2" t="str">
        <f>RIGHT(ProductInfo[[#This Row],[Drawing No]],1)</f>
        <v>0</v>
      </c>
      <c r="D1258" s="176" t="s">
        <v>4448</v>
      </c>
      <c r="E1258" s="16" t="s">
        <v>5665</v>
      </c>
      <c r="F1258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258" s="59">
        <v>97.5</v>
      </c>
      <c r="H1258" s="3">
        <v>40</v>
      </c>
      <c r="I1258" s="1">
        <f>COUNTA(ProductInfo[[#This Row],[P1]:[P15]])</f>
        <v>4</v>
      </c>
      <c r="J12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58" s="4" t="s">
        <v>12</v>
      </c>
      <c r="M1258" s="4" t="s">
        <v>15</v>
      </c>
      <c r="N1258" s="4" t="s">
        <v>16</v>
      </c>
      <c r="O1258" s="7"/>
      <c r="P1258" s="7"/>
      <c r="Q1258" s="7"/>
      <c r="R1258" s="7" t="s">
        <v>13</v>
      </c>
      <c r="S1258" s="4"/>
      <c r="T1258" s="4"/>
      <c r="U1258" s="4"/>
      <c r="V1258" s="4"/>
      <c r="W1258" s="4"/>
      <c r="X1258" s="4"/>
      <c r="Y1258" s="4"/>
      <c r="Z1258" s="4"/>
    </row>
    <row r="1259" spans="1:26" s="1" customFormat="1">
      <c r="A1259" s="8" t="s">
        <v>4493</v>
      </c>
      <c r="B1259" s="8" t="s">
        <v>4492</v>
      </c>
      <c r="C1259" s="2" t="str">
        <f>RIGHT(ProductInfo[[#This Row],[Drawing No]],1)</f>
        <v>0</v>
      </c>
      <c r="D1259" s="176" t="s">
        <v>4494</v>
      </c>
      <c r="E1259" s="16" t="s">
        <v>4522</v>
      </c>
      <c r="F1259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259" s="2">
        <v>101.5</v>
      </c>
      <c r="H1259" s="2">
        <v>40</v>
      </c>
      <c r="I1259" s="1">
        <f>COUNTA(ProductInfo[[#This Row],[P1]:[P15]])</f>
        <v>7</v>
      </c>
      <c r="J12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59" s="7" t="s">
        <v>15</v>
      </c>
      <c r="M1259" s="7" t="s">
        <v>16</v>
      </c>
      <c r="N1259" s="4" t="s">
        <v>12</v>
      </c>
      <c r="O1259" s="7" t="s">
        <v>13</v>
      </c>
      <c r="P1259" s="7"/>
      <c r="Q1259" s="7" t="s">
        <v>25</v>
      </c>
      <c r="R1259" s="4" t="s">
        <v>4339</v>
      </c>
      <c r="S1259" s="4" t="s">
        <v>4661</v>
      </c>
      <c r="T1259" s="4"/>
      <c r="U1259" s="4"/>
      <c r="V1259" s="4"/>
      <c r="W1259" s="4"/>
      <c r="X1259" s="4"/>
      <c r="Y1259" s="4"/>
      <c r="Z1259" s="4"/>
    </row>
    <row r="1260" spans="1:26" s="1" customFormat="1">
      <c r="A1260" s="8" t="s">
        <v>1340</v>
      </c>
      <c r="B1260" s="8" t="s">
        <v>3742</v>
      </c>
      <c r="C1260" s="1" t="str">
        <f>RIGHT(ProductInfo[[#This Row],[Drawing No]],1)</f>
        <v>0</v>
      </c>
      <c r="D1260" s="179" t="s">
        <v>3062</v>
      </c>
      <c r="E1260" s="18" t="s">
        <v>3739</v>
      </c>
      <c r="F1260" s="26" t="str">
        <f>IFERROR(INDEX(MaterialCode[รายละเอียด],MATCH(ProductInfo[[#This Row],[Material Code]],MaterialCode[Material Code],0)),"ไม่พบวัตถุดิบ")</f>
        <v>MATT FORDGE C EURO M35</v>
      </c>
      <c r="G1260" s="32"/>
      <c r="H1260" s="3">
        <v>50</v>
      </c>
      <c r="I1260" s="1">
        <f>COUNTA(ProductInfo[[#This Row],[P1]:[P15]])</f>
        <v>3</v>
      </c>
      <c r="J12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0" s="7" t="s">
        <v>12</v>
      </c>
      <c r="M1260" s="7" t="s">
        <v>13</v>
      </c>
      <c r="N1260" s="7" t="s">
        <v>14</v>
      </c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s="1" customFormat="1">
      <c r="A1261" s="8" t="s">
        <v>1341</v>
      </c>
      <c r="B1261" s="8" t="s">
        <v>3741</v>
      </c>
      <c r="C1261" s="1" t="str">
        <f>RIGHT(ProductInfo[[#This Row],[Drawing No]],1)</f>
        <v>0</v>
      </c>
      <c r="D1261" s="179" t="s">
        <v>3063</v>
      </c>
      <c r="E1261" s="18" t="s">
        <v>3739</v>
      </c>
      <c r="F1261" s="26" t="str">
        <f>IFERROR(INDEX(MaterialCode[รายละเอียด],MATCH(ProductInfo[[#This Row],[Material Code]],MaterialCode[Material Code],0)),"ไม่พบวัตถุดิบ")</f>
        <v>MATT FORDGE C EURO M35</v>
      </c>
      <c r="G1261" s="32"/>
      <c r="H1261" s="3">
        <v>50</v>
      </c>
      <c r="I1261" s="1">
        <f>COUNTA(ProductInfo[[#This Row],[P1]:[P15]])</f>
        <v>3</v>
      </c>
      <c r="J12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1" s="7" t="s">
        <v>12</v>
      </c>
      <c r="M1261" s="7" t="s">
        <v>13</v>
      </c>
      <c r="N1261" s="7" t="s">
        <v>14</v>
      </c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s="1" customFormat="1">
      <c r="A1262" s="8" t="s">
        <v>3292</v>
      </c>
      <c r="B1262" s="8" t="s">
        <v>4795</v>
      </c>
      <c r="C1262" s="2" t="str">
        <f>RIGHT(ProductInfo[[#This Row],[Drawing No]],1)</f>
        <v>1</v>
      </c>
      <c r="D1262" s="176" t="s">
        <v>3293</v>
      </c>
      <c r="E1262" s="16" t="s">
        <v>3739</v>
      </c>
      <c r="F1262" s="23" t="str">
        <f>IFERROR(INDEX(MaterialCode[รายละเอียด],MATCH(ProductInfo[[#This Row],[Material Code]],MaterialCode[Material Code],0)),"ไม่พบวัตถุดิบ")</f>
        <v>MATT FORDGE C EURO M35</v>
      </c>
      <c r="G1262" s="59">
        <v>1</v>
      </c>
      <c r="H1262" s="3">
        <v>50</v>
      </c>
      <c r="I1262" s="1">
        <f>COUNTA(ProductInfo[[#This Row],[P1]:[P15]])</f>
        <v>3</v>
      </c>
      <c r="J12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2" s="4" t="s">
        <v>12</v>
      </c>
      <c r="M1262" s="7" t="s">
        <v>13</v>
      </c>
      <c r="N1262" s="4" t="s">
        <v>14</v>
      </c>
      <c r="O1262" s="7"/>
      <c r="P1262" s="7"/>
      <c r="Q1262" s="7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s="1" customFormat="1">
      <c r="A1263" s="8" t="s">
        <v>4774</v>
      </c>
      <c r="B1263" s="8" t="s">
        <v>5137</v>
      </c>
      <c r="C1263" s="2" t="str">
        <f>RIGHT(ProductInfo[[#This Row],[Drawing No]],1)</f>
        <v>1</v>
      </c>
      <c r="D1263" s="176" t="s">
        <v>4775</v>
      </c>
      <c r="E1263" s="16" t="s">
        <v>4522</v>
      </c>
      <c r="F1263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263" s="59">
        <v>86</v>
      </c>
      <c r="H1263" s="59">
        <v>40</v>
      </c>
      <c r="I1263" s="1">
        <f>COUNTA(ProductInfo[[#This Row],[P1]:[P15]])</f>
        <v>3</v>
      </c>
      <c r="J12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63" s="4" t="s">
        <v>15</v>
      </c>
      <c r="M1263" s="4" t="s">
        <v>12</v>
      </c>
      <c r="N1263" s="4" t="s">
        <v>25</v>
      </c>
      <c r="O1263" s="7"/>
      <c r="P1263" s="7"/>
      <c r="Q1263" s="7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s="1" customFormat="1">
      <c r="A1264" s="8" t="s">
        <v>5180</v>
      </c>
      <c r="B1264" s="8" t="s">
        <v>5179</v>
      </c>
      <c r="C1264" s="2" t="str">
        <f>RIGHT(ProductInfo[[#This Row],[Drawing No]],1)</f>
        <v>0</v>
      </c>
      <c r="D1264" s="176" t="s">
        <v>4775</v>
      </c>
      <c r="E1264" s="16" t="s">
        <v>5665</v>
      </c>
      <c r="F1264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264" s="59">
        <v>1</v>
      </c>
      <c r="H1264" s="59">
        <v>40</v>
      </c>
      <c r="I1264" s="1">
        <f>COUNTA(ProductInfo[[#This Row],[P1]:[P15]])</f>
        <v>2</v>
      </c>
      <c r="J12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4" s="4" t="s">
        <v>12</v>
      </c>
      <c r="M1264" s="4" t="s">
        <v>13</v>
      </c>
      <c r="N1264" s="4"/>
      <c r="O1264" s="7"/>
      <c r="P1264" s="7"/>
      <c r="Q1264" s="7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s="1" customFormat="1">
      <c r="A1265" s="8" t="s">
        <v>5138</v>
      </c>
      <c r="B1265" s="8" t="s">
        <v>5137</v>
      </c>
      <c r="C1265" s="2" t="str">
        <f>RIGHT(ProductInfo[[#This Row],[Drawing No]],1)</f>
        <v>1</v>
      </c>
      <c r="D1265" s="176" t="s">
        <v>5139</v>
      </c>
      <c r="E1265" s="16" t="s">
        <v>4522</v>
      </c>
      <c r="F1265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265" s="59">
        <v>86</v>
      </c>
      <c r="H1265" s="59">
        <v>40</v>
      </c>
      <c r="I1265" s="1">
        <f>COUNTA(ProductInfo[[#This Row],[P1]:[P15]])</f>
        <v>2</v>
      </c>
      <c r="J12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65" s="4" t="s">
        <v>15</v>
      </c>
      <c r="M1265" s="4" t="s">
        <v>12</v>
      </c>
      <c r="N1265" s="4"/>
      <c r="O1265" s="7"/>
      <c r="P1265" s="7"/>
      <c r="Q1265" s="7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s="1" customFormat="1">
      <c r="A1266" s="8" t="s">
        <v>5181</v>
      </c>
      <c r="B1266" s="8" t="s">
        <v>5179</v>
      </c>
      <c r="C1266" s="2" t="str">
        <f>RIGHT(ProductInfo[[#This Row],[Drawing No]],1)</f>
        <v>0</v>
      </c>
      <c r="D1266" s="176" t="s">
        <v>5139</v>
      </c>
      <c r="E1266" s="16" t="s">
        <v>5665</v>
      </c>
      <c r="F1266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1266" s="59">
        <v>1</v>
      </c>
      <c r="H1266" s="59">
        <v>40</v>
      </c>
      <c r="I1266" s="1">
        <f>COUNTA(ProductInfo[[#This Row],[P1]:[P15]])</f>
        <v>2</v>
      </c>
      <c r="J12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66" s="4" t="s">
        <v>15</v>
      </c>
      <c r="M1266" s="4" t="s">
        <v>12</v>
      </c>
      <c r="N1266" s="4"/>
      <c r="O1266" s="7"/>
      <c r="P1266" s="7"/>
      <c r="Q1266" s="7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s="1" customFormat="1">
      <c r="A1267" s="8" t="s">
        <v>5535</v>
      </c>
      <c r="B1267" s="8" t="s">
        <v>5534</v>
      </c>
      <c r="C1267" s="2" t="str">
        <f>RIGHT(ProductInfo[[#This Row],[Drawing No]],1)</f>
        <v>0</v>
      </c>
      <c r="D1267" s="176" t="s">
        <v>5537</v>
      </c>
      <c r="E1267" s="16"/>
      <c r="F12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67" s="31"/>
      <c r="H1267" s="31"/>
      <c r="I1267" s="1">
        <f>COUNTA(ProductInfo[[#This Row],[P1]:[P15]])</f>
        <v>0</v>
      </c>
      <c r="J12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67" s="4"/>
      <c r="M1267" s="4"/>
      <c r="N1267" s="4"/>
      <c r="O1267" s="7"/>
      <c r="P1267" s="7"/>
      <c r="Q1267" s="7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s="1" customFormat="1">
      <c r="A1268" s="8" t="s">
        <v>4640</v>
      </c>
      <c r="B1268" s="8" t="s">
        <v>4641</v>
      </c>
      <c r="C1268" s="2" t="str">
        <f>RIGHT(ProductInfo[[#This Row],[Drawing No]],1)</f>
        <v>1</v>
      </c>
      <c r="D1268" s="176" t="s">
        <v>4639</v>
      </c>
      <c r="E1268" s="16"/>
      <c r="F12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68" s="31"/>
      <c r="H1268" s="62">
        <v>50</v>
      </c>
      <c r="I1268" s="1">
        <f>COUNTA(ProductInfo[[#This Row],[P1]:[P15]])</f>
        <v>3</v>
      </c>
      <c r="J12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68" s="4" t="s">
        <v>12</v>
      </c>
      <c r="M1268" s="7" t="s">
        <v>15</v>
      </c>
      <c r="N1268" s="7" t="s">
        <v>16</v>
      </c>
      <c r="O1268" s="7"/>
      <c r="P1268" s="7"/>
      <c r="Q1268" s="7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s="1" customFormat="1">
      <c r="A1269" s="8" t="s">
        <v>4642</v>
      </c>
      <c r="B1269" s="8" t="s">
        <v>4643</v>
      </c>
      <c r="C1269" s="2" t="str">
        <f>RIGHT(ProductInfo[[#This Row],[Drawing No]],1)</f>
        <v>1</v>
      </c>
      <c r="D1269" s="185" t="s">
        <v>4644</v>
      </c>
      <c r="E1269" s="16"/>
      <c r="F12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69" s="31"/>
      <c r="H1269" s="59">
        <v>50</v>
      </c>
      <c r="I1269" s="1">
        <f>COUNTA(ProductInfo[[#This Row],[P1]:[P15]])</f>
        <v>3</v>
      </c>
      <c r="J12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69" s="4" t="s">
        <v>12</v>
      </c>
      <c r="M1269" s="7" t="s">
        <v>15</v>
      </c>
      <c r="N1269" s="7" t="s">
        <v>16</v>
      </c>
      <c r="O1269" s="7"/>
      <c r="P1269" s="7"/>
      <c r="Q1269" s="7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s="1" customFormat="1">
      <c r="A1270" s="8" t="s">
        <v>1342</v>
      </c>
      <c r="B1270" s="8" t="s">
        <v>3620</v>
      </c>
      <c r="C1270" s="1" t="str">
        <f>RIGHT(ProductInfo[[#This Row],[Drawing No]],1)</f>
        <v>1</v>
      </c>
      <c r="D1270" s="179" t="s">
        <v>3064</v>
      </c>
      <c r="E1270" s="18" t="s">
        <v>3421</v>
      </c>
      <c r="F1270" s="26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270" s="3">
        <v>89.5</v>
      </c>
      <c r="H1270" s="3"/>
      <c r="I1270" s="1">
        <f>COUNTA(ProductInfo[[#This Row],[P1]:[P15]])</f>
        <v>3</v>
      </c>
      <c r="J12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0" s="7" t="s">
        <v>12</v>
      </c>
      <c r="M1270" s="7" t="s">
        <v>13</v>
      </c>
      <c r="N1270" s="7" t="s">
        <v>14</v>
      </c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s="1" customFormat="1">
      <c r="A1271" s="8" t="s">
        <v>1343</v>
      </c>
      <c r="B1271" s="8" t="s">
        <v>3625</v>
      </c>
      <c r="C1271" s="1" t="str">
        <f>RIGHT(ProductInfo[[#This Row],[Drawing No]],1)</f>
        <v>0</v>
      </c>
      <c r="D1271" s="179" t="s">
        <v>1344</v>
      </c>
      <c r="E1271" s="18" t="s">
        <v>3441</v>
      </c>
      <c r="F1271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1271" s="3">
        <v>52</v>
      </c>
      <c r="H1271" s="3"/>
      <c r="I1271" s="1">
        <f>COUNTA(ProductInfo[[#This Row],[P1]:[P15]])</f>
        <v>3</v>
      </c>
      <c r="J12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1" s="7" t="s">
        <v>12</v>
      </c>
      <c r="M1271" s="7" t="s">
        <v>13</v>
      </c>
      <c r="N1271" s="7" t="s">
        <v>14</v>
      </c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s="1" customFormat="1">
      <c r="A1272" s="8" t="s">
        <v>3294</v>
      </c>
      <c r="B1272" s="8" t="s">
        <v>3295</v>
      </c>
      <c r="C1272" s="2" t="str">
        <f>RIGHT(ProductInfo[[#This Row],[Drawing No]],1)</f>
        <v>0</v>
      </c>
      <c r="D1272" s="176" t="s">
        <v>3296</v>
      </c>
      <c r="E1272" s="16" t="s">
        <v>3441</v>
      </c>
      <c r="F1272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1272" s="59">
        <v>52</v>
      </c>
      <c r="H1272" s="59">
        <v>50</v>
      </c>
      <c r="I1272" s="2">
        <f>COUNTA(ProductInfo[[#This Row],[P1]:[P15]])</f>
        <v>3</v>
      </c>
      <c r="J12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272" s="4" t="s">
        <v>12</v>
      </c>
      <c r="M1272" s="7" t="s">
        <v>13</v>
      </c>
      <c r="N1272" s="4" t="s">
        <v>15</v>
      </c>
      <c r="O1272" s="7"/>
      <c r="P1272" s="7"/>
      <c r="Q1272" s="7"/>
      <c r="R1272" s="7"/>
      <c r="S1272" s="4"/>
      <c r="T1272" s="7"/>
      <c r="U1272" s="7"/>
      <c r="V1272" s="7"/>
      <c r="W1272" s="7"/>
      <c r="X1272" s="7"/>
      <c r="Y1272" s="7"/>
      <c r="Z1272" s="7"/>
    </row>
    <row r="1273" spans="1:26" s="1" customFormat="1">
      <c r="A1273" s="8" t="s">
        <v>3764</v>
      </c>
      <c r="B1273" s="8" t="s">
        <v>3763</v>
      </c>
      <c r="C1273" s="2" t="str">
        <f>RIGHT(ProductInfo[[#This Row],[Drawing No]],1)</f>
        <v>0</v>
      </c>
      <c r="D1273" s="176" t="s">
        <v>3762</v>
      </c>
      <c r="E1273" s="16" t="s">
        <v>3421</v>
      </c>
      <c r="F1273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273" s="59">
        <v>91.5</v>
      </c>
      <c r="H1273" s="59"/>
      <c r="I1273" s="2">
        <f>COUNTA(ProductInfo[[#This Row],[P1]:[P15]])</f>
        <v>3</v>
      </c>
      <c r="J12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3" s="4" t="s">
        <v>12</v>
      </c>
      <c r="M1273" s="4" t="s">
        <v>13</v>
      </c>
      <c r="N1273" s="4" t="s">
        <v>14</v>
      </c>
      <c r="O1273" s="7"/>
      <c r="P1273" s="7"/>
      <c r="Q1273" s="7"/>
      <c r="R1273" s="7"/>
      <c r="S1273" s="4"/>
      <c r="T1273" s="7"/>
      <c r="U1273" s="7"/>
      <c r="V1273" s="7"/>
      <c r="W1273" s="7"/>
      <c r="X1273" s="7"/>
      <c r="Y1273" s="7"/>
      <c r="Z1273" s="7"/>
    </row>
    <row r="1274" spans="1:26" s="1" customFormat="1">
      <c r="A1274" s="8" t="s">
        <v>5049</v>
      </c>
      <c r="B1274" s="8" t="s">
        <v>5048</v>
      </c>
      <c r="C1274" s="2" t="str">
        <f>RIGHT(ProductInfo[[#This Row],[Drawing No]],1)</f>
        <v>0</v>
      </c>
      <c r="D1274" s="176" t="s">
        <v>3762</v>
      </c>
      <c r="E1274" s="16" t="s">
        <v>3421</v>
      </c>
      <c r="F1274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274" s="59">
        <v>91.5</v>
      </c>
      <c r="H1274" s="59">
        <v>40</v>
      </c>
      <c r="I1274" s="1">
        <f>COUNTA(ProductInfo[[#This Row],[P1]:[P15]])</f>
        <v>2</v>
      </c>
      <c r="J12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4" s="4" t="s">
        <v>12</v>
      </c>
      <c r="M1274" s="4" t="s">
        <v>13</v>
      </c>
      <c r="N1274" s="4"/>
      <c r="O1274" s="7"/>
      <c r="P1274" s="7"/>
      <c r="Q1274" s="7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s="1" customFormat="1">
      <c r="A1275" s="8" t="s">
        <v>1345</v>
      </c>
      <c r="B1275" s="8" t="s">
        <v>5639</v>
      </c>
      <c r="C1275" s="1" t="str">
        <f>RIGHT(ProductInfo[[#This Row],[Drawing No]],1)</f>
        <v>0</v>
      </c>
      <c r="D1275" s="179" t="s">
        <v>3065</v>
      </c>
      <c r="E1275" s="18" t="s">
        <v>3716</v>
      </c>
      <c r="F1275" s="26" t="str">
        <f>IFERROR(INDEX(MaterialCode[รายละเอียด],MATCH(ProductInfo[[#This Row],[Material Code]],MaterialCode[Material Code],0)),"ไม่พบวัตถุดิบ")</f>
        <v>MATT FORDGE C M35</v>
      </c>
      <c r="G1275" s="3">
        <v>1</v>
      </c>
      <c r="H1275" s="3">
        <v>50</v>
      </c>
      <c r="I1275" s="1">
        <f>COUNTA(ProductInfo[[#This Row],[P1]:[P15]])</f>
        <v>2</v>
      </c>
      <c r="J12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5" s="7" t="s">
        <v>12</v>
      </c>
      <c r="M1275" s="7" t="s">
        <v>13</v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s="1" customFormat="1">
      <c r="A1276" s="8" t="s">
        <v>4935</v>
      </c>
      <c r="B1276" s="8" t="s">
        <v>4934</v>
      </c>
      <c r="C1276" s="2" t="str">
        <f>RIGHT(ProductInfo[[#This Row],[Drawing No]],1)</f>
        <v>0</v>
      </c>
      <c r="D1276" s="176" t="s">
        <v>4936</v>
      </c>
      <c r="E1276" s="16" t="s">
        <v>3421</v>
      </c>
      <c r="F1276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276" s="59">
        <v>93.5</v>
      </c>
      <c r="H1276" s="59">
        <v>40</v>
      </c>
      <c r="I1276" s="1">
        <f>COUNTA(ProductInfo[[#This Row],[P1]:[P15]])</f>
        <v>3</v>
      </c>
      <c r="J12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6" s="4" t="s">
        <v>12</v>
      </c>
      <c r="M1276" s="4" t="s">
        <v>13</v>
      </c>
      <c r="N1276" s="4" t="s">
        <v>14</v>
      </c>
      <c r="O1276" s="7"/>
      <c r="P1276" s="7"/>
      <c r="Q1276" s="7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s="1" customFormat="1">
      <c r="A1277" s="8" t="s">
        <v>3683</v>
      </c>
      <c r="B1277" s="8" t="s">
        <v>4375</v>
      </c>
      <c r="C1277" s="2" t="str">
        <f>RIGHT(ProductInfo[[#This Row],[Drawing No]],1)</f>
        <v>1</v>
      </c>
      <c r="D1277" s="189" t="s">
        <v>3684</v>
      </c>
      <c r="E1277" s="16" t="s">
        <v>4561</v>
      </c>
      <c r="F1277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277" s="59" t="s">
        <v>4919</v>
      </c>
      <c r="H1277" s="59">
        <v>80</v>
      </c>
      <c r="I1277" s="1">
        <f>COUNTA(ProductInfo[[#This Row],[P1]:[P15]])</f>
        <v>2</v>
      </c>
      <c r="J12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7" s="4" t="s">
        <v>12</v>
      </c>
      <c r="M1277" s="4" t="s">
        <v>13</v>
      </c>
      <c r="N1277" s="7"/>
      <c r="O1277" s="7"/>
      <c r="P1277" s="7"/>
      <c r="Q1277" s="7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s="1" customFormat="1">
      <c r="A1278" s="8" t="s">
        <v>5045</v>
      </c>
      <c r="B1278" s="8" t="s">
        <v>5044</v>
      </c>
      <c r="C1278" s="2" t="str">
        <f>RIGHT(ProductInfo[[#This Row],[Drawing No]],1)</f>
        <v>0</v>
      </c>
      <c r="D1278" s="189" t="s">
        <v>3684</v>
      </c>
      <c r="E1278" s="16" t="s">
        <v>4561</v>
      </c>
      <c r="F1278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278" s="31"/>
      <c r="H1278" s="31"/>
      <c r="I1278" s="1">
        <f>COUNTA(ProductInfo[[#This Row],[P1]:[P15]])</f>
        <v>2</v>
      </c>
      <c r="J12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8" s="4" t="s">
        <v>12</v>
      </c>
      <c r="M1278" s="4" t="s">
        <v>13</v>
      </c>
      <c r="N1278" s="4"/>
      <c r="O1278" s="7"/>
      <c r="P1278" s="7"/>
      <c r="Q1278" s="7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s="1" customFormat="1">
      <c r="A1279" s="8" t="s">
        <v>3685</v>
      </c>
      <c r="B1279" s="8" t="s">
        <v>3941</v>
      </c>
      <c r="C1279" s="2" t="str">
        <f>RIGHT(ProductInfo[[#This Row],[Drawing No]],1)</f>
        <v>1</v>
      </c>
      <c r="D1279" s="176" t="s">
        <v>3688</v>
      </c>
      <c r="E1279" s="16" t="s">
        <v>4561</v>
      </c>
      <c r="F1279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279" s="59">
        <v>156</v>
      </c>
      <c r="H1279" s="62">
        <v>40</v>
      </c>
      <c r="I1279" s="1">
        <f>COUNTA(ProductInfo[[#This Row],[P1]:[P15]])</f>
        <v>2</v>
      </c>
      <c r="J12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79" s="4" t="s">
        <v>12</v>
      </c>
      <c r="M1279" s="4" t="s">
        <v>13</v>
      </c>
      <c r="N1279" s="7"/>
      <c r="O1279" s="7"/>
      <c r="P1279" s="7"/>
      <c r="Q1279" s="7"/>
      <c r="R1279" s="7"/>
      <c r="S1279" s="4"/>
      <c r="T1279" s="7"/>
      <c r="U1279" s="7"/>
      <c r="V1279" s="7"/>
      <c r="W1279" s="7"/>
      <c r="X1279" s="7"/>
      <c r="Y1279" s="7"/>
      <c r="Z1279" s="7"/>
    </row>
    <row r="1280" spans="1:26" s="1" customFormat="1">
      <c r="A1280" s="8" t="s">
        <v>5051</v>
      </c>
      <c r="B1280" s="8" t="s">
        <v>5050</v>
      </c>
      <c r="C1280" s="2" t="str">
        <f>RIGHT(ProductInfo[[#This Row],[Drawing No]],1)</f>
        <v>0</v>
      </c>
      <c r="D1280" s="176" t="s">
        <v>3688</v>
      </c>
      <c r="E1280" s="16" t="s">
        <v>4561</v>
      </c>
      <c r="F1280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280" s="59">
        <v>156</v>
      </c>
      <c r="H1280" s="62">
        <v>40</v>
      </c>
      <c r="I1280" s="1">
        <f>COUNTA(ProductInfo[[#This Row],[P1]:[P15]])</f>
        <v>2</v>
      </c>
      <c r="J12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0" s="4" t="s">
        <v>12</v>
      </c>
      <c r="M1280" s="4" t="s">
        <v>13</v>
      </c>
      <c r="N1280" s="4"/>
      <c r="O1280" s="7"/>
      <c r="P1280" s="7"/>
      <c r="Q1280" s="7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s="1" customFormat="1">
      <c r="A1281" s="8" t="s">
        <v>3680</v>
      </c>
      <c r="B1281" s="8" t="s">
        <v>3681</v>
      </c>
      <c r="C1281" s="2" t="str">
        <f>RIGHT(ProductInfo[[#This Row],[Drawing No]],1)</f>
        <v>0</v>
      </c>
      <c r="D1281" s="176" t="s">
        <v>3682</v>
      </c>
      <c r="E1281" s="16" t="s">
        <v>5150</v>
      </c>
      <c r="F1281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281" s="59">
        <v>78.5</v>
      </c>
      <c r="H1281" s="59"/>
      <c r="I1281" s="1">
        <f>COUNTA(ProductInfo[[#This Row],[P1]:[P15]])</f>
        <v>2</v>
      </c>
      <c r="J12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1" s="4" t="s">
        <v>12</v>
      </c>
      <c r="M1281" s="4" t="s">
        <v>13</v>
      </c>
      <c r="N1281" s="4"/>
      <c r="O1281" s="7"/>
      <c r="P1281" s="7"/>
      <c r="Q1281" s="7"/>
      <c r="R1281" s="7"/>
      <c r="S1281" s="4"/>
      <c r="T1281" s="7"/>
      <c r="U1281" s="7"/>
      <c r="V1281" s="7"/>
      <c r="W1281" s="7"/>
      <c r="X1281" s="7"/>
      <c r="Y1281" s="7"/>
      <c r="Z1281" s="7"/>
    </row>
    <row r="1282" spans="1:26" s="1" customFormat="1">
      <c r="A1282" s="8" t="s">
        <v>5155</v>
      </c>
      <c r="B1282" s="8" t="s">
        <v>5153</v>
      </c>
      <c r="C1282" s="2" t="str">
        <f>RIGHT(ProductInfo[[#This Row],[Drawing No]],1)</f>
        <v>0</v>
      </c>
      <c r="D1282" s="176" t="s">
        <v>3682</v>
      </c>
      <c r="E1282" s="16" t="s">
        <v>5150</v>
      </c>
      <c r="F1282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282" s="59">
        <v>78.5</v>
      </c>
      <c r="H1282" s="59">
        <v>100</v>
      </c>
      <c r="I1282" s="1">
        <f>COUNTA(ProductInfo[[#This Row],[P1]:[P15]])</f>
        <v>4</v>
      </c>
      <c r="J12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82" s="4" t="s">
        <v>12</v>
      </c>
      <c r="M1282" s="4" t="s">
        <v>13</v>
      </c>
      <c r="N1282" s="4" t="s">
        <v>15</v>
      </c>
      <c r="O1282" s="7" t="s">
        <v>16</v>
      </c>
      <c r="P1282" s="7"/>
      <c r="Q1282" s="7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s="1" customFormat="1">
      <c r="A1283" s="8" t="s">
        <v>5215</v>
      </c>
      <c r="B1283" s="8" t="s">
        <v>5214</v>
      </c>
      <c r="C1283" s="2" t="str">
        <f>RIGHT(ProductInfo[[#This Row],[Drawing No]],1)</f>
        <v>0</v>
      </c>
      <c r="D1283" s="176" t="s">
        <v>4975</v>
      </c>
      <c r="E1283" s="16" t="s">
        <v>3607</v>
      </c>
      <c r="F1283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1283" s="59">
        <v>1</v>
      </c>
      <c r="H1283" s="59">
        <v>80</v>
      </c>
      <c r="I1283" s="1">
        <f>COUNTA(ProductInfo[[#This Row],[P1]:[P15]])</f>
        <v>2</v>
      </c>
      <c r="J12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3" s="4" t="s">
        <v>12</v>
      </c>
      <c r="M1283" s="4" t="s">
        <v>13</v>
      </c>
      <c r="N1283" s="4"/>
      <c r="O1283" s="7"/>
      <c r="P1283" s="7"/>
      <c r="Q1283" s="7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s="1" customFormat="1">
      <c r="A1284" s="8" t="s">
        <v>5572</v>
      </c>
      <c r="B1284" s="8" t="s">
        <v>5571</v>
      </c>
      <c r="C1284" s="2" t="str">
        <f>RIGHT(ProductInfo[[#This Row],[Drawing No]],1)</f>
        <v>0</v>
      </c>
      <c r="D1284" s="176" t="s">
        <v>5573</v>
      </c>
      <c r="E1284" s="16"/>
      <c r="F12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84" s="31"/>
      <c r="H1284" s="31"/>
      <c r="I1284" s="1">
        <f>COUNTA(ProductInfo[[#This Row],[P1]:[P15]])</f>
        <v>0</v>
      </c>
      <c r="J12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4" s="7"/>
      <c r="M1284" s="7"/>
      <c r="N1284" s="4"/>
      <c r="O1284" s="7"/>
      <c r="P1284" s="7"/>
      <c r="Q1284" s="7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s="1" customFormat="1">
      <c r="A1285" s="8" t="s">
        <v>5595</v>
      </c>
      <c r="B1285" s="8" t="s">
        <v>5594</v>
      </c>
      <c r="C1285" s="2" t="str">
        <f>RIGHT(ProductInfo[[#This Row],[Drawing No]],1)</f>
        <v>0</v>
      </c>
      <c r="D1285" s="176" t="s">
        <v>5596</v>
      </c>
      <c r="E1285" s="32" t="s">
        <v>6703</v>
      </c>
      <c r="F1285" s="23" t="str">
        <f>IFERROR(INDEX(MaterialCode[รายละเอียด],MATCH(ProductInfo[[#This Row],[Material Code]],MaterialCode[Material Code],0)),"ไม่พบวัตถุดิบ")</f>
        <v>MATT FORDGE G M42 NEW 2023 SET JUMBO</v>
      </c>
      <c r="G1285" s="59">
        <v>1</v>
      </c>
      <c r="H1285" s="59">
        <v>40</v>
      </c>
      <c r="I1285" s="1">
        <f>COUNTA(ProductInfo[[#This Row],[P1]:[P15]])</f>
        <v>5</v>
      </c>
      <c r="J12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285" s="7" t="s">
        <v>12</v>
      </c>
      <c r="M1285" s="7" t="s">
        <v>13</v>
      </c>
      <c r="N1285" s="4" t="s">
        <v>19</v>
      </c>
      <c r="O1285" s="7"/>
      <c r="P1285" s="7"/>
      <c r="Q1285" s="7"/>
      <c r="R1285" s="4" t="s">
        <v>25</v>
      </c>
      <c r="S1285" s="4" t="s">
        <v>4339</v>
      </c>
      <c r="T1285" s="4"/>
      <c r="U1285" s="4"/>
      <c r="V1285" s="4"/>
      <c r="W1285" s="4"/>
      <c r="X1285" s="4"/>
      <c r="Y1285" s="4"/>
      <c r="Z1285" s="4"/>
    </row>
    <row r="1286" spans="1:26" s="1" customFormat="1">
      <c r="A1286" s="8" t="s">
        <v>5219</v>
      </c>
      <c r="B1286" s="8" t="s">
        <v>5218</v>
      </c>
      <c r="C1286" s="2" t="str">
        <f>RIGHT(ProductInfo[[#This Row],[Drawing No]],1)</f>
        <v>0</v>
      </c>
      <c r="D1286" s="176" t="s">
        <v>5220</v>
      </c>
      <c r="E1286" s="16"/>
      <c r="F12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86" s="31"/>
      <c r="H1286" s="31"/>
      <c r="I1286" s="1">
        <f>COUNTA(ProductInfo[[#This Row],[P1]:[P15]])</f>
        <v>0</v>
      </c>
      <c r="J12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6" s="4"/>
      <c r="M1286" s="4"/>
      <c r="N1286" s="4"/>
      <c r="O1286" s="7"/>
      <c r="P1286" s="7"/>
      <c r="Q1286" s="7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s="1" customFormat="1">
      <c r="A1287" s="8" t="s">
        <v>5460</v>
      </c>
      <c r="B1287" s="8" t="s">
        <v>5461</v>
      </c>
      <c r="C1287" s="2" t="str">
        <f>RIGHT(ProductInfo[[#This Row],[Drawing No]],1)</f>
        <v>0</v>
      </c>
      <c r="D1287" s="176" t="s">
        <v>5220</v>
      </c>
      <c r="E1287" s="16" t="s">
        <v>4524</v>
      </c>
      <c r="F1287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87" s="59">
        <v>111</v>
      </c>
      <c r="H1287" s="59">
        <v>20</v>
      </c>
      <c r="I1287" s="1">
        <f>COUNTA(ProductInfo[[#This Row],[P1]:[P15]])</f>
        <v>6</v>
      </c>
      <c r="J12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87" s="7" t="s">
        <v>15</v>
      </c>
      <c r="M1287" s="7" t="s">
        <v>16</v>
      </c>
      <c r="N1287" s="4" t="s">
        <v>14</v>
      </c>
      <c r="O1287" s="7"/>
      <c r="P1287" s="7"/>
      <c r="Q1287" s="7"/>
      <c r="R1287" s="4" t="s">
        <v>25</v>
      </c>
      <c r="S1287" s="4" t="s">
        <v>4339</v>
      </c>
      <c r="T1287" s="4" t="s">
        <v>4661</v>
      </c>
      <c r="U1287" s="4"/>
      <c r="V1287" s="4"/>
      <c r="W1287" s="4"/>
      <c r="X1287" s="4"/>
      <c r="Y1287" s="4"/>
      <c r="Z1287" s="4"/>
    </row>
    <row r="1288" spans="1:26" s="1" customFormat="1">
      <c r="A1288" s="8" t="s">
        <v>5515</v>
      </c>
      <c r="B1288" s="8" t="s">
        <v>5514</v>
      </c>
      <c r="C1288" s="2" t="str">
        <f>RIGHT(ProductInfo[[#This Row],[Drawing No]],1)</f>
        <v>0</v>
      </c>
      <c r="D1288" s="176" t="s">
        <v>5220</v>
      </c>
      <c r="E1288" s="16" t="s">
        <v>4524</v>
      </c>
      <c r="F1288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88" s="59">
        <v>111</v>
      </c>
      <c r="H1288" s="59">
        <v>20</v>
      </c>
      <c r="I1288" s="1">
        <f>COUNTA(ProductInfo[[#This Row],[P1]:[P15]])</f>
        <v>6</v>
      </c>
      <c r="J12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88" s="7" t="s">
        <v>15</v>
      </c>
      <c r="M1288" s="7" t="s">
        <v>16</v>
      </c>
      <c r="N1288" s="4" t="s">
        <v>14</v>
      </c>
      <c r="O1288" s="7"/>
      <c r="P1288" s="7"/>
      <c r="Q1288" s="7"/>
      <c r="R1288" s="4" t="s">
        <v>25</v>
      </c>
      <c r="S1288" s="4" t="s">
        <v>4339</v>
      </c>
      <c r="T1288" s="4" t="s">
        <v>4661</v>
      </c>
      <c r="U1288" s="4"/>
      <c r="V1288" s="4"/>
      <c r="W1288" s="4"/>
      <c r="X1288" s="4"/>
      <c r="Y1288" s="4"/>
      <c r="Z1288" s="4"/>
    </row>
    <row r="1289" spans="1:26" s="1" customFormat="1">
      <c r="A1289" s="8" t="s">
        <v>5222</v>
      </c>
      <c r="B1289" s="8" t="s">
        <v>5221</v>
      </c>
      <c r="C1289" s="2" t="str">
        <f>RIGHT(ProductInfo[[#This Row],[Drawing No]],1)</f>
        <v>0</v>
      </c>
      <c r="D1289" s="176" t="s">
        <v>5223</v>
      </c>
      <c r="E1289" s="16"/>
      <c r="F12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89" s="31"/>
      <c r="H1289" s="31"/>
      <c r="I1289" s="1">
        <f>COUNTA(ProductInfo[[#This Row],[P1]:[P15]])</f>
        <v>0</v>
      </c>
      <c r="J12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89" s="4"/>
      <c r="M1289" s="4"/>
      <c r="N1289" s="4"/>
      <c r="O1289" s="7"/>
      <c r="P1289" s="7"/>
      <c r="Q1289" s="7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s="1" customFormat="1">
      <c r="A1290" s="8" t="s">
        <v>5463</v>
      </c>
      <c r="B1290" s="8" t="s">
        <v>5462</v>
      </c>
      <c r="C1290" s="2" t="str">
        <f>RIGHT(ProductInfo[[#This Row],[Drawing No]],1)</f>
        <v>0</v>
      </c>
      <c r="D1290" s="176" t="s">
        <v>5223</v>
      </c>
      <c r="E1290" s="16" t="s">
        <v>4524</v>
      </c>
      <c r="F1290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90" s="59">
        <v>111</v>
      </c>
      <c r="H1290" s="59">
        <v>20</v>
      </c>
      <c r="I1290" s="1">
        <f>COUNTA(ProductInfo[[#This Row],[P1]:[P15]])</f>
        <v>6</v>
      </c>
      <c r="J12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90" s="7" t="s">
        <v>15</v>
      </c>
      <c r="M1290" s="7" t="s">
        <v>16</v>
      </c>
      <c r="N1290" s="4" t="s">
        <v>14</v>
      </c>
      <c r="O1290" s="7"/>
      <c r="P1290" s="7"/>
      <c r="Q1290" s="7"/>
      <c r="R1290" s="4" t="s">
        <v>25</v>
      </c>
      <c r="S1290" s="4" t="s">
        <v>4339</v>
      </c>
      <c r="T1290" s="4" t="s">
        <v>4661</v>
      </c>
      <c r="U1290" s="4"/>
      <c r="V1290" s="4"/>
      <c r="W1290" s="4"/>
      <c r="X1290" s="4"/>
      <c r="Y1290" s="4"/>
      <c r="Z1290" s="4"/>
    </row>
    <row r="1291" spans="1:26" s="1" customFormat="1">
      <c r="A1291" s="8" t="s">
        <v>5517</v>
      </c>
      <c r="B1291" s="8" t="s">
        <v>5516</v>
      </c>
      <c r="C1291" s="2" t="str">
        <f>RIGHT(ProductInfo[[#This Row],[Drawing No]],1)</f>
        <v>0</v>
      </c>
      <c r="D1291" s="176" t="s">
        <v>5223</v>
      </c>
      <c r="E1291" s="16" t="s">
        <v>4524</v>
      </c>
      <c r="F1291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91" s="59">
        <v>111</v>
      </c>
      <c r="H1291" s="59">
        <v>20</v>
      </c>
      <c r="I1291" s="1">
        <f>COUNTA(ProductInfo[[#This Row],[P1]:[P15]])</f>
        <v>6</v>
      </c>
      <c r="J12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91" s="7" t="s">
        <v>15</v>
      </c>
      <c r="M1291" s="7" t="s">
        <v>16</v>
      </c>
      <c r="N1291" s="4" t="s">
        <v>14</v>
      </c>
      <c r="O1291" s="7"/>
      <c r="P1291" s="7"/>
      <c r="Q1291" s="7"/>
      <c r="R1291" s="4" t="s">
        <v>25</v>
      </c>
      <c r="S1291" s="4" t="s">
        <v>4339</v>
      </c>
      <c r="T1291" s="4" t="s">
        <v>4661</v>
      </c>
      <c r="U1291" s="4"/>
      <c r="V1291" s="4"/>
      <c r="W1291" s="4"/>
      <c r="X1291" s="4"/>
      <c r="Y1291" s="4"/>
      <c r="Z1291" s="4"/>
    </row>
    <row r="1292" spans="1:26" s="1" customFormat="1">
      <c r="A1292" s="8" t="s">
        <v>4508</v>
      </c>
      <c r="B1292" s="8" t="s">
        <v>4507</v>
      </c>
      <c r="C1292" s="2" t="str">
        <f>RIGHT(ProductInfo[[#This Row],[Drawing No]],1)</f>
        <v>0</v>
      </c>
      <c r="D1292" s="176" t="s">
        <v>4517</v>
      </c>
      <c r="E1292" s="16" t="s">
        <v>4524</v>
      </c>
      <c r="F1292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92" s="59">
        <v>62</v>
      </c>
      <c r="H1292" s="3"/>
      <c r="I1292" s="1">
        <f>COUNTA(ProductInfo[[#This Row],[P1]:[P15]])</f>
        <v>4</v>
      </c>
      <c r="J12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292" s="4" t="s">
        <v>15</v>
      </c>
      <c r="M1292" s="4" t="s">
        <v>12</v>
      </c>
      <c r="N1292" s="4" t="s">
        <v>13</v>
      </c>
      <c r="O1292" s="4" t="s">
        <v>19</v>
      </c>
      <c r="P1292" s="7"/>
      <c r="Q1292" s="7"/>
      <c r="R1292" s="7"/>
      <c r="S1292" s="4"/>
      <c r="T1292" s="4"/>
      <c r="U1292" s="4"/>
      <c r="V1292" s="4"/>
      <c r="W1292" s="4"/>
      <c r="X1292" s="4"/>
      <c r="Y1292" s="4"/>
      <c r="Z1292" s="4"/>
    </row>
    <row r="1293" spans="1:26" s="1" customFormat="1" ht="17.25" customHeight="1">
      <c r="A1293" s="8" t="s">
        <v>5602</v>
      </c>
      <c r="B1293" s="8" t="s">
        <v>5601</v>
      </c>
      <c r="C1293" s="2" t="str">
        <f>RIGHT(ProductInfo[[#This Row],[Drawing No]],1)</f>
        <v>0</v>
      </c>
      <c r="D1293" s="176" t="s">
        <v>5603</v>
      </c>
      <c r="E1293" s="16" t="s">
        <v>4524</v>
      </c>
      <c r="F1293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293" s="59">
        <v>111</v>
      </c>
      <c r="H1293" s="59">
        <v>20</v>
      </c>
      <c r="I1293" s="1">
        <f>COUNTA(ProductInfo[[#This Row],[P1]:[P15]])</f>
        <v>5</v>
      </c>
      <c r="J12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2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293" s="7" t="s">
        <v>12</v>
      </c>
      <c r="M1293" s="7" t="s">
        <v>13</v>
      </c>
      <c r="N1293" s="4" t="s">
        <v>19</v>
      </c>
      <c r="O1293" s="7"/>
      <c r="P1293" s="7"/>
      <c r="Q1293" s="7"/>
      <c r="R1293" s="4" t="s">
        <v>25</v>
      </c>
      <c r="S1293" s="4" t="s">
        <v>4339</v>
      </c>
      <c r="T1293" s="4"/>
      <c r="U1293" s="4"/>
      <c r="V1293" s="4"/>
      <c r="W1293" s="4"/>
      <c r="X1293" s="4"/>
      <c r="Y1293" s="4"/>
      <c r="Z1293" s="4"/>
    </row>
    <row r="1294" spans="1:26" s="1" customFormat="1">
      <c r="A1294" s="8" t="s">
        <v>5055</v>
      </c>
      <c r="B1294" s="8" t="s">
        <v>5054</v>
      </c>
      <c r="C1294" s="2" t="str">
        <f>RIGHT(ProductInfo[[#This Row],[Drawing No]],1)</f>
        <v>0</v>
      </c>
      <c r="D1294" s="176" t="s">
        <v>5056</v>
      </c>
      <c r="E1294" s="16" t="s">
        <v>3739</v>
      </c>
      <c r="F1294" s="23" t="str">
        <f>IFERROR(INDEX(MaterialCode[รายละเอียด],MATCH(ProductInfo[[#This Row],[Material Code]],MaterialCode[Material Code],0)),"ไม่พบวัตถุดิบ")</f>
        <v>MATT FORDGE C EURO M35</v>
      </c>
      <c r="G1294" s="59">
        <v>1</v>
      </c>
      <c r="H1294" s="59">
        <v>50</v>
      </c>
      <c r="I1294" s="1">
        <f>COUNTA(ProductInfo[[#This Row],[P1]:[P15]])</f>
        <v>4</v>
      </c>
      <c r="J12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12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94" s="7" t="s">
        <v>12</v>
      </c>
      <c r="M1294" s="7" t="s">
        <v>13</v>
      </c>
      <c r="N1294" s="4" t="s">
        <v>14</v>
      </c>
      <c r="O1294" s="7" t="s">
        <v>3105</v>
      </c>
      <c r="P1294" s="7"/>
      <c r="Q1294" s="7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s="1" customFormat="1">
      <c r="A1295" s="8" t="s">
        <v>5058</v>
      </c>
      <c r="B1295" s="8" t="s">
        <v>5057</v>
      </c>
      <c r="C1295" s="2" t="str">
        <f>RIGHT(ProductInfo[[#This Row],[Drawing No]],1)</f>
        <v>0</v>
      </c>
      <c r="D1295" s="176" t="s">
        <v>5059</v>
      </c>
      <c r="E1295" s="16" t="s">
        <v>3739</v>
      </c>
      <c r="F1295" s="23" t="str">
        <f>IFERROR(INDEX(MaterialCode[รายละเอียด],MATCH(ProductInfo[[#This Row],[Material Code]],MaterialCode[Material Code],0)),"ไม่พบวัตถุดิบ")</f>
        <v>MATT FORDGE C EURO M35</v>
      </c>
      <c r="G1295" s="59">
        <v>1</v>
      </c>
      <c r="H1295" s="59">
        <v>50</v>
      </c>
      <c r="I1295" s="1">
        <f>COUNTA(ProductInfo[[#This Row],[P1]:[P15]])</f>
        <v>3</v>
      </c>
      <c r="J12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2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95" s="7" t="s">
        <v>12</v>
      </c>
      <c r="M1295" s="7" t="s">
        <v>13</v>
      </c>
      <c r="N1295" s="4" t="s">
        <v>3105</v>
      </c>
      <c r="O1295" s="7"/>
      <c r="P1295" s="7"/>
      <c r="Q1295" s="7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s="1" customFormat="1">
      <c r="A1296" s="8" t="s">
        <v>5225</v>
      </c>
      <c r="B1296" s="8" t="s">
        <v>5224</v>
      </c>
      <c r="C1296" s="2" t="str">
        <f>RIGHT(ProductInfo[[#This Row],[Drawing No]],1)</f>
        <v>0</v>
      </c>
      <c r="D1296" s="176" t="s">
        <v>5226</v>
      </c>
      <c r="E1296" s="16"/>
      <c r="F12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296" s="31"/>
      <c r="H1296" s="31"/>
      <c r="I1296" s="1">
        <f>COUNTA(ProductInfo[[#This Row],[P1]:[P15]])</f>
        <v>0</v>
      </c>
      <c r="J12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2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296" s="4"/>
      <c r="M1296" s="4"/>
      <c r="N1296" s="4"/>
      <c r="O1296" s="7"/>
      <c r="P1296" s="7"/>
      <c r="Q1296" s="7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s="1" customFormat="1">
      <c r="A1297" s="8" t="s">
        <v>5465</v>
      </c>
      <c r="B1297" s="8" t="s">
        <v>5464</v>
      </c>
      <c r="C1297" s="2" t="str">
        <f>RIGHT(ProductInfo[[#This Row],[Drawing No]],1)</f>
        <v>0</v>
      </c>
      <c r="D1297" s="176" t="s">
        <v>5226</v>
      </c>
      <c r="E1297" s="16" t="s">
        <v>5469</v>
      </c>
      <c r="F1297" s="23" t="str">
        <f>IFERROR(INDEX(MaterialCode[รายละเอียด],MATCH(ProductInfo[[#This Row],[Material Code]],MaterialCode[Material Code],0)),"ไม่พบวัตถุดิบ")</f>
        <v>MATT 4 เหลี่ยม 65x126 MM.</v>
      </c>
      <c r="G1297" s="59">
        <v>111</v>
      </c>
      <c r="H1297" s="59">
        <v>20</v>
      </c>
      <c r="I1297" s="1">
        <f>COUNTA(ProductInfo[[#This Row],[P1]:[P15]])</f>
        <v>6</v>
      </c>
      <c r="J12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97" s="7" t="s">
        <v>15</v>
      </c>
      <c r="M1297" s="7" t="s">
        <v>16</v>
      </c>
      <c r="N1297" s="4" t="s">
        <v>14</v>
      </c>
      <c r="O1297" s="7"/>
      <c r="P1297" s="7"/>
      <c r="Q1297" s="7"/>
      <c r="R1297" s="4" t="s">
        <v>25</v>
      </c>
      <c r="S1297" s="4" t="s">
        <v>4339</v>
      </c>
      <c r="T1297" s="4" t="s">
        <v>4661</v>
      </c>
      <c r="U1297" s="4"/>
      <c r="V1297" s="4"/>
      <c r="W1297" s="4"/>
      <c r="X1297" s="4"/>
      <c r="Y1297" s="4"/>
      <c r="Z1297" s="4"/>
    </row>
    <row r="1298" spans="1:26" s="1" customFormat="1">
      <c r="A1298" s="8" t="s">
        <v>5519</v>
      </c>
      <c r="B1298" s="8" t="s">
        <v>5518</v>
      </c>
      <c r="C1298" s="2" t="str">
        <f>RIGHT(ProductInfo[[#This Row],[Drawing No]],1)</f>
        <v>0</v>
      </c>
      <c r="D1298" s="176" t="s">
        <v>5226</v>
      </c>
      <c r="E1298" s="16" t="s">
        <v>5469</v>
      </c>
      <c r="F1298" s="23" t="str">
        <f>IFERROR(INDEX(MaterialCode[รายละเอียด],MATCH(ProductInfo[[#This Row],[Material Code]],MaterialCode[Material Code],0)),"ไม่พบวัตถุดิบ")</f>
        <v>MATT 4 เหลี่ยม 65x126 MM.</v>
      </c>
      <c r="G1298" s="59">
        <v>111</v>
      </c>
      <c r="H1298" s="59">
        <v>20</v>
      </c>
      <c r="I1298" s="1">
        <f>COUNTA(ProductInfo[[#This Row],[P1]:[P15]])</f>
        <v>6</v>
      </c>
      <c r="J12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98" s="7" t="s">
        <v>15</v>
      </c>
      <c r="M1298" s="7" t="s">
        <v>16</v>
      </c>
      <c r="N1298" s="4" t="s">
        <v>14</v>
      </c>
      <c r="O1298" s="7"/>
      <c r="P1298" s="7"/>
      <c r="Q1298" s="7"/>
      <c r="R1298" s="4" t="s">
        <v>25</v>
      </c>
      <c r="S1298" s="4" t="s">
        <v>4339</v>
      </c>
      <c r="T1298" s="4" t="s">
        <v>4661</v>
      </c>
      <c r="U1298" s="4"/>
      <c r="V1298" s="4"/>
      <c r="W1298" s="4"/>
      <c r="X1298" s="4"/>
      <c r="Y1298" s="4"/>
      <c r="Z1298" s="4"/>
    </row>
    <row r="1299" spans="1:26" s="1" customFormat="1">
      <c r="A1299" s="8" t="s">
        <v>5467</v>
      </c>
      <c r="B1299" s="8" t="s">
        <v>5466</v>
      </c>
      <c r="C1299" s="2" t="str">
        <f>RIGHT(ProductInfo[[#This Row],[Drawing No]],1)</f>
        <v>0</v>
      </c>
      <c r="D1299" s="176" t="s">
        <v>5229</v>
      </c>
      <c r="E1299" s="16" t="s">
        <v>5469</v>
      </c>
      <c r="F1299" s="23" t="str">
        <f>IFERROR(INDEX(MaterialCode[รายละเอียด],MATCH(ProductInfo[[#This Row],[Material Code]],MaterialCode[Material Code],0)),"ไม่พบวัตถุดิบ")</f>
        <v>MATT 4 เหลี่ยม 65x126 MM.</v>
      </c>
      <c r="G1299" s="59">
        <v>111</v>
      </c>
      <c r="H1299" s="59">
        <v>20</v>
      </c>
      <c r="I1299" s="1">
        <f>COUNTA(ProductInfo[[#This Row],[P1]:[P15]])</f>
        <v>6</v>
      </c>
      <c r="J12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2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299" s="7" t="s">
        <v>15</v>
      </c>
      <c r="M1299" s="7" t="s">
        <v>16</v>
      </c>
      <c r="N1299" s="4" t="s">
        <v>14</v>
      </c>
      <c r="O1299" s="7"/>
      <c r="P1299" s="7"/>
      <c r="Q1299" s="7"/>
      <c r="R1299" s="4" t="s">
        <v>25</v>
      </c>
      <c r="S1299" s="4" t="s">
        <v>4339</v>
      </c>
      <c r="T1299" s="4" t="s">
        <v>4661</v>
      </c>
      <c r="U1299" s="4"/>
      <c r="V1299" s="4"/>
      <c r="W1299" s="4"/>
      <c r="X1299" s="4"/>
      <c r="Y1299" s="4"/>
      <c r="Z1299" s="4"/>
    </row>
    <row r="1300" spans="1:26" s="1" customFormat="1">
      <c r="A1300" s="8" t="s">
        <v>5521</v>
      </c>
      <c r="B1300" s="8" t="s">
        <v>5520</v>
      </c>
      <c r="C1300" s="2" t="str">
        <f>RIGHT(ProductInfo[[#This Row],[Drawing No]],1)</f>
        <v>0</v>
      </c>
      <c r="D1300" s="176" t="s">
        <v>5229</v>
      </c>
      <c r="E1300" s="16" t="s">
        <v>5469</v>
      </c>
      <c r="F1300" s="23" t="str">
        <f>IFERROR(INDEX(MaterialCode[รายละเอียด],MATCH(ProductInfo[[#This Row],[Material Code]],MaterialCode[Material Code],0)),"ไม่พบวัตถุดิบ")</f>
        <v>MATT 4 เหลี่ยม 65x126 MM.</v>
      </c>
      <c r="G1300" s="59">
        <v>111</v>
      </c>
      <c r="H1300" s="59">
        <v>20</v>
      </c>
      <c r="I1300" s="1">
        <f>COUNTA(ProductInfo[[#This Row],[P1]:[P15]])</f>
        <v>6</v>
      </c>
      <c r="J13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3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1300" s="7" t="s">
        <v>15</v>
      </c>
      <c r="M1300" s="7" t="s">
        <v>16</v>
      </c>
      <c r="N1300" s="4" t="s">
        <v>14</v>
      </c>
      <c r="O1300" s="7"/>
      <c r="P1300" s="7"/>
      <c r="Q1300" s="7"/>
      <c r="R1300" s="4" t="s">
        <v>25</v>
      </c>
      <c r="S1300" s="4" t="s">
        <v>4339</v>
      </c>
      <c r="T1300" s="4" t="s">
        <v>4661</v>
      </c>
      <c r="U1300" s="4"/>
      <c r="V1300" s="4"/>
      <c r="W1300" s="4"/>
      <c r="X1300" s="4"/>
      <c r="Y1300" s="4"/>
      <c r="Z1300" s="4"/>
    </row>
    <row r="1301" spans="1:26" s="1" customFormat="1">
      <c r="A1301" s="8" t="s">
        <v>4690</v>
      </c>
      <c r="B1301" s="8" t="s">
        <v>4691</v>
      </c>
      <c r="C1301" s="2" t="str">
        <f>RIGHT(ProductInfo[[#This Row],[Drawing No]],1)</f>
        <v>0</v>
      </c>
      <c r="D1301" s="176" t="s">
        <v>4686</v>
      </c>
      <c r="E1301" s="16" t="s">
        <v>3718</v>
      </c>
      <c r="F1301" s="23" t="str">
        <f>IFERROR(INDEX(MaterialCode[รายละเอียด],MATCH(ProductInfo[[#This Row],[Material Code]],MaterialCode[Material Code],0)),"ไม่พบวัตถุดิบ")</f>
        <v>MATT FORDGE G M35</v>
      </c>
      <c r="G1301" s="59">
        <v>1</v>
      </c>
      <c r="H1301" s="59">
        <v>50</v>
      </c>
      <c r="I1301" s="1">
        <f>COUNTA(ProductInfo[[#This Row],[P1]:[P15]])</f>
        <v>3</v>
      </c>
      <c r="J13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3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1" s="7" t="s">
        <v>12</v>
      </c>
      <c r="M1301" s="7" t="s">
        <v>13</v>
      </c>
      <c r="N1301" s="7" t="s">
        <v>14</v>
      </c>
      <c r="O1301" s="7"/>
      <c r="P1301" s="7"/>
      <c r="Q1301" s="7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s="1" customFormat="1">
      <c r="A1302" s="8" t="s">
        <v>5473</v>
      </c>
      <c r="B1302" s="8" t="s">
        <v>5472</v>
      </c>
      <c r="C1302" s="2" t="str">
        <f>RIGHT(ProductInfo[[#This Row],[Drawing No]],1)</f>
        <v>0</v>
      </c>
      <c r="D1302" s="176" t="s">
        <v>5474</v>
      </c>
      <c r="E1302" s="16" t="s">
        <v>5627</v>
      </c>
      <c r="F1302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302" s="31"/>
      <c r="H1302" s="31"/>
      <c r="I1302" s="1">
        <f>COUNTA(ProductInfo[[#This Row],[P1]:[P15]])</f>
        <v>3</v>
      </c>
      <c r="J13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02" s="7" t="s">
        <v>12</v>
      </c>
      <c r="M1302" s="7" t="s">
        <v>13</v>
      </c>
      <c r="N1302" s="4" t="s">
        <v>19</v>
      </c>
      <c r="O1302" s="7"/>
      <c r="P1302" s="7"/>
      <c r="Q1302" s="7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s="1" customFormat="1">
      <c r="A1303" s="8" t="s">
        <v>5476</v>
      </c>
      <c r="B1303" s="8" t="s">
        <v>5475</v>
      </c>
      <c r="C1303" s="2" t="str">
        <f>RIGHT(ProductInfo[[#This Row],[Drawing No]],1)</f>
        <v>0</v>
      </c>
      <c r="D1303" s="176" t="s">
        <v>5477</v>
      </c>
      <c r="E1303" s="16" t="s">
        <v>5627</v>
      </c>
      <c r="F1303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303" s="31"/>
      <c r="H1303" s="31"/>
      <c r="I1303" s="1">
        <f>COUNTA(ProductInfo[[#This Row],[P1]:[P15]])</f>
        <v>3</v>
      </c>
      <c r="J13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03" s="7" t="s">
        <v>12</v>
      </c>
      <c r="M1303" s="7" t="s">
        <v>13</v>
      </c>
      <c r="N1303" s="4" t="s">
        <v>19</v>
      </c>
      <c r="O1303" s="7"/>
      <c r="P1303" s="7"/>
      <c r="Q1303" s="7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s="1" customFormat="1">
      <c r="A1304" s="8" t="s">
        <v>5479</v>
      </c>
      <c r="B1304" s="8" t="s">
        <v>5478</v>
      </c>
      <c r="C1304" s="2" t="str">
        <f>RIGHT(ProductInfo[[#This Row],[Drawing No]],1)</f>
        <v>0</v>
      </c>
      <c r="D1304" s="176" t="s">
        <v>5480</v>
      </c>
      <c r="E1304" s="16" t="s">
        <v>5627</v>
      </c>
      <c r="F1304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304" s="59">
        <v>1</v>
      </c>
      <c r="H1304" s="59">
        <v>50</v>
      </c>
      <c r="I1304" s="1">
        <f>COUNTA(ProductInfo[[#This Row],[P1]:[P15]])</f>
        <v>5</v>
      </c>
      <c r="J13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3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304" s="7" t="s">
        <v>12</v>
      </c>
      <c r="M1304" s="7" t="s">
        <v>13</v>
      </c>
      <c r="N1304" s="7" t="s">
        <v>14</v>
      </c>
      <c r="O1304" s="4" t="s">
        <v>15</v>
      </c>
      <c r="P1304" s="4" t="s">
        <v>16</v>
      </c>
      <c r="Q1304" s="7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s="1" customFormat="1" ht="18.75" customHeight="1">
      <c r="A1305" s="8" t="s">
        <v>5482</v>
      </c>
      <c r="B1305" s="8" t="s">
        <v>5481</v>
      </c>
      <c r="C1305" s="2" t="str">
        <f>RIGHT(ProductInfo[[#This Row],[Drawing No]],1)</f>
        <v>0</v>
      </c>
      <c r="D1305" s="176" t="s">
        <v>5483</v>
      </c>
      <c r="E1305" s="16" t="s">
        <v>5627</v>
      </c>
      <c r="F1305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305" s="59">
        <v>1</v>
      </c>
      <c r="H1305" s="59">
        <v>50</v>
      </c>
      <c r="I1305" s="1">
        <f>COUNTA(ProductInfo[[#This Row],[P1]:[P15]])</f>
        <v>2</v>
      </c>
      <c r="J13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5" s="7" t="s">
        <v>12</v>
      </c>
      <c r="M1305" s="7" t="s">
        <v>13</v>
      </c>
      <c r="N1305" s="4"/>
      <c r="O1305" s="7"/>
      <c r="P1305" s="7"/>
      <c r="Q1305" s="7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s="1" customFormat="1" ht="15.75" customHeight="1">
      <c r="A1306" s="8" t="s">
        <v>5587</v>
      </c>
      <c r="B1306" s="8" t="s">
        <v>5586</v>
      </c>
      <c r="C1306" s="2" t="str">
        <f>RIGHT(ProductInfo[[#This Row],[Drawing No]],1)</f>
        <v>0</v>
      </c>
      <c r="D1306" s="176" t="s">
        <v>5588</v>
      </c>
      <c r="E1306" s="16"/>
      <c r="F13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06" s="31"/>
      <c r="H1306" s="31"/>
      <c r="I1306" s="1">
        <f>COUNTA(ProductInfo[[#This Row],[P1]:[P15]])</f>
        <v>0</v>
      </c>
      <c r="J13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6" s="7"/>
      <c r="M1306" s="7"/>
      <c r="N1306" s="4"/>
      <c r="O1306" s="7"/>
      <c r="P1306" s="7"/>
      <c r="Q1306" s="7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s="1" customFormat="1" ht="18" customHeight="1">
      <c r="A1307" s="8" t="s">
        <v>5485</v>
      </c>
      <c r="B1307" s="8" t="s">
        <v>5556</v>
      </c>
      <c r="C1307" s="2" t="str">
        <f>RIGHT(ProductInfo[[#This Row],[Drawing No]],1)</f>
        <v>2</v>
      </c>
      <c r="D1307" s="176" t="s">
        <v>5539</v>
      </c>
      <c r="E1307" s="16" t="s">
        <v>5627</v>
      </c>
      <c r="F1307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1307" s="59">
        <v>1</v>
      </c>
      <c r="H1307" s="59">
        <v>50</v>
      </c>
      <c r="I1307" s="1">
        <f>COUNTA(ProductInfo[[#This Row],[P1]:[P15]])</f>
        <v>5</v>
      </c>
      <c r="J13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3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307" s="4" t="s">
        <v>12</v>
      </c>
      <c r="M1307" s="4" t="s">
        <v>13</v>
      </c>
      <c r="N1307" s="4" t="s">
        <v>15</v>
      </c>
      <c r="O1307" s="7" t="s">
        <v>16</v>
      </c>
      <c r="P1307" s="4" t="s">
        <v>14</v>
      </c>
      <c r="Q1307" s="7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s="1" customFormat="1" ht="17.25" customHeight="1">
      <c r="A1308" s="8" t="s">
        <v>5558</v>
      </c>
      <c r="B1308" s="8" t="s">
        <v>5557</v>
      </c>
      <c r="C1308" s="2" t="str">
        <f>RIGHT(ProductInfo[[#This Row],[Drawing No]],1)</f>
        <v>0</v>
      </c>
      <c r="D1308" s="176" t="s">
        <v>5539</v>
      </c>
      <c r="E1308" s="16"/>
      <c r="F13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08" s="31"/>
      <c r="H1308" s="31"/>
      <c r="I1308" s="1">
        <f>COUNTA(ProductInfo[[#This Row],[P1]:[P15]])</f>
        <v>2</v>
      </c>
      <c r="J13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8" s="4" t="s">
        <v>12</v>
      </c>
      <c r="M1308" s="4" t="s">
        <v>13</v>
      </c>
      <c r="N1308" s="4"/>
      <c r="O1308" s="7"/>
      <c r="P1308" s="7"/>
      <c r="Q1308" s="7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s="1" customFormat="1">
      <c r="A1309" s="8" t="s">
        <v>5488</v>
      </c>
      <c r="B1309" s="8" t="s">
        <v>5487</v>
      </c>
      <c r="C1309" s="2" t="str">
        <f>RIGHT(ProductInfo[[#This Row],[Drawing No]],1)</f>
        <v>0</v>
      </c>
      <c r="D1309" s="176" t="s">
        <v>5489</v>
      </c>
      <c r="E1309" s="16"/>
      <c r="F13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09" s="31"/>
      <c r="H1309" s="31"/>
      <c r="I1309" s="1">
        <f>COUNTA(ProductInfo[[#This Row],[P1]:[P15]])</f>
        <v>0</v>
      </c>
      <c r="J13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09" s="7"/>
      <c r="M1309" s="7"/>
      <c r="N1309" s="4"/>
      <c r="O1309" s="7"/>
      <c r="P1309" s="7"/>
      <c r="Q1309" s="7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s="1" customFormat="1">
      <c r="A1310" s="8" t="s">
        <v>5491</v>
      </c>
      <c r="B1310" s="8" t="s">
        <v>5490</v>
      </c>
      <c r="C1310" s="2" t="str">
        <f>RIGHT(ProductInfo[[#This Row],[Drawing No]],1)</f>
        <v>0</v>
      </c>
      <c r="D1310" s="176" t="s">
        <v>5492</v>
      </c>
      <c r="E1310" s="16"/>
      <c r="F13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0" s="31"/>
      <c r="H1310" s="31"/>
      <c r="I1310" s="1">
        <f>COUNTA(ProductInfo[[#This Row],[P1]:[P15]])</f>
        <v>0</v>
      </c>
      <c r="J13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0" s="7"/>
      <c r="M1310" s="7"/>
      <c r="N1310" s="4"/>
      <c r="O1310" s="7"/>
      <c r="P1310" s="7"/>
      <c r="Q1310" s="7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s="1" customFormat="1">
      <c r="A1311" s="8" t="s">
        <v>5493</v>
      </c>
      <c r="B1311" s="8" t="s">
        <v>5495</v>
      </c>
      <c r="C1311" s="2" t="str">
        <f>RIGHT(ProductInfo[[#This Row],[Drawing No]],1)</f>
        <v>0</v>
      </c>
      <c r="D1311" s="176" t="s">
        <v>5494</v>
      </c>
      <c r="E1311" s="16"/>
      <c r="F13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1" s="31"/>
      <c r="H1311" s="31"/>
      <c r="I1311" s="1">
        <f>COUNTA(ProductInfo[[#This Row],[P1]:[P15]])</f>
        <v>0</v>
      </c>
      <c r="J13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1" s="7"/>
      <c r="M1311" s="7"/>
      <c r="N1311" s="4"/>
      <c r="O1311" s="7"/>
      <c r="P1311" s="7"/>
      <c r="Q1311" s="7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s="1" customFormat="1">
      <c r="A1312" s="8" t="s">
        <v>5497</v>
      </c>
      <c r="B1312" s="8" t="s">
        <v>5496</v>
      </c>
      <c r="C1312" s="2" t="str">
        <f>RIGHT(ProductInfo[[#This Row],[Drawing No]],1)</f>
        <v>0</v>
      </c>
      <c r="D1312" s="176" t="s">
        <v>5498</v>
      </c>
      <c r="E1312" s="16"/>
      <c r="F13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2" s="31"/>
      <c r="H1312" s="31"/>
      <c r="I1312" s="1">
        <f>COUNTA(ProductInfo[[#This Row],[P1]:[P15]])</f>
        <v>0</v>
      </c>
      <c r="J13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2" s="7"/>
      <c r="M1312" s="7"/>
      <c r="N1312" s="4"/>
      <c r="O1312" s="7"/>
      <c r="P1312" s="7"/>
      <c r="Q1312" s="7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s="1" customFormat="1">
      <c r="A1313" s="8" t="s">
        <v>1346</v>
      </c>
      <c r="B1313" s="8" t="s">
        <v>1346</v>
      </c>
      <c r="C1313" s="1" t="str">
        <f>RIGHT(ProductInfo[[#This Row],[Drawing No]],1)</f>
        <v>1</v>
      </c>
      <c r="D1313" s="176" t="s">
        <v>2623</v>
      </c>
      <c r="E1313" s="16"/>
      <c r="F13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3" s="31"/>
      <c r="H1313" s="31"/>
      <c r="I1313" s="1">
        <f>COUNTA(ProductInfo[[#This Row],[P1]:[P15]])</f>
        <v>0</v>
      </c>
      <c r="J13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s="1" customFormat="1">
      <c r="A1314" s="8" t="s">
        <v>1347</v>
      </c>
      <c r="B1314" s="8" t="s">
        <v>1347</v>
      </c>
      <c r="C1314" s="1" t="str">
        <f>RIGHT(ProductInfo[[#This Row],[Drawing No]],1)</f>
        <v>2</v>
      </c>
      <c r="D1314" s="176" t="s">
        <v>2623</v>
      </c>
      <c r="E1314" s="16"/>
      <c r="F13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4" s="31"/>
      <c r="H1314" s="31"/>
      <c r="I1314" s="1">
        <f>COUNTA(ProductInfo[[#This Row],[P1]:[P15]])</f>
        <v>0</v>
      </c>
      <c r="J13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s="1" customFormat="1">
      <c r="A1315" s="8" t="s">
        <v>1348</v>
      </c>
      <c r="B1315" s="8" t="s">
        <v>1348</v>
      </c>
      <c r="C1315" s="1" t="str">
        <f>RIGHT(ProductInfo[[#This Row],[Drawing No]],1)</f>
        <v>3</v>
      </c>
      <c r="D1315" s="176" t="s">
        <v>2624</v>
      </c>
      <c r="E1315" s="16"/>
      <c r="F13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5" s="31"/>
      <c r="H1315" s="31"/>
      <c r="I1315" s="1">
        <f>COUNTA(ProductInfo[[#This Row],[P1]:[P15]])</f>
        <v>0</v>
      </c>
      <c r="J13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s="1" customFormat="1">
      <c r="A1316" s="8" t="s">
        <v>1349</v>
      </c>
      <c r="B1316" s="8" t="s">
        <v>1349</v>
      </c>
      <c r="C1316" s="1" t="str">
        <f>RIGHT(ProductInfo[[#This Row],[Drawing No]],1)</f>
        <v>4</v>
      </c>
      <c r="D1316" s="176" t="s">
        <v>1350</v>
      </c>
      <c r="E1316" s="16"/>
      <c r="F13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6" s="31"/>
      <c r="H1316" s="31"/>
      <c r="I1316" s="1">
        <f>COUNTA(ProductInfo[[#This Row],[P1]:[P15]])</f>
        <v>0</v>
      </c>
      <c r="J13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s="1" customFormat="1">
      <c r="A1317" s="8" t="s">
        <v>1351</v>
      </c>
      <c r="B1317" s="8" t="s">
        <v>1351</v>
      </c>
      <c r="C1317" s="1" t="str">
        <f>RIGHT(ProductInfo[[#This Row],[Drawing No]],1)</f>
        <v>5</v>
      </c>
      <c r="D1317" s="176" t="s">
        <v>1350</v>
      </c>
      <c r="E1317" s="16"/>
      <c r="F13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7" s="31"/>
      <c r="H1317" s="31"/>
      <c r="I1317" s="1">
        <f>COUNTA(ProductInfo[[#This Row],[P1]:[P15]])</f>
        <v>0</v>
      </c>
      <c r="J13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s="1" customFormat="1">
      <c r="A1318" s="8" t="s">
        <v>1352</v>
      </c>
      <c r="B1318" s="8" t="s">
        <v>1352</v>
      </c>
      <c r="C1318" s="1" t="str">
        <f>RIGHT(ProductInfo[[#This Row],[Drawing No]],1)</f>
        <v>1</v>
      </c>
      <c r="D1318" s="176" t="s">
        <v>2625</v>
      </c>
      <c r="E1318" s="16"/>
      <c r="F13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8" s="31"/>
      <c r="H1318" s="31"/>
      <c r="I1318" s="1">
        <f>COUNTA(ProductInfo[[#This Row],[P1]:[P15]])</f>
        <v>0</v>
      </c>
      <c r="J13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s="1" customFormat="1">
      <c r="A1319" s="8" t="s">
        <v>1353</v>
      </c>
      <c r="B1319" s="8" t="s">
        <v>1353</v>
      </c>
      <c r="C1319" s="1" t="str">
        <f>RIGHT(ProductInfo[[#This Row],[Drawing No]],1)</f>
        <v>2</v>
      </c>
      <c r="D1319" s="176" t="s">
        <v>2626</v>
      </c>
      <c r="E1319" s="16"/>
      <c r="F13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19" s="31"/>
      <c r="H1319" s="31"/>
      <c r="I1319" s="1">
        <f>COUNTA(ProductInfo[[#This Row],[P1]:[P15]])</f>
        <v>0</v>
      </c>
      <c r="J13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s="1" customFormat="1">
      <c r="A1320" s="8" t="s">
        <v>1354</v>
      </c>
      <c r="B1320" s="8" t="s">
        <v>1354</v>
      </c>
      <c r="C1320" s="1" t="str">
        <f>RIGHT(ProductInfo[[#This Row],[Drawing No]],1)</f>
        <v>3</v>
      </c>
      <c r="D1320" s="176" t="s">
        <v>2626</v>
      </c>
      <c r="E1320" s="16"/>
      <c r="F13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0" s="31"/>
      <c r="H1320" s="31"/>
      <c r="I1320" s="1">
        <f>COUNTA(ProductInfo[[#This Row],[P1]:[P15]])</f>
        <v>0</v>
      </c>
      <c r="J13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s="1" customFormat="1">
      <c r="A1321" s="8" t="s">
        <v>1355</v>
      </c>
      <c r="B1321" s="8" t="s">
        <v>1355</v>
      </c>
      <c r="C1321" s="1" t="str">
        <f>RIGHT(ProductInfo[[#This Row],[Drawing No]],1)</f>
        <v>4</v>
      </c>
      <c r="D1321" s="176" t="s">
        <v>2627</v>
      </c>
      <c r="E1321" s="16"/>
      <c r="F13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1" s="31"/>
      <c r="H1321" s="31"/>
      <c r="I1321" s="1">
        <f>COUNTA(ProductInfo[[#This Row],[P1]:[P15]])</f>
        <v>0</v>
      </c>
      <c r="J13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s="1" customFormat="1">
      <c r="A1322" s="8" t="s">
        <v>1356</v>
      </c>
      <c r="B1322" s="8" t="s">
        <v>1356</v>
      </c>
      <c r="C1322" s="1" t="str">
        <f>RIGHT(ProductInfo[[#This Row],[Drawing No]],1)</f>
        <v>5</v>
      </c>
      <c r="D1322" s="176" t="s">
        <v>2628</v>
      </c>
      <c r="E1322" s="16"/>
      <c r="F13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2" s="31"/>
      <c r="H1322" s="31"/>
      <c r="I1322" s="1">
        <f>COUNTA(ProductInfo[[#This Row],[P1]:[P15]])</f>
        <v>0</v>
      </c>
      <c r="J13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s="1" customFormat="1">
      <c r="A1323" s="8" t="s">
        <v>1357</v>
      </c>
      <c r="B1323" s="8" t="s">
        <v>1357</v>
      </c>
      <c r="C1323" s="1" t="str">
        <f>RIGHT(ProductInfo[[#This Row],[Drawing No]],1)</f>
        <v>6</v>
      </c>
      <c r="D1323" s="176" t="s">
        <v>2628</v>
      </c>
      <c r="E1323" s="16"/>
      <c r="F13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3" s="31"/>
      <c r="H1323" s="31"/>
      <c r="I1323" s="1">
        <f>COUNTA(ProductInfo[[#This Row],[P1]:[P15]])</f>
        <v>0</v>
      </c>
      <c r="J13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s="1" customFormat="1" ht="19.5" customHeight="1">
      <c r="A1324" s="8" t="s">
        <v>1358</v>
      </c>
      <c r="B1324" s="8" t="s">
        <v>1358</v>
      </c>
      <c r="C1324" s="1" t="str">
        <f>RIGHT(ProductInfo[[#This Row],[Drawing No]],1)</f>
        <v>2</v>
      </c>
      <c r="D1324" s="176" t="s">
        <v>1359</v>
      </c>
      <c r="E1324" s="16"/>
      <c r="F13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4" s="31"/>
      <c r="H1324" s="31"/>
      <c r="I1324" s="1">
        <f>COUNTA(ProductInfo[[#This Row],[P1]:[P15]])</f>
        <v>0</v>
      </c>
      <c r="J13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s="1" customFormat="1">
      <c r="A1325" s="8" t="s">
        <v>1360</v>
      </c>
      <c r="B1325" s="8" t="s">
        <v>1360</v>
      </c>
      <c r="C1325" s="1" t="str">
        <f>RIGHT(ProductInfo[[#This Row],[Drawing No]],1)</f>
        <v>3</v>
      </c>
      <c r="D1325" s="176" t="s">
        <v>3185</v>
      </c>
      <c r="E1325" s="16"/>
      <c r="F13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5" s="31"/>
      <c r="H1325" s="31"/>
      <c r="I1325" s="1">
        <f>COUNTA(ProductInfo[[#This Row],[P1]:[P15]])</f>
        <v>0</v>
      </c>
      <c r="J13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s="1" customFormat="1">
      <c r="A1326" s="8" t="s">
        <v>1361</v>
      </c>
      <c r="B1326" s="8" t="s">
        <v>1361</v>
      </c>
      <c r="C1326" s="1" t="str">
        <f>RIGHT(ProductInfo[[#This Row],[Drawing No]],1)</f>
        <v>1</v>
      </c>
      <c r="D1326" s="176" t="s">
        <v>2629</v>
      </c>
      <c r="E1326" s="16"/>
      <c r="F13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6" s="31"/>
      <c r="H1326" s="31"/>
      <c r="I1326" s="1">
        <f>COUNTA(ProductInfo[[#This Row],[P1]:[P15]])</f>
        <v>0</v>
      </c>
      <c r="J13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s="1" customFormat="1">
      <c r="A1327" s="8" t="s">
        <v>1362</v>
      </c>
      <c r="B1327" s="8" t="s">
        <v>1362</v>
      </c>
      <c r="C1327" s="1" t="str">
        <f>RIGHT(ProductInfo[[#This Row],[Drawing No]],1)</f>
        <v>0</v>
      </c>
      <c r="D1327" s="176" t="s">
        <v>2630</v>
      </c>
      <c r="E1327" s="16"/>
      <c r="F13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7" s="31"/>
      <c r="H1327" s="31"/>
      <c r="I1327" s="1">
        <f>COUNTA(ProductInfo[[#This Row],[P1]:[P15]])</f>
        <v>0</v>
      </c>
      <c r="J13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s="1" customFormat="1">
      <c r="A1328" s="8" t="s">
        <v>1363</v>
      </c>
      <c r="B1328" s="8" t="s">
        <v>1363</v>
      </c>
      <c r="C1328" s="1" t="str">
        <f>RIGHT(ProductInfo[[#This Row],[Drawing No]],1)</f>
        <v>0</v>
      </c>
      <c r="D1328" s="176" t="s">
        <v>3186</v>
      </c>
      <c r="E1328" s="16"/>
      <c r="F13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8" s="31"/>
      <c r="H1328" s="31"/>
      <c r="I1328" s="1">
        <f>COUNTA(ProductInfo[[#This Row],[P1]:[P15]])</f>
        <v>0</v>
      </c>
      <c r="J13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s="1" customFormat="1">
      <c r="A1329" s="8" t="s">
        <v>1364</v>
      </c>
      <c r="B1329" s="8" t="s">
        <v>1364</v>
      </c>
      <c r="C1329" s="1" t="str">
        <f>RIGHT(ProductInfo[[#This Row],[Drawing No]],1)</f>
        <v>0</v>
      </c>
      <c r="D1329" s="179" t="s">
        <v>2843</v>
      </c>
      <c r="E1329" s="18"/>
      <c r="F132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29" s="32"/>
      <c r="H1329" s="32"/>
      <c r="I1329" s="1">
        <f>COUNTA(ProductInfo[[#This Row],[P1]:[P15]])</f>
        <v>0</v>
      </c>
      <c r="J13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s="1" customFormat="1">
      <c r="A1330" s="8" t="s">
        <v>1365</v>
      </c>
      <c r="B1330" s="8" t="s">
        <v>1365</v>
      </c>
      <c r="C1330" s="1" t="str">
        <f>RIGHT(ProductInfo[[#This Row],[Drawing No]],1)</f>
        <v>0</v>
      </c>
      <c r="D1330" s="179" t="s">
        <v>2844</v>
      </c>
      <c r="E1330" s="18"/>
      <c r="F133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0" s="32"/>
      <c r="H1330" s="32"/>
      <c r="I1330" s="1">
        <f>COUNTA(ProductInfo[[#This Row],[P1]:[P15]])</f>
        <v>0</v>
      </c>
      <c r="J13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>
      <c r="A1331" s="8" t="s">
        <v>1366</v>
      </c>
      <c r="B1331" s="8" t="s">
        <v>1366</v>
      </c>
      <c r="C1331" s="1" t="str">
        <f>RIGHT(ProductInfo[[#This Row],[Drawing No]],1)</f>
        <v>0</v>
      </c>
      <c r="D1331" s="176" t="s">
        <v>3187</v>
      </c>
      <c r="E1331" s="16"/>
      <c r="F13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1" s="31"/>
      <c r="H1331" s="31"/>
      <c r="I1331" s="1">
        <f>COUNTA(ProductInfo[[#This Row],[P1]:[P15]])</f>
        <v>0</v>
      </c>
      <c r="J13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1" s="7"/>
      <c r="M1331" s="7"/>
      <c r="N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s="1" customFormat="1">
      <c r="A1332" s="8" t="s">
        <v>5197</v>
      </c>
      <c r="B1332" s="8" t="s">
        <v>5196</v>
      </c>
      <c r="C1332" s="2" t="str">
        <f>RIGHT(ProductInfo[[#This Row],[Drawing No]],1)</f>
        <v>0</v>
      </c>
      <c r="D1332" s="176" t="s">
        <v>5198</v>
      </c>
      <c r="E1332" s="16" t="s">
        <v>3529</v>
      </c>
      <c r="F1332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32" s="59">
        <v>25</v>
      </c>
      <c r="H1332" s="59">
        <v>100</v>
      </c>
      <c r="I1332" s="1">
        <f>COUNTA(ProductInfo[[#This Row],[P1]:[P15]])</f>
        <v>2</v>
      </c>
      <c r="J13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2" s="4" t="s">
        <v>12</v>
      </c>
      <c r="M1332" s="4" t="s">
        <v>13</v>
      </c>
      <c r="N1332" s="4"/>
      <c r="O1332" s="7"/>
      <c r="P1332" s="7"/>
      <c r="Q1332" s="7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s="1" customFormat="1">
      <c r="A1333" s="8" t="s">
        <v>3770</v>
      </c>
      <c r="B1333" s="8" t="s">
        <v>5213</v>
      </c>
      <c r="C1333" s="2" t="str">
        <f>RIGHT(ProductInfo[[#This Row],[Drawing No]],1)</f>
        <v>1</v>
      </c>
      <c r="D1333" s="176" t="s">
        <v>3771</v>
      </c>
      <c r="E1333" s="16" t="s">
        <v>7032</v>
      </c>
      <c r="F1333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33" s="59">
        <v>18</v>
      </c>
      <c r="H1333" s="59">
        <v>100</v>
      </c>
      <c r="I1333" s="1">
        <f>COUNTA(ProductInfo[[#This Row],[P1]:[P15]])</f>
        <v>3</v>
      </c>
      <c r="J13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33" s="4" t="s">
        <v>12</v>
      </c>
      <c r="M1333" s="4" t="s">
        <v>13</v>
      </c>
      <c r="N1333" s="4" t="s">
        <v>15</v>
      </c>
      <c r="O1333" s="7"/>
      <c r="P1333" s="7"/>
      <c r="Q1333" s="7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>
      <c r="A1334" s="8" t="s">
        <v>4777</v>
      </c>
      <c r="B1334" s="8" t="s">
        <v>4776</v>
      </c>
      <c r="C1334" s="2" t="str">
        <f>RIGHT(ProductInfo[[#This Row],[Drawing No]],1)</f>
        <v>0</v>
      </c>
      <c r="D1334" s="176" t="s">
        <v>4778</v>
      </c>
      <c r="E1334" s="16" t="s">
        <v>3540</v>
      </c>
      <c r="F1334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34" s="59">
        <v>18</v>
      </c>
      <c r="H1334" s="59">
        <v>100</v>
      </c>
      <c r="I1334" s="1">
        <f>COUNTA(ProductInfo[[#This Row],[P1]:[P15]])</f>
        <v>3</v>
      </c>
      <c r="J13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34" s="4" t="s">
        <v>12</v>
      </c>
      <c r="M1334" s="4" t="s">
        <v>13</v>
      </c>
      <c r="N1334" s="4" t="s">
        <v>15</v>
      </c>
    </row>
    <row r="1335" spans="1:26">
      <c r="A1335" s="8" t="s">
        <v>5544</v>
      </c>
      <c r="B1335" s="8" t="s">
        <v>5543</v>
      </c>
      <c r="C1335" s="2" t="str">
        <f>RIGHT(ProductInfo[[#This Row],[Drawing No]],1)</f>
        <v>0</v>
      </c>
      <c r="D1335" s="176" t="s">
        <v>5545</v>
      </c>
      <c r="E1335" s="16" t="s">
        <v>3540</v>
      </c>
      <c r="F1335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35" s="59">
        <v>23</v>
      </c>
      <c r="H1335" s="59">
        <v>100</v>
      </c>
      <c r="I1335" s="1">
        <f>COUNTA(ProductInfo[[#This Row],[P1]:[P15]])</f>
        <v>3</v>
      </c>
      <c r="J13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35" s="7" t="s">
        <v>12</v>
      </c>
      <c r="M1335" s="7" t="s">
        <v>13</v>
      </c>
      <c r="N1335" s="7" t="s">
        <v>15</v>
      </c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s="1" customFormat="1">
      <c r="A1336" s="8" t="s">
        <v>5547</v>
      </c>
      <c r="B1336" s="8" t="s">
        <v>5546</v>
      </c>
      <c r="C1336" s="2" t="str">
        <f>RIGHT(ProductInfo[[#This Row],[Drawing No]],1)</f>
        <v>0</v>
      </c>
      <c r="D1336" s="176" t="s">
        <v>5548</v>
      </c>
      <c r="E1336" s="16"/>
      <c r="F13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6" s="31"/>
      <c r="H1336" s="31"/>
      <c r="I1336" s="1">
        <f>COUNTA(ProductInfo[[#This Row],[P1]:[P15]])</f>
        <v>2</v>
      </c>
      <c r="J13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6" s="7" t="s">
        <v>12</v>
      </c>
      <c r="M1336" s="7" t="s">
        <v>13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s="1" customFormat="1">
      <c r="A1337" s="8" t="s">
        <v>5550</v>
      </c>
      <c r="B1337" s="8" t="s">
        <v>5549</v>
      </c>
      <c r="C1337" s="2" t="str">
        <f>RIGHT(ProductInfo[[#This Row],[Drawing No]],1)</f>
        <v>0</v>
      </c>
      <c r="D1337" s="176" t="s">
        <v>5551</v>
      </c>
      <c r="E1337" s="16"/>
      <c r="F13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7" s="31"/>
      <c r="H1337" s="31"/>
      <c r="I1337" s="1">
        <f>COUNTA(ProductInfo[[#This Row],[P1]:[P15]])</f>
        <v>2</v>
      </c>
      <c r="J13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7" s="7" t="s">
        <v>12</v>
      </c>
      <c r="M1337" s="7" t="s">
        <v>13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s="1" customFormat="1">
      <c r="A1338" s="8" t="s">
        <v>1367</v>
      </c>
      <c r="B1338" s="8" t="s">
        <v>1367</v>
      </c>
      <c r="C1338" s="1" t="str">
        <f>RIGHT(ProductInfo[[#This Row],[Drawing No]],1)</f>
        <v>1</v>
      </c>
      <c r="D1338" s="176" t="s">
        <v>1368</v>
      </c>
      <c r="E1338" s="16"/>
      <c r="F13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38" s="31"/>
      <c r="H1338" s="31"/>
      <c r="I1338" s="1">
        <f>COUNTA(ProductInfo[[#This Row],[P1]:[P15]])</f>
        <v>0</v>
      </c>
      <c r="J13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s="1" customFormat="1">
      <c r="A1339" s="8" t="s">
        <v>4784</v>
      </c>
      <c r="B1339" s="8" t="s">
        <v>4783</v>
      </c>
      <c r="C1339" s="2" t="str">
        <f>RIGHT(ProductInfo[[#This Row],[Drawing No]],1)</f>
        <v>0</v>
      </c>
      <c r="D1339" s="180" t="s">
        <v>4785</v>
      </c>
      <c r="E1339" s="16" t="s">
        <v>3540</v>
      </c>
      <c r="F1339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39" s="59">
        <v>13</v>
      </c>
      <c r="H1339" s="59">
        <v>100</v>
      </c>
      <c r="I1339" s="1">
        <f>COUNTA(ProductInfo[[#This Row],[P1]:[P15]])</f>
        <v>3</v>
      </c>
      <c r="J13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39" s="4" t="s">
        <v>12</v>
      </c>
      <c r="M1339" s="4" t="s">
        <v>13</v>
      </c>
      <c r="N1339" s="4" t="s">
        <v>15</v>
      </c>
      <c r="O1339" s="7"/>
      <c r="P1339" s="7"/>
      <c r="Q1339" s="7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s="1" customFormat="1">
      <c r="A1340" s="8" t="s">
        <v>1369</v>
      </c>
      <c r="B1340" s="8" t="s">
        <v>1369</v>
      </c>
      <c r="C1340" s="1" t="str">
        <f>RIGHT(ProductInfo[[#This Row],[Drawing No]],1)</f>
        <v>3</v>
      </c>
      <c r="D1340" s="176" t="s">
        <v>1370</v>
      </c>
      <c r="E1340" s="16"/>
      <c r="F13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0" s="31"/>
      <c r="H1340" s="31"/>
      <c r="I1340" s="1">
        <f>COUNTA(ProductInfo[[#This Row],[P1]:[P15]])</f>
        <v>0</v>
      </c>
      <c r="J13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s="1" customFormat="1">
      <c r="A1341" s="8" t="s">
        <v>1371</v>
      </c>
      <c r="B1341" s="8" t="s">
        <v>1371</v>
      </c>
      <c r="C1341" s="1" t="str">
        <f>RIGHT(ProductInfo[[#This Row],[Drawing No]],1)</f>
        <v>4</v>
      </c>
      <c r="D1341" s="176" t="s">
        <v>1372</v>
      </c>
      <c r="E1341" s="16"/>
      <c r="F13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1" s="31"/>
      <c r="H1341" s="31"/>
      <c r="I1341" s="1">
        <f>COUNTA(ProductInfo[[#This Row],[P1]:[P15]])</f>
        <v>0</v>
      </c>
      <c r="J13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s="1" customFormat="1">
      <c r="A1342" s="8" t="s">
        <v>5211</v>
      </c>
      <c r="B1342" s="8" t="s">
        <v>5210</v>
      </c>
      <c r="C1342" s="1" t="str">
        <f>RIGHT(ProductInfo[[#This Row],[Drawing No]],1)</f>
        <v>0</v>
      </c>
      <c r="D1342" s="176" t="s">
        <v>2631</v>
      </c>
      <c r="E1342" s="16" t="s">
        <v>7032</v>
      </c>
      <c r="F1342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42" s="31" t="s">
        <v>5236</v>
      </c>
      <c r="H1342" s="31" t="s">
        <v>4899</v>
      </c>
      <c r="I1342" s="1">
        <f>COUNTA(ProductInfo[[#This Row],[P1]:[P15]])</f>
        <v>3</v>
      </c>
      <c r="J13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42" s="7" t="s">
        <v>12</v>
      </c>
      <c r="M1342" s="7" t="s">
        <v>13</v>
      </c>
      <c r="N1342" s="7" t="s">
        <v>15</v>
      </c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s="1" customFormat="1">
      <c r="A1343" s="8" t="s">
        <v>1373</v>
      </c>
      <c r="B1343" s="8" t="s">
        <v>1373</v>
      </c>
      <c r="C1343" s="1" t="str">
        <f>RIGHT(ProductInfo[[#This Row],[Drawing No]],1)</f>
        <v>0</v>
      </c>
      <c r="D1343" s="176" t="s">
        <v>2632</v>
      </c>
      <c r="E1343" s="16"/>
      <c r="F13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3" s="31"/>
      <c r="H1343" s="31"/>
      <c r="I1343" s="1">
        <f>COUNTA(ProductInfo[[#This Row],[P1]:[P15]])</f>
        <v>0</v>
      </c>
      <c r="J13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s="1" customFormat="1">
      <c r="A1344" s="8" t="s">
        <v>1374</v>
      </c>
      <c r="B1344" s="8" t="s">
        <v>1374</v>
      </c>
      <c r="C1344" s="1" t="str">
        <f>RIGHT(ProductInfo[[#This Row],[Drawing No]],1)</f>
        <v>0</v>
      </c>
      <c r="D1344" s="179" t="s">
        <v>3066</v>
      </c>
      <c r="E1344" s="18" t="s">
        <v>5150</v>
      </c>
      <c r="F1344" s="26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344" s="3">
        <v>8</v>
      </c>
      <c r="H1344" s="3"/>
      <c r="I1344" s="1">
        <f>COUNTA(ProductInfo[[#This Row],[P1]:[P15]])</f>
        <v>2</v>
      </c>
      <c r="J13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4" s="7" t="s">
        <v>12</v>
      </c>
      <c r="M1344" s="7" t="s">
        <v>13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s="1" customFormat="1">
      <c r="A1345" s="8" t="s">
        <v>1375</v>
      </c>
      <c r="B1345" s="8" t="s">
        <v>1375</v>
      </c>
      <c r="C1345" s="1" t="str">
        <f>RIGHT(ProductInfo[[#This Row],[Drawing No]],1)</f>
        <v>0</v>
      </c>
      <c r="D1345" s="176" t="s">
        <v>3188</v>
      </c>
      <c r="E1345" s="16"/>
      <c r="F13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5" s="31"/>
      <c r="H1345" s="31"/>
      <c r="I1345" s="1">
        <f>COUNTA(ProductInfo[[#This Row],[P1]:[P15]])</f>
        <v>0</v>
      </c>
      <c r="J13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s="1" customFormat="1">
      <c r="A1346" s="8" t="s">
        <v>1376</v>
      </c>
      <c r="B1346" s="8" t="s">
        <v>5444</v>
      </c>
      <c r="C1346" s="1" t="str">
        <f>RIGHT(ProductInfo[[#This Row],[Drawing No]],1)</f>
        <v>0</v>
      </c>
      <c r="D1346" s="176" t="s">
        <v>3188</v>
      </c>
      <c r="E1346" s="16" t="s">
        <v>7032</v>
      </c>
      <c r="F1346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46" s="59">
        <v>23</v>
      </c>
      <c r="H1346" s="59">
        <v>100</v>
      </c>
      <c r="I1346" s="1">
        <f>COUNTA(ProductInfo[[#This Row],[P1]:[P15]])</f>
        <v>2</v>
      </c>
      <c r="J13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6" s="7" t="s">
        <v>12</v>
      </c>
      <c r="M1346" s="7" t="s">
        <v>13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s="1" customFormat="1">
      <c r="A1347" s="8" t="s">
        <v>1377</v>
      </c>
      <c r="B1347" s="8" t="s">
        <v>1377</v>
      </c>
      <c r="C1347" s="1" t="str">
        <f>RIGHT(ProductInfo[[#This Row],[Drawing No]],1)</f>
        <v>0</v>
      </c>
      <c r="D1347" s="176" t="s">
        <v>2633</v>
      </c>
      <c r="E1347" s="16"/>
      <c r="F13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7" s="31"/>
      <c r="H1347" s="31"/>
      <c r="I1347" s="1">
        <f>COUNTA(ProductInfo[[#This Row],[P1]:[P15]])</f>
        <v>0</v>
      </c>
      <c r="J13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s="1" customFormat="1">
      <c r="A1348" s="8" t="s">
        <v>1378</v>
      </c>
      <c r="B1348" s="8" t="s">
        <v>1378</v>
      </c>
      <c r="C1348" s="1" t="str">
        <f>RIGHT(ProductInfo[[#This Row],[Drawing No]],1)</f>
        <v>0</v>
      </c>
      <c r="D1348" s="176" t="s">
        <v>2634</v>
      </c>
      <c r="E1348" s="16"/>
      <c r="F13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8" s="31"/>
      <c r="H1348" s="31"/>
      <c r="I1348" s="1">
        <f>COUNTA(ProductInfo[[#This Row],[P1]:[P15]])</f>
        <v>0</v>
      </c>
      <c r="J13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s="1" customFormat="1">
      <c r="A1349" s="8" t="s">
        <v>1379</v>
      </c>
      <c r="B1349" s="8" t="s">
        <v>1379</v>
      </c>
      <c r="C1349" s="1" t="str">
        <f>RIGHT(ProductInfo[[#This Row],[Drawing No]],1)</f>
        <v>0</v>
      </c>
      <c r="D1349" s="176" t="s">
        <v>2635</v>
      </c>
      <c r="E1349" s="16"/>
      <c r="F13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49" s="31"/>
      <c r="H1349" s="31"/>
      <c r="I1349" s="1">
        <f>COUNTA(ProductInfo[[#This Row],[P1]:[P15]])</f>
        <v>0</v>
      </c>
      <c r="J13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s="1" customFormat="1">
      <c r="A1350" s="8" t="s">
        <v>4262</v>
      </c>
      <c r="B1350" s="8" t="s">
        <v>4261</v>
      </c>
      <c r="C1350" s="1" t="str">
        <f>RIGHT(ProductInfo[[#This Row],[Drawing No]],1)</f>
        <v>1</v>
      </c>
      <c r="D1350" s="176" t="s">
        <v>3189</v>
      </c>
      <c r="E1350" s="16" t="s">
        <v>7032</v>
      </c>
      <c r="F1350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50" s="59">
        <v>13</v>
      </c>
      <c r="H1350" s="59">
        <v>100</v>
      </c>
      <c r="I1350" s="1">
        <f>COUNTA(ProductInfo[[#This Row],[P1]:[P15]])</f>
        <v>2</v>
      </c>
      <c r="J13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0" s="7" t="s">
        <v>12</v>
      </c>
      <c r="M1350" s="7" t="s">
        <v>13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s="1" customFormat="1">
      <c r="A1351" s="8" t="s">
        <v>4265</v>
      </c>
      <c r="B1351" s="8" t="s">
        <v>4264</v>
      </c>
      <c r="C1351" s="1" t="str">
        <f>RIGHT(ProductInfo[[#This Row],[Drawing No]],1)</f>
        <v>0</v>
      </c>
      <c r="D1351" s="176" t="s">
        <v>2636</v>
      </c>
      <c r="E1351" s="16" t="s">
        <v>3529</v>
      </c>
      <c r="F1351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51" s="59">
        <v>16</v>
      </c>
      <c r="H1351" s="59">
        <v>100</v>
      </c>
      <c r="I1351" s="1">
        <f>COUNTA(ProductInfo[[#This Row],[P1]:[P15]])</f>
        <v>3</v>
      </c>
      <c r="J13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51" s="7" t="s">
        <v>12</v>
      </c>
      <c r="M1351" s="7" t="s">
        <v>13</v>
      </c>
      <c r="N1351" s="7" t="s">
        <v>15</v>
      </c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s="1" customFormat="1">
      <c r="A1352" s="8" t="s">
        <v>5199</v>
      </c>
      <c r="B1352" s="8" t="s">
        <v>5200</v>
      </c>
      <c r="C1352" s="2" t="str">
        <f>RIGHT(ProductInfo[[#This Row],[Drawing No]],1)</f>
        <v>0</v>
      </c>
      <c r="D1352" s="176" t="s">
        <v>5201</v>
      </c>
      <c r="E1352" s="16" t="s">
        <v>3529</v>
      </c>
      <c r="F1352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52" s="59">
        <v>23.5</v>
      </c>
      <c r="H1352" s="59">
        <v>100</v>
      </c>
      <c r="I1352" s="1">
        <f>COUNTA(ProductInfo[[#This Row],[P1]:[P15]])</f>
        <v>2</v>
      </c>
      <c r="J13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2" s="4" t="s">
        <v>12</v>
      </c>
      <c r="M1352" s="4" t="s">
        <v>13</v>
      </c>
      <c r="N1352" s="4"/>
      <c r="O1352" s="7"/>
      <c r="P1352" s="7"/>
      <c r="Q1352" s="7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s="1" customFormat="1">
      <c r="A1353" s="8" t="s">
        <v>5204</v>
      </c>
      <c r="B1353" s="8" t="s">
        <v>5203</v>
      </c>
      <c r="C1353" s="2" t="str">
        <f>RIGHT(ProductInfo[[#This Row],[Drawing No]],1)</f>
        <v>0</v>
      </c>
      <c r="D1353" s="176" t="s">
        <v>5206</v>
      </c>
      <c r="E1353" s="16" t="s">
        <v>3529</v>
      </c>
      <c r="F1353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53" s="59">
        <v>25</v>
      </c>
      <c r="H1353" s="59">
        <v>100</v>
      </c>
      <c r="I1353" s="1">
        <f>COUNTA(ProductInfo[[#This Row],[P1]:[P15]])</f>
        <v>2</v>
      </c>
      <c r="J13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3" s="4" t="s">
        <v>12</v>
      </c>
      <c r="M1353" s="4" t="s">
        <v>13</v>
      </c>
      <c r="N1353" s="4"/>
      <c r="O1353" s="7"/>
      <c r="P1353" s="7"/>
      <c r="Q1353" s="7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s="1" customFormat="1">
      <c r="A1354" s="8" t="s">
        <v>1380</v>
      </c>
      <c r="B1354" s="8" t="s">
        <v>1380</v>
      </c>
      <c r="C1354" s="1" t="str">
        <f>RIGHT(ProductInfo[[#This Row],[Drawing No]],1)</f>
        <v>4</v>
      </c>
      <c r="D1354" s="176" t="s">
        <v>1381</v>
      </c>
      <c r="E1354" s="16"/>
      <c r="F13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54" s="31"/>
      <c r="H1354" s="31"/>
      <c r="I1354" s="1">
        <f>COUNTA(ProductInfo[[#This Row],[P1]:[P15]])</f>
        <v>0</v>
      </c>
      <c r="J13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s="1" customFormat="1">
      <c r="A1355" s="8" t="s">
        <v>1382</v>
      </c>
      <c r="B1355" s="8" t="s">
        <v>1382</v>
      </c>
      <c r="C1355" s="1" t="str">
        <f>RIGHT(ProductInfo[[#This Row],[Drawing No]],1)</f>
        <v>2</v>
      </c>
      <c r="D1355" s="176" t="s">
        <v>1383</v>
      </c>
      <c r="E1355" s="16"/>
      <c r="F13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55" s="31"/>
      <c r="H1355" s="31"/>
      <c r="I1355" s="1">
        <f>COUNTA(ProductInfo[[#This Row],[P1]:[P15]])</f>
        <v>0</v>
      </c>
      <c r="J13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s="1" customFormat="1">
      <c r="A1356" s="8" t="s">
        <v>1384</v>
      </c>
      <c r="B1356" s="8" t="s">
        <v>1384</v>
      </c>
      <c r="C1356" s="1" t="str">
        <f>RIGHT(ProductInfo[[#This Row],[Drawing No]],1)</f>
        <v>1</v>
      </c>
      <c r="D1356" s="179" t="s">
        <v>3067</v>
      </c>
      <c r="E1356" s="18" t="s">
        <v>4561</v>
      </c>
      <c r="F1356" s="26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356" s="3">
        <v>13</v>
      </c>
      <c r="H1356" s="3"/>
      <c r="I1356" s="1">
        <f>COUNTA(ProductInfo[[#This Row],[P1]:[P15]])</f>
        <v>2</v>
      </c>
      <c r="J13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6" s="7" t="s">
        <v>12</v>
      </c>
      <c r="M1356" s="7" t="s">
        <v>13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s="1" customFormat="1">
      <c r="A1357" s="8" t="s">
        <v>1385</v>
      </c>
      <c r="B1357" s="8" t="s">
        <v>1385</v>
      </c>
      <c r="C1357" s="1" t="str">
        <f>RIGHT(ProductInfo[[#This Row],[Drawing No]],1)</f>
        <v>0</v>
      </c>
      <c r="D1357" s="176" t="s">
        <v>3068</v>
      </c>
      <c r="E1357" s="16"/>
      <c r="F13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57" s="31"/>
      <c r="H1357" s="31"/>
      <c r="I1357" s="1">
        <f>COUNTA(ProductInfo[[#This Row],[P1]:[P15]])</f>
        <v>0</v>
      </c>
      <c r="J13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s="1" customFormat="1">
      <c r="A1358" s="8" t="s">
        <v>1386</v>
      </c>
      <c r="B1358" s="8" t="s">
        <v>6744</v>
      </c>
      <c r="C1358" s="1" t="str">
        <f>RIGHT(ProductInfo[[#This Row],[Drawing No]],1)</f>
        <v>3</v>
      </c>
      <c r="D1358" s="176" t="s">
        <v>2940</v>
      </c>
      <c r="E1358" s="16" t="s">
        <v>3529</v>
      </c>
      <c r="F1358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58" s="31" t="s">
        <v>6736</v>
      </c>
      <c r="H1358" s="31" t="s">
        <v>5999</v>
      </c>
      <c r="I1358" s="1">
        <f>COUNTA(ProductInfo[[#This Row],[P1]:[P15]])</f>
        <v>3</v>
      </c>
      <c r="J13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58" s="7" t="s">
        <v>12</v>
      </c>
      <c r="M1358" s="7" t="s">
        <v>13</v>
      </c>
      <c r="N1358" s="7" t="s">
        <v>15</v>
      </c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s="1" customFormat="1">
      <c r="A1359" s="8" t="s">
        <v>1387</v>
      </c>
      <c r="B1359" s="8" t="s">
        <v>4465</v>
      </c>
      <c r="C1359" s="2" t="str">
        <f>RIGHT(ProductInfo[[#This Row],[Drawing No]],1)</f>
        <v>0</v>
      </c>
      <c r="D1359" s="176" t="s">
        <v>4805</v>
      </c>
      <c r="E1359" s="16" t="s">
        <v>7032</v>
      </c>
      <c r="F1359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59" s="59">
        <v>23</v>
      </c>
      <c r="H1359" s="59">
        <v>100</v>
      </c>
      <c r="I1359" s="1">
        <f>COUNTA(ProductInfo[[#This Row],[P1]:[P15]])</f>
        <v>2</v>
      </c>
      <c r="J13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59" s="7" t="s">
        <v>12</v>
      </c>
      <c r="M1359" s="7" t="s">
        <v>13</v>
      </c>
      <c r="N1359" s="7"/>
      <c r="O1359" s="7"/>
      <c r="P1359" s="7"/>
      <c r="Q1359" s="7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s="1" customFormat="1">
      <c r="A1360" s="8" t="s">
        <v>1388</v>
      </c>
      <c r="B1360" s="8" t="s">
        <v>4465</v>
      </c>
      <c r="C1360" s="2" t="str">
        <f>RIGHT(ProductInfo[[#This Row],[Drawing No]],1)</f>
        <v>0</v>
      </c>
      <c r="D1360" s="176" t="s">
        <v>4466</v>
      </c>
      <c r="E1360" s="16"/>
      <c r="F13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0" s="31"/>
      <c r="H1360" s="31"/>
      <c r="I1360" s="1">
        <f>COUNTA(ProductInfo[[#This Row],[P1]:[P15]])</f>
        <v>2</v>
      </c>
      <c r="J13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0" s="7" t="s">
        <v>12</v>
      </c>
      <c r="M1360" s="7" t="s">
        <v>13</v>
      </c>
      <c r="N1360" s="7"/>
      <c r="O1360" s="7"/>
      <c r="P1360" s="7"/>
      <c r="Q1360" s="7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s="1" customFormat="1">
      <c r="A1361" s="8" t="s">
        <v>1389</v>
      </c>
      <c r="B1361" s="8" t="s">
        <v>1389</v>
      </c>
      <c r="C1361" s="1" t="str">
        <f>RIGHT(ProductInfo[[#This Row],[Drawing No]],1)</f>
        <v>7</v>
      </c>
      <c r="D1361" s="176" t="s">
        <v>1390</v>
      </c>
      <c r="E1361" s="16"/>
      <c r="F13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1" s="31"/>
      <c r="H1361" s="31"/>
      <c r="I1361" s="1">
        <f>COUNTA(ProductInfo[[#This Row],[P1]:[P15]])</f>
        <v>0</v>
      </c>
      <c r="J13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s="1" customFormat="1">
      <c r="A1362" s="8" t="s">
        <v>1391</v>
      </c>
      <c r="B1362" s="8" t="s">
        <v>1391</v>
      </c>
      <c r="C1362" s="1" t="str">
        <f>RIGHT(ProductInfo[[#This Row],[Drawing No]],1)</f>
        <v>0</v>
      </c>
      <c r="D1362" s="176" t="s">
        <v>1392</v>
      </c>
      <c r="E1362" s="16"/>
      <c r="F13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2" s="31"/>
      <c r="H1362" s="31"/>
      <c r="I1362" s="1">
        <f>COUNTA(ProductInfo[[#This Row],[P1]:[P15]])</f>
        <v>0</v>
      </c>
      <c r="J13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s="1" customFormat="1">
      <c r="A1363" s="8" t="s">
        <v>5193</v>
      </c>
      <c r="B1363" s="8" t="s">
        <v>5192</v>
      </c>
      <c r="C1363" s="2" t="str">
        <f>RIGHT(ProductInfo[[#This Row],[Drawing No]],1)</f>
        <v>0</v>
      </c>
      <c r="D1363" s="176" t="s">
        <v>5195</v>
      </c>
      <c r="E1363" s="16" t="s">
        <v>7032</v>
      </c>
      <c r="F1363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63" s="59">
        <v>14</v>
      </c>
      <c r="H1363" s="59">
        <v>100</v>
      </c>
      <c r="I1363" s="1">
        <f>COUNTA(ProductInfo[[#This Row],[P1]:[P15]])</f>
        <v>3</v>
      </c>
      <c r="J13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63" s="4" t="s">
        <v>12</v>
      </c>
      <c r="M1363" s="4" t="s">
        <v>13</v>
      </c>
      <c r="N1363" s="4" t="s">
        <v>15</v>
      </c>
      <c r="O1363" s="7"/>
      <c r="P1363" s="7"/>
      <c r="Q1363" s="7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s="1" customFormat="1">
      <c r="A1364" s="8" t="s">
        <v>1393</v>
      </c>
      <c r="B1364" s="8" t="s">
        <v>1393</v>
      </c>
      <c r="C1364" s="1" t="str">
        <f>RIGHT(ProductInfo[[#This Row],[Drawing No]],1)</f>
        <v>1</v>
      </c>
      <c r="D1364" s="176" t="s">
        <v>1394</v>
      </c>
      <c r="E1364" s="16"/>
      <c r="F13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4" s="31"/>
      <c r="H1364" s="31"/>
      <c r="I1364" s="1">
        <f>COUNTA(ProductInfo[[#This Row],[P1]:[P15]])</f>
        <v>0</v>
      </c>
      <c r="J13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s="1" customFormat="1">
      <c r="A1365" s="8" t="s">
        <v>1395</v>
      </c>
      <c r="B1365" s="8" t="s">
        <v>1395</v>
      </c>
      <c r="C1365" s="1" t="str">
        <f>RIGHT(ProductInfo[[#This Row],[Drawing No]],1)</f>
        <v>0</v>
      </c>
      <c r="D1365" s="176" t="s">
        <v>3190</v>
      </c>
      <c r="E1365" s="16"/>
      <c r="F13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5" s="31"/>
      <c r="H1365" s="31"/>
      <c r="I1365" s="1">
        <f>COUNTA(ProductInfo[[#This Row],[P1]:[P15]])</f>
        <v>0</v>
      </c>
      <c r="J13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s="1" customFormat="1">
      <c r="A1366" s="8" t="s">
        <v>1396</v>
      </c>
      <c r="B1366" s="8" t="s">
        <v>1396</v>
      </c>
      <c r="C1366" s="1" t="str">
        <f>RIGHT(ProductInfo[[#This Row],[Drawing No]],1)</f>
        <v>0</v>
      </c>
      <c r="D1366" s="176" t="s">
        <v>3765</v>
      </c>
      <c r="E1366" s="16" t="s">
        <v>7032</v>
      </c>
      <c r="F1366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66" s="59">
        <v>34</v>
      </c>
      <c r="H1366" s="59"/>
      <c r="I1366" s="1">
        <f>COUNTA(ProductInfo[[#This Row],[P1]:[P15]])</f>
        <v>2</v>
      </c>
      <c r="J13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6" s="7" t="s">
        <v>12</v>
      </c>
      <c r="M1366" s="7" t="s">
        <v>13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s="1" customFormat="1">
      <c r="A1367" s="8" t="s">
        <v>4381</v>
      </c>
      <c r="B1367" s="8" t="s">
        <v>4380</v>
      </c>
      <c r="C1367" s="2" t="str">
        <f>RIGHT(ProductInfo[[#This Row],[Drawing No]],1)</f>
        <v>0</v>
      </c>
      <c r="D1367" s="176" t="s">
        <v>3765</v>
      </c>
      <c r="E1367" s="16" t="s">
        <v>7032</v>
      </c>
      <c r="F1367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1367" s="59">
        <v>34</v>
      </c>
      <c r="H1367" s="59">
        <v>100</v>
      </c>
      <c r="I1367" s="1">
        <f>COUNTA(ProductInfo[[#This Row],[P1]:[P15]])</f>
        <v>3</v>
      </c>
      <c r="J13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67" s="7" t="s">
        <v>12</v>
      </c>
      <c r="M1367" s="7" t="s">
        <v>13</v>
      </c>
      <c r="N1367" s="7" t="s">
        <v>15</v>
      </c>
      <c r="O1367" s="7"/>
      <c r="P1367" s="7"/>
      <c r="Q1367" s="7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s="1" customFormat="1">
      <c r="A1368" s="8" t="s">
        <v>1397</v>
      </c>
      <c r="B1368" s="8" t="s">
        <v>1397</v>
      </c>
      <c r="C1368" s="1" t="str">
        <f>RIGHT(ProductInfo[[#This Row],[Drawing No]],1)</f>
        <v>0</v>
      </c>
      <c r="D1368" s="176" t="s">
        <v>3191</v>
      </c>
      <c r="E1368" s="16"/>
      <c r="F13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68" s="31"/>
      <c r="H1368" s="31"/>
      <c r="I1368" s="1">
        <f>COUNTA(ProductInfo[[#This Row],[P1]:[P15]])</f>
        <v>0</v>
      </c>
      <c r="J13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s="1" customFormat="1">
      <c r="A1369" s="8" t="s">
        <v>1398</v>
      </c>
      <c r="B1369" s="8" t="s">
        <v>3729</v>
      </c>
      <c r="C1369" s="1" t="str">
        <f>RIGHT(ProductInfo[[#This Row],[Drawing No]],1)</f>
        <v>0</v>
      </c>
      <c r="D1369" s="176" t="s">
        <v>3191</v>
      </c>
      <c r="E1369" s="16" t="s">
        <v>3540</v>
      </c>
      <c r="F1369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69" s="59">
        <v>15</v>
      </c>
      <c r="H1369" s="59">
        <v>100</v>
      </c>
      <c r="I1369" s="1">
        <f>COUNTA(ProductInfo[[#This Row],[P1]:[P15]])</f>
        <v>3</v>
      </c>
      <c r="J13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69" s="7" t="s">
        <v>12</v>
      </c>
      <c r="M1369" s="7" t="s">
        <v>13</v>
      </c>
      <c r="N1369" s="7" t="s">
        <v>15</v>
      </c>
      <c r="O1369" s="7"/>
      <c r="P1369" s="7"/>
      <c r="Q1369" s="7"/>
      <c r="R1369" s="4"/>
      <c r="S1369" s="7"/>
      <c r="T1369" s="4"/>
      <c r="U1369" s="4"/>
      <c r="V1369" s="4"/>
      <c r="W1369" s="4"/>
      <c r="X1369" s="4"/>
      <c r="Y1369" s="4"/>
      <c r="Z1369" s="4"/>
    </row>
    <row r="1370" spans="1:26" s="1" customFormat="1" ht="28.8">
      <c r="A1370" s="8" t="s">
        <v>1399</v>
      </c>
      <c r="B1370" s="8" t="s">
        <v>3731</v>
      </c>
      <c r="C1370" s="1" t="str">
        <f>RIGHT(ProductInfo[[#This Row],[Drawing No]],1)</f>
        <v>0</v>
      </c>
      <c r="D1370" s="179" t="s">
        <v>1400</v>
      </c>
      <c r="E1370" s="18" t="s">
        <v>3540</v>
      </c>
      <c r="F1370" s="26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70" s="3">
        <v>33</v>
      </c>
      <c r="H1370" s="3">
        <v>100</v>
      </c>
      <c r="I1370" s="1">
        <f>COUNTA(ProductInfo[[#This Row],[P1]:[P15]])</f>
        <v>3</v>
      </c>
      <c r="J13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70" s="7" t="s">
        <v>12</v>
      </c>
      <c r="M1370" s="7" t="s">
        <v>13</v>
      </c>
      <c r="N1370" s="7" t="s">
        <v>15</v>
      </c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s="1" customFormat="1">
      <c r="A1371" s="8" t="s">
        <v>1401</v>
      </c>
      <c r="B1371" s="8" t="s">
        <v>1401</v>
      </c>
      <c r="C1371" s="1" t="str">
        <f>RIGHT(ProductInfo[[#This Row],[Drawing No]],1)</f>
        <v>0</v>
      </c>
      <c r="D1371" s="176" t="s">
        <v>1402</v>
      </c>
      <c r="E1371" s="16"/>
      <c r="F13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1" s="31"/>
      <c r="H1371" s="31"/>
      <c r="I1371" s="1">
        <f>COUNTA(ProductInfo[[#This Row],[P1]:[P15]])</f>
        <v>0</v>
      </c>
      <c r="J13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s="1" customFormat="1">
      <c r="A1372" s="8" t="s">
        <v>1403</v>
      </c>
      <c r="B1372" s="8" t="s">
        <v>1403</v>
      </c>
      <c r="C1372" s="1" t="str">
        <f>RIGHT(ProductInfo[[#This Row],[Drawing No]],1)</f>
        <v>1</v>
      </c>
      <c r="D1372" s="176" t="s">
        <v>2941</v>
      </c>
      <c r="E1372" s="16"/>
      <c r="F13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2" s="31"/>
      <c r="H1372" s="31"/>
      <c r="I1372" s="1">
        <f>COUNTA(ProductInfo[[#This Row],[P1]:[P15]])</f>
        <v>0</v>
      </c>
      <c r="J13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s="1" customFormat="1">
      <c r="A1373" s="8" t="s">
        <v>1404</v>
      </c>
      <c r="B1373" s="8" t="s">
        <v>5569</v>
      </c>
      <c r="C1373" s="1" t="str">
        <f>RIGHT(ProductInfo[[#This Row],[Drawing No]],1)</f>
        <v>0</v>
      </c>
      <c r="D1373" s="176" t="s">
        <v>2637</v>
      </c>
      <c r="E1373" s="16" t="s">
        <v>3529</v>
      </c>
      <c r="F1373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73" s="59">
        <v>17</v>
      </c>
      <c r="H1373" s="59">
        <v>100</v>
      </c>
      <c r="I1373" s="1">
        <f>COUNTA(ProductInfo[[#This Row],[P1]:[P15]])</f>
        <v>2</v>
      </c>
      <c r="J13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3" s="7" t="s">
        <v>12</v>
      </c>
      <c r="M1373" s="7" t="s">
        <v>13</v>
      </c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s="1" customFormat="1">
      <c r="A1374" s="8" t="s">
        <v>1405</v>
      </c>
      <c r="B1374" s="8" t="s">
        <v>1405</v>
      </c>
      <c r="C1374" s="1" t="str">
        <f>RIGHT(ProductInfo[[#This Row],[Drawing No]],1)</f>
        <v>0</v>
      </c>
      <c r="D1374" s="176" t="s">
        <v>1406</v>
      </c>
      <c r="E1374" s="16"/>
      <c r="F13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4" s="31"/>
      <c r="H1374" s="31"/>
      <c r="I1374" s="1">
        <f>COUNTA(ProductInfo[[#This Row],[P1]:[P15]])</f>
        <v>0</v>
      </c>
      <c r="J13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s="1" customFormat="1">
      <c r="A1375" s="8" t="s">
        <v>1407</v>
      </c>
      <c r="B1375" s="8" t="s">
        <v>1407</v>
      </c>
      <c r="C1375" s="1" t="str">
        <f>RIGHT(ProductInfo[[#This Row],[Drawing No]],1)</f>
        <v>0</v>
      </c>
      <c r="D1375" s="179" t="s">
        <v>3069</v>
      </c>
      <c r="E1375" s="18"/>
      <c r="F137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5" s="32"/>
      <c r="H1375" s="32"/>
      <c r="I1375" s="1">
        <f>COUNTA(ProductInfo[[#This Row],[P1]:[P15]])</f>
        <v>0</v>
      </c>
      <c r="J13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s="1" customFormat="1">
      <c r="A1376" s="8" t="s">
        <v>1408</v>
      </c>
      <c r="B1376" s="8" t="s">
        <v>1408</v>
      </c>
      <c r="C1376" s="1" t="str">
        <f>RIGHT(ProductInfo[[#This Row],[Drawing No]],1)</f>
        <v>R</v>
      </c>
      <c r="D1376" s="179" t="s">
        <v>2845</v>
      </c>
      <c r="E1376" s="18"/>
      <c r="F137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6" s="32"/>
      <c r="H1376" s="32"/>
      <c r="I1376" s="1">
        <f>COUNTA(ProductInfo[[#This Row],[P1]:[P15]])</f>
        <v>0</v>
      </c>
      <c r="J13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s="1" customFormat="1">
      <c r="A1377" s="8" t="s">
        <v>1409</v>
      </c>
      <c r="B1377" s="8" t="s">
        <v>1409</v>
      </c>
      <c r="C1377" s="1" t="str">
        <f>RIGHT(ProductInfo[[#This Row],[Drawing No]],1)</f>
        <v>0</v>
      </c>
      <c r="D1377" s="176" t="s">
        <v>1410</v>
      </c>
      <c r="E1377" s="16"/>
      <c r="F13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7" s="31"/>
      <c r="H1377" s="31"/>
      <c r="I1377" s="1">
        <f>COUNTA(ProductInfo[[#This Row],[P1]:[P15]])</f>
        <v>0</v>
      </c>
      <c r="J13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s="1" customFormat="1">
      <c r="A1378" s="8" t="s">
        <v>1411</v>
      </c>
      <c r="B1378" s="8" t="s">
        <v>5442</v>
      </c>
      <c r="C1378" s="1" t="str">
        <f>RIGHT(ProductInfo[[#This Row],[Drawing No]],1)</f>
        <v>0</v>
      </c>
      <c r="D1378" s="176" t="s">
        <v>1410</v>
      </c>
      <c r="E1378" s="16" t="s">
        <v>3439</v>
      </c>
      <c r="F1378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1378" s="59">
        <v>41.5</v>
      </c>
      <c r="H1378" s="59">
        <v>100</v>
      </c>
      <c r="I1378" s="1">
        <f>COUNTA(ProductInfo[[#This Row],[P1]:[P15]])</f>
        <v>2</v>
      </c>
      <c r="J13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78" s="7" t="s">
        <v>12</v>
      </c>
      <c r="M1378" s="7" t="s">
        <v>13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s="1" customFormat="1">
      <c r="A1379" s="8" t="s">
        <v>5207</v>
      </c>
      <c r="B1379" s="8" t="s">
        <v>4264</v>
      </c>
      <c r="C1379" s="2" t="str">
        <f>RIGHT(ProductInfo[[#This Row],[Drawing No]],1)</f>
        <v>0</v>
      </c>
      <c r="D1379" s="176" t="s">
        <v>5209</v>
      </c>
      <c r="E1379" s="16"/>
      <c r="F13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79" s="31"/>
      <c r="H1379" s="31"/>
      <c r="I1379" s="1">
        <f>COUNTA(ProductInfo[[#This Row],[P1]:[P15]])</f>
        <v>3</v>
      </c>
      <c r="J13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79" s="7" t="s">
        <v>12</v>
      </c>
      <c r="M1379" s="7" t="s">
        <v>13</v>
      </c>
      <c r="N1379" s="4" t="s">
        <v>15</v>
      </c>
      <c r="O1379" s="7"/>
      <c r="P1379" s="7"/>
      <c r="Q1379" s="7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s="1" customFormat="1">
      <c r="A1380" s="8" t="s">
        <v>1412</v>
      </c>
      <c r="B1380" s="8" t="s">
        <v>3747</v>
      </c>
      <c r="C1380" s="1" t="str">
        <f>RIGHT(ProductInfo[[#This Row],[Drawing No]],1)</f>
        <v>0</v>
      </c>
      <c r="D1380" s="176" t="s">
        <v>3192</v>
      </c>
      <c r="E1380" s="16" t="s">
        <v>3540</v>
      </c>
      <c r="F1380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80" s="59">
        <v>23</v>
      </c>
      <c r="H1380" s="59">
        <v>100</v>
      </c>
      <c r="I1380" s="1">
        <f>COUNTA(ProductInfo[[#This Row],[P1]:[P15]])</f>
        <v>3</v>
      </c>
      <c r="J13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380" s="7" t="s">
        <v>12</v>
      </c>
      <c r="M1380" s="7" t="s">
        <v>13</v>
      </c>
      <c r="N1380" s="7" t="s">
        <v>15</v>
      </c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s="1" customFormat="1">
      <c r="A1381" s="8" t="s">
        <v>5606</v>
      </c>
      <c r="B1381" s="8" t="s">
        <v>5605</v>
      </c>
      <c r="C1381" s="2" t="str">
        <f>RIGHT(ProductInfo[[#This Row],[Drawing No]],1)</f>
        <v>1</v>
      </c>
      <c r="D1381" s="176" t="s">
        <v>5607</v>
      </c>
      <c r="E1381" s="16" t="s">
        <v>5608</v>
      </c>
      <c r="F1381" s="23" t="str">
        <f>IFERROR(INDEX(MaterialCode[รายละเอียด],MATCH(ProductInfo[[#This Row],[Material Code]],MaterialCode[Material Code],0)),"ไม่พบวัตถุดิบ")</f>
        <v>ท่ออลูมิเนียม 62x33.5 หกแฉก</v>
      </c>
      <c r="G1381" s="31" t="s">
        <v>4646</v>
      </c>
      <c r="H1381" s="31" t="s">
        <v>4899</v>
      </c>
      <c r="I1381" s="1">
        <f>COUNTA(ProductInfo[[#This Row],[P1]:[P15]])</f>
        <v>2</v>
      </c>
      <c r="J13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1" s="7" t="s">
        <v>12</v>
      </c>
      <c r="M1381" s="7" t="s">
        <v>13</v>
      </c>
      <c r="N1381" s="4"/>
      <c r="O1381" s="7"/>
      <c r="P1381" s="7"/>
      <c r="Q1381" s="7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s="1" customFormat="1">
      <c r="A1382" s="8" t="s">
        <v>5316</v>
      </c>
      <c r="B1382" s="8" t="s">
        <v>5315</v>
      </c>
      <c r="C1382" s="2" t="str">
        <f>RIGHT(ProductInfo[[#This Row],[Drawing No]],1)</f>
        <v>0</v>
      </c>
      <c r="D1382" s="176" t="s">
        <v>5317</v>
      </c>
      <c r="E1382" s="16" t="s">
        <v>3540</v>
      </c>
      <c r="F1382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82" s="59">
        <v>15</v>
      </c>
      <c r="H1382" s="59">
        <v>50</v>
      </c>
      <c r="I1382" s="1">
        <f>COUNTA(ProductInfo[[#This Row],[P1]:[P15]])</f>
        <v>2</v>
      </c>
      <c r="J13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2" s="4" t="s">
        <v>12</v>
      </c>
      <c r="M1382" s="4" t="s">
        <v>13</v>
      </c>
      <c r="N1382" s="4"/>
      <c r="O1382" s="7"/>
      <c r="P1382" s="7"/>
      <c r="Q1382" s="7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s="1" customFormat="1">
      <c r="A1383" s="8" t="s">
        <v>5499</v>
      </c>
      <c r="B1383" s="8" t="s">
        <v>5500</v>
      </c>
      <c r="C1383" s="2" t="str">
        <f>RIGHT(ProductInfo[[#This Row],[Drawing No]],1)</f>
        <v>0</v>
      </c>
      <c r="D1383" s="176" t="s">
        <v>5501</v>
      </c>
      <c r="E1383" s="16"/>
      <c r="F13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83" s="31"/>
      <c r="H1383" s="31"/>
      <c r="I1383" s="1">
        <f>COUNTA(ProductInfo[[#This Row],[P1]:[P15]])</f>
        <v>0</v>
      </c>
      <c r="J13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3" s="7"/>
      <c r="M1383" s="7"/>
      <c r="N1383" s="4"/>
      <c r="O1383" s="7"/>
      <c r="P1383" s="7"/>
      <c r="Q1383" s="7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s="1" customFormat="1">
      <c r="A1384" s="8" t="s">
        <v>5503</v>
      </c>
      <c r="B1384" s="8" t="s">
        <v>5502</v>
      </c>
      <c r="C1384" s="2" t="str">
        <f>RIGHT(ProductInfo[[#This Row],[Drawing No]],1)</f>
        <v>0</v>
      </c>
      <c r="D1384" s="176" t="s">
        <v>5501</v>
      </c>
      <c r="E1384" s="16" t="s">
        <v>3540</v>
      </c>
      <c r="F1384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1384" s="59">
        <v>33</v>
      </c>
      <c r="H1384" s="59">
        <v>100</v>
      </c>
      <c r="I1384" s="1">
        <f>COUNTA(ProductInfo[[#This Row],[P1]:[P15]])</f>
        <v>2</v>
      </c>
      <c r="J13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4" s="7" t="s">
        <v>12</v>
      </c>
      <c r="M1384" s="7" t="s">
        <v>13</v>
      </c>
      <c r="N1384" s="4"/>
      <c r="O1384" s="7"/>
      <c r="P1384" s="7"/>
      <c r="Q1384" s="7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s="1" customFormat="1">
      <c r="A1385" s="8" t="s">
        <v>1413</v>
      </c>
      <c r="B1385" s="8" t="s">
        <v>3327</v>
      </c>
      <c r="C1385" s="1" t="str">
        <f>RIGHT(ProductInfo[[#This Row],[Drawing No]],1)</f>
        <v>1</v>
      </c>
      <c r="D1385" s="178" t="s">
        <v>1414</v>
      </c>
      <c r="E1385" s="17" t="s">
        <v>3529</v>
      </c>
      <c r="F1385" s="25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85" s="61">
        <v>12</v>
      </c>
      <c r="H1385" s="61">
        <v>100</v>
      </c>
      <c r="I1385" s="1">
        <f>COUNTA(ProductInfo[[#This Row],[P1]:[P15]])</f>
        <v>2</v>
      </c>
      <c r="J13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5" s="7" t="s">
        <v>12</v>
      </c>
      <c r="M1385" s="7" t="s">
        <v>13</v>
      </c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s="1" customFormat="1">
      <c r="A1386" s="8" t="s">
        <v>1415</v>
      </c>
      <c r="B1386" s="89" t="s">
        <v>4764</v>
      </c>
      <c r="C1386" s="1" t="str">
        <f>RIGHT(ProductInfo[[#This Row],[Drawing No]],1)</f>
        <v>1</v>
      </c>
      <c r="D1386" s="178" t="s">
        <v>1416</v>
      </c>
      <c r="E1386" s="17" t="s">
        <v>3529</v>
      </c>
      <c r="F1386" s="25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86" s="61">
        <v>12</v>
      </c>
      <c r="H1386" s="61">
        <v>100</v>
      </c>
      <c r="I1386" s="1">
        <f>COUNTA(ProductInfo[[#This Row],[P1]:[P15]])</f>
        <v>2</v>
      </c>
      <c r="J13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6" s="7" t="s">
        <v>12</v>
      </c>
      <c r="M1386" s="7" t="s">
        <v>13</v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s="1" customFormat="1">
      <c r="A1387" s="8" t="s">
        <v>3711</v>
      </c>
      <c r="B1387" s="8" t="s">
        <v>4733</v>
      </c>
      <c r="C1387" s="2" t="str">
        <f>RIGHT(ProductInfo[[#This Row],[Drawing No]],1)</f>
        <v>1</v>
      </c>
      <c r="D1387" s="176" t="s">
        <v>3699</v>
      </c>
      <c r="E1387" s="16" t="s">
        <v>3480</v>
      </c>
      <c r="F1387" s="23" t="str">
        <f>IFERROR(INDEX(MaterialCode[รายละเอียด],MATCH(ProductInfo[[#This Row],[Material Code]],MaterialCode[Material Code],0)),"ไม่พบวัตถุดิบ")</f>
        <v>ท่อเฟืองอลูมีเนียม โต 71 มม.*รูใน 48 มม.(NEW 23/9/63)</v>
      </c>
      <c r="G1387" s="59">
        <v>14</v>
      </c>
      <c r="H1387" s="59">
        <v>100</v>
      </c>
      <c r="I1387" s="1">
        <f>COUNTA(ProductInfo[[#This Row],[P1]:[P15]])</f>
        <v>3</v>
      </c>
      <c r="J13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3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7" s="7" t="s">
        <v>12</v>
      </c>
      <c r="M1387" s="7" t="s">
        <v>13</v>
      </c>
      <c r="N1387" s="4" t="s">
        <v>14</v>
      </c>
      <c r="O1387" s="7"/>
      <c r="P1387" s="7"/>
      <c r="Q1387" s="7"/>
      <c r="R1387" s="4"/>
      <c r="S1387" s="4"/>
      <c r="T1387" s="7"/>
      <c r="U1387" s="7"/>
      <c r="V1387" s="7"/>
      <c r="W1387" s="7"/>
      <c r="X1387" s="7"/>
      <c r="Y1387" s="7"/>
      <c r="Z1387" s="7"/>
    </row>
    <row r="1388" spans="1:26" s="1" customFormat="1">
      <c r="A1388" s="8" t="s">
        <v>1417</v>
      </c>
      <c r="B1388" s="8" t="s">
        <v>1417</v>
      </c>
      <c r="C1388" s="1" t="str">
        <f>RIGHT(ProductInfo[[#This Row],[Drawing No]],1)</f>
        <v>0</v>
      </c>
      <c r="D1388" s="176" t="s">
        <v>2638</v>
      </c>
      <c r="E1388" s="16"/>
      <c r="F13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88" s="31"/>
      <c r="H1388" s="31"/>
      <c r="I1388" s="1">
        <f>COUNTA(ProductInfo[[#This Row],[P1]:[P15]])</f>
        <v>0</v>
      </c>
      <c r="J13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s="1" customFormat="1">
      <c r="A1389" s="8" t="s">
        <v>1418</v>
      </c>
      <c r="B1389" s="8" t="s">
        <v>1418</v>
      </c>
      <c r="C1389" s="1" t="str">
        <f>RIGHT(ProductInfo[[#This Row],[Drawing No]],1)</f>
        <v>1</v>
      </c>
      <c r="D1389" s="179" t="s">
        <v>1419</v>
      </c>
      <c r="E1389" s="18"/>
      <c r="F138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89" s="32"/>
      <c r="H1389" s="32"/>
      <c r="I1389" s="1">
        <f>COUNTA(ProductInfo[[#This Row],[P1]:[P15]])</f>
        <v>0</v>
      </c>
      <c r="J13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s="1" customFormat="1">
      <c r="A1390" s="8" t="s">
        <v>1420</v>
      </c>
      <c r="B1390" s="8" t="s">
        <v>1420</v>
      </c>
      <c r="C1390" s="1" t="str">
        <f>RIGHT(ProductInfo[[#This Row],[Drawing No]],1)</f>
        <v>1</v>
      </c>
      <c r="D1390" s="179" t="s">
        <v>2846</v>
      </c>
      <c r="E1390" s="18" t="s">
        <v>3519</v>
      </c>
      <c r="F1390" s="26" t="str">
        <f>IFERROR(INDEX(MaterialCode[รายละเอียด],MATCH(ProductInfo[[#This Row],[Material Code]],MaterialCode[Material Code],0)),"ไม่พบวัตถุดิบ")</f>
        <v>ท่ออลูมีเนียมโต 49.5 มม.*รู 31.5 มม.</v>
      </c>
      <c r="G1390" s="3">
        <v>8.5</v>
      </c>
      <c r="H1390" s="3"/>
      <c r="I1390" s="1">
        <f>COUNTA(ProductInfo[[#This Row],[P1]:[P15]])</f>
        <v>2</v>
      </c>
      <c r="J13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0" s="7" t="s">
        <v>12</v>
      </c>
      <c r="M1390" s="7" t="s">
        <v>13</v>
      </c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s="1" customFormat="1">
      <c r="A1391" s="8" t="s">
        <v>1421</v>
      </c>
      <c r="B1391" s="8" t="s">
        <v>3756</v>
      </c>
      <c r="C1391" s="1" t="str">
        <f>RIGHT(ProductInfo[[#This Row],[Drawing No]],1)</f>
        <v>0</v>
      </c>
      <c r="D1391" s="176" t="s">
        <v>2639</v>
      </c>
      <c r="E1391" s="16" t="s">
        <v>3529</v>
      </c>
      <c r="F1391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91" s="59">
        <v>21</v>
      </c>
      <c r="H1391" s="59">
        <v>100</v>
      </c>
      <c r="I1391" s="1">
        <f>COUNTA(ProductInfo[[#This Row],[P1]:[P15]])</f>
        <v>2</v>
      </c>
      <c r="J13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1" s="7" t="s">
        <v>12</v>
      </c>
      <c r="M1391" s="7" t="s">
        <v>13</v>
      </c>
      <c r="N1391" s="4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s="1" customFormat="1">
      <c r="A1392" s="8" t="s">
        <v>1422</v>
      </c>
      <c r="B1392" s="8" t="s">
        <v>3341</v>
      </c>
      <c r="C1392" s="1" t="str">
        <f>RIGHT(ProductInfo[[#This Row],[Drawing No]],1)</f>
        <v>0</v>
      </c>
      <c r="D1392" s="179" t="s">
        <v>2847</v>
      </c>
      <c r="E1392" s="18" t="s">
        <v>3459</v>
      </c>
      <c r="F1392" s="26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392" s="3">
        <v>21</v>
      </c>
      <c r="H1392" s="3">
        <v>100</v>
      </c>
      <c r="I1392" s="1">
        <f>COUNTA(ProductInfo[[#This Row],[P1]:[P15]])</f>
        <v>2</v>
      </c>
      <c r="J13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2" s="7" t="s">
        <v>12</v>
      </c>
      <c r="M1392" s="7" t="s">
        <v>13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s="1" customFormat="1">
      <c r="A1393" s="8" t="s">
        <v>1423</v>
      </c>
      <c r="B1393" s="8" t="s">
        <v>1423</v>
      </c>
      <c r="C1393" s="1" t="str">
        <f>RIGHT(ProductInfo[[#This Row],[Drawing No]],1)</f>
        <v>0</v>
      </c>
      <c r="D1393" s="181" t="s">
        <v>2640</v>
      </c>
      <c r="E1393" s="16"/>
      <c r="F1393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3" s="31"/>
      <c r="H1393" s="31"/>
      <c r="I1393" s="1">
        <f>COUNTA(ProductInfo[[#This Row],[P1]:[P15]])</f>
        <v>0</v>
      </c>
      <c r="J13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s="1" customFormat="1">
      <c r="A1394" s="8" t="s">
        <v>1424</v>
      </c>
      <c r="B1394" s="8" t="s">
        <v>6425</v>
      </c>
      <c r="C1394" s="1" t="str">
        <f>RIGHT(ProductInfo[[#This Row],[Drawing No]],1)</f>
        <v>0</v>
      </c>
      <c r="D1394" s="181" t="s">
        <v>6426</v>
      </c>
      <c r="E1394" s="19"/>
      <c r="F1394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4" s="41"/>
      <c r="H1394" s="41"/>
      <c r="I1394" s="1">
        <f>COUNTA(ProductInfo[[#This Row],[P1]:[P15]])</f>
        <v>0</v>
      </c>
      <c r="J13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s="1" customFormat="1">
      <c r="A1395" s="8" t="s">
        <v>1425</v>
      </c>
      <c r="B1395" s="8" t="s">
        <v>1425</v>
      </c>
      <c r="C1395" s="1" t="str">
        <f>RIGHT(ProductInfo[[#This Row],[Drawing No]],1)</f>
        <v>0</v>
      </c>
      <c r="D1395" s="181" t="s">
        <v>1426</v>
      </c>
      <c r="E1395" s="19"/>
      <c r="F1395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5" s="41"/>
      <c r="H1395" s="41"/>
      <c r="I1395" s="1">
        <f>COUNTA(ProductInfo[[#This Row],[P1]:[P15]])</f>
        <v>0</v>
      </c>
      <c r="J13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s="1" customFormat="1">
      <c r="A1396" s="8" t="s">
        <v>1427</v>
      </c>
      <c r="B1396" s="8" t="s">
        <v>6024</v>
      </c>
      <c r="C1396" s="1" t="str">
        <f>RIGHT(ProductInfo[[#This Row],[Drawing No]],1)</f>
        <v>2</v>
      </c>
      <c r="D1396" s="181" t="s">
        <v>2848</v>
      </c>
      <c r="E1396" s="19"/>
      <c r="F1396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6" s="41"/>
      <c r="H1396" s="41"/>
      <c r="I1396" s="1">
        <f>COUNTA(ProductInfo[[#This Row],[P1]:[P15]])</f>
        <v>0</v>
      </c>
      <c r="J13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s="1" customFormat="1">
      <c r="A1397" s="8" t="s">
        <v>1428</v>
      </c>
      <c r="B1397" s="8" t="s">
        <v>6024</v>
      </c>
      <c r="C1397" s="1" t="str">
        <f>RIGHT(ProductInfo[[#This Row],[Drawing No]],1)</f>
        <v>2</v>
      </c>
      <c r="D1397" s="181" t="s">
        <v>2641</v>
      </c>
      <c r="E1397" s="19" t="s">
        <v>3529</v>
      </c>
      <c r="F1397" s="27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397" s="41" t="s">
        <v>6023</v>
      </c>
      <c r="H1397" s="41" t="s">
        <v>5999</v>
      </c>
      <c r="I1397" s="1">
        <f>COUNTA(ProductInfo[[#This Row],[P1]:[P15]])</f>
        <v>2</v>
      </c>
      <c r="J13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3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7" s="7" t="s">
        <v>12</v>
      </c>
      <c r="M1397" s="7" t="s">
        <v>13</v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s="1" customFormat="1">
      <c r="A1398" s="8" t="s">
        <v>1429</v>
      </c>
      <c r="B1398" s="8" t="s">
        <v>1429</v>
      </c>
      <c r="C1398" s="1" t="str">
        <f>RIGHT(ProductInfo[[#This Row],[Drawing No]],1)</f>
        <v>5</v>
      </c>
      <c r="D1398" s="176" t="s">
        <v>1430</v>
      </c>
      <c r="E1398" s="16"/>
      <c r="F13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8" s="31"/>
      <c r="H1398" s="31"/>
      <c r="I1398" s="1">
        <f>COUNTA(ProductInfo[[#This Row],[P1]:[P15]])</f>
        <v>0</v>
      </c>
      <c r="J13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s="1" customFormat="1">
      <c r="A1399" s="8" t="s">
        <v>1431</v>
      </c>
      <c r="B1399" s="8" t="s">
        <v>1431</v>
      </c>
      <c r="C1399" s="1" t="str">
        <f>RIGHT(ProductInfo[[#This Row],[Drawing No]],1)</f>
        <v>6</v>
      </c>
      <c r="D1399" s="176" t="s">
        <v>1432</v>
      </c>
      <c r="E1399" s="16"/>
      <c r="F13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399" s="31"/>
      <c r="H1399" s="31"/>
      <c r="I1399" s="1">
        <f>COUNTA(ProductInfo[[#This Row],[P1]:[P15]])</f>
        <v>0</v>
      </c>
      <c r="J13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3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s="1" customFormat="1">
      <c r="A1400" s="8" t="s">
        <v>1433</v>
      </c>
      <c r="B1400" s="8" t="s">
        <v>1433</v>
      </c>
      <c r="C1400" s="1" t="str">
        <f>RIGHT(ProductInfo[[#This Row],[Drawing No]],1)</f>
        <v>0</v>
      </c>
      <c r="D1400" s="179" t="s">
        <v>1434</v>
      </c>
      <c r="E1400" s="18"/>
      <c r="F140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0" s="32"/>
      <c r="H1400" s="32"/>
      <c r="I1400" s="1">
        <f>COUNTA(ProductInfo[[#This Row],[P1]:[P15]])</f>
        <v>0</v>
      </c>
      <c r="J14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s="1" customFormat="1">
      <c r="A1401" s="8" t="s">
        <v>1435</v>
      </c>
      <c r="B1401" s="8" t="s">
        <v>1435</v>
      </c>
      <c r="C1401" s="1" t="str">
        <f>RIGHT(ProductInfo[[#This Row],[Drawing No]],1)</f>
        <v>3</v>
      </c>
      <c r="D1401" s="176" t="s">
        <v>2642</v>
      </c>
      <c r="E1401" s="16"/>
      <c r="F14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1" s="31"/>
      <c r="H1401" s="31"/>
      <c r="I1401" s="1">
        <f>COUNTA(ProductInfo[[#This Row],[P1]:[P15]])</f>
        <v>0</v>
      </c>
      <c r="J14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s="1" customFormat="1">
      <c r="A1402" s="8" t="s">
        <v>1436</v>
      </c>
      <c r="B1402" s="8" t="s">
        <v>1436</v>
      </c>
      <c r="C1402" s="1" t="str">
        <f>RIGHT(ProductInfo[[#This Row],[Drawing No]],1)</f>
        <v>4</v>
      </c>
      <c r="D1402" s="176" t="s">
        <v>1437</v>
      </c>
      <c r="E1402" s="16"/>
      <c r="F14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2" s="31"/>
      <c r="H1402" s="31"/>
      <c r="I1402" s="1">
        <f>COUNTA(ProductInfo[[#This Row],[P1]:[P15]])</f>
        <v>0</v>
      </c>
      <c r="J14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s="1" customFormat="1">
      <c r="A1403" s="8" t="s">
        <v>1438</v>
      </c>
      <c r="B1403" s="8" t="s">
        <v>1438</v>
      </c>
      <c r="C1403" s="1" t="str">
        <f>RIGHT(ProductInfo[[#This Row],[Drawing No]],1)</f>
        <v>0</v>
      </c>
      <c r="D1403" s="176" t="s">
        <v>2643</v>
      </c>
      <c r="E1403" s="16"/>
      <c r="F14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3" s="31"/>
      <c r="H1403" s="31"/>
      <c r="I1403" s="1">
        <f>COUNTA(ProductInfo[[#This Row],[P1]:[P15]])</f>
        <v>0</v>
      </c>
      <c r="J14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s="1" customFormat="1">
      <c r="A1404" s="8" t="s">
        <v>1439</v>
      </c>
      <c r="B1404" s="8" t="s">
        <v>1439</v>
      </c>
      <c r="C1404" s="1" t="str">
        <f>RIGHT(ProductInfo[[#This Row],[Drawing No]],1)</f>
        <v>0</v>
      </c>
      <c r="D1404" s="176" t="s">
        <v>2644</v>
      </c>
      <c r="E1404" s="16"/>
      <c r="F14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4" s="31"/>
      <c r="H1404" s="31"/>
      <c r="I1404" s="1">
        <f>COUNTA(ProductInfo[[#This Row],[P1]:[P15]])</f>
        <v>0</v>
      </c>
      <c r="J14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s="1" customFormat="1">
      <c r="A1405" s="8" t="s">
        <v>1440</v>
      </c>
      <c r="B1405" s="8" t="s">
        <v>1440</v>
      </c>
      <c r="C1405" s="1" t="str">
        <f>RIGHT(ProductInfo[[#This Row],[Drawing No]],1)</f>
        <v>1</v>
      </c>
      <c r="D1405" s="176" t="s">
        <v>2644</v>
      </c>
      <c r="E1405" s="16"/>
      <c r="F14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5" s="31"/>
      <c r="H1405" s="31"/>
      <c r="I1405" s="1">
        <f>COUNTA(ProductInfo[[#This Row],[P1]:[P15]])</f>
        <v>0</v>
      </c>
      <c r="J14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s="1" customFormat="1">
      <c r="A1406" s="8" t="s">
        <v>1441</v>
      </c>
      <c r="B1406" s="8" t="s">
        <v>1441</v>
      </c>
      <c r="C1406" s="1" t="str">
        <f>RIGHT(ProductInfo[[#This Row],[Drawing No]],1)</f>
        <v>0</v>
      </c>
      <c r="D1406" s="176" t="s">
        <v>2645</v>
      </c>
      <c r="E1406" s="16"/>
      <c r="F14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6" s="31"/>
      <c r="H1406" s="31"/>
      <c r="I1406" s="1">
        <f>COUNTA(ProductInfo[[#This Row],[P1]:[P15]])</f>
        <v>0</v>
      </c>
      <c r="J14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s="1" customFormat="1">
      <c r="A1407" s="8" t="s">
        <v>1442</v>
      </c>
      <c r="B1407" s="8" t="s">
        <v>1442</v>
      </c>
      <c r="C1407" s="1" t="str">
        <f>RIGHT(ProductInfo[[#This Row],[Drawing No]],1)</f>
        <v>1</v>
      </c>
      <c r="D1407" s="176" t="s">
        <v>2645</v>
      </c>
      <c r="E1407" s="16"/>
      <c r="F14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7" s="31"/>
      <c r="H1407" s="31"/>
      <c r="I1407" s="1">
        <f>COUNTA(ProductInfo[[#This Row],[P1]:[P15]])</f>
        <v>0</v>
      </c>
      <c r="J14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s="1" customFormat="1">
      <c r="A1408" s="8" t="s">
        <v>1443</v>
      </c>
      <c r="B1408" s="8" t="s">
        <v>1443</v>
      </c>
      <c r="C1408" s="1" t="str">
        <f>RIGHT(ProductInfo[[#This Row],[Drawing No]],1)</f>
        <v>3</v>
      </c>
      <c r="D1408" s="176" t="s">
        <v>2646</v>
      </c>
      <c r="E1408" s="16"/>
      <c r="F14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8" s="31"/>
      <c r="H1408" s="31"/>
      <c r="I1408" s="1">
        <f>COUNTA(ProductInfo[[#This Row],[P1]:[P15]])</f>
        <v>0</v>
      </c>
      <c r="J14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s="1" customFormat="1">
      <c r="A1409" s="8" t="s">
        <v>1444</v>
      </c>
      <c r="B1409" s="8" t="s">
        <v>1444</v>
      </c>
      <c r="C1409" s="1" t="str">
        <f>RIGHT(ProductInfo[[#This Row],[Drawing No]],1)</f>
        <v>4</v>
      </c>
      <c r="D1409" s="176" t="s">
        <v>2646</v>
      </c>
      <c r="E1409" s="16"/>
      <c r="F14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09" s="31"/>
      <c r="H1409" s="31"/>
      <c r="I1409" s="1">
        <f>COUNTA(ProductInfo[[#This Row],[P1]:[P15]])</f>
        <v>0</v>
      </c>
      <c r="J14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s="1" customFormat="1">
      <c r="A1410" s="8" t="s">
        <v>1445</v>
      </c>
      <c r="B1410" s="8" t="s">
        <v>1445</v>
      </c>
      <c r="C1410" s="1" t="str">
        <f>RIGHT(ProductInfo[[#This Row],[Drawing No]],1)</f>
        <v>0</v>
      </c>
      <c r="D1410" s="176" t="s">
        <v>2942</v>
      </c>
      <c r="E1410" s="16"/>
      <c r="F14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0" s="31"/>
      <c r="H1410" s="31"/>
      <c r="I1410" s="1">
        <f>COUNTA(ProductInfo[[#This Row],[P1]:[P15]])</f>
        <v>0</v>
      </c>
      <c r="J14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s="1" customFormat="1">
      <c r="A1411" s="8" t="s">
        <v>1446</v>
      </c>
      <c r="B1411" s="8" t="s">
        <v>1446</v>
      </c>
      <c r="C1411" s="1" t="str">
        <f>RIGHT(ProductInfo[[#This Row],[Drawing No]],1)</f>
        <v>1</v>
      </c>
      <c r="D1411" s="176" t="s">
        <v>2942</v>
      </c>
      <c r="E1411" s="16"/>
      <c r="F14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1" s="31"/>
      <c r="H1411" s="31"/>
      <c r="I1411" s="1">
        <f>COUNTA(ProductInfo[[#This Row],[P1]:[P15]])</f>
        <v>0</v>
      </c>
      <c r="J14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s="1" customFormat="1">
      <c r="A1412" s="8" t="s">
        <v>1447</v>
      </c>
      <c r="B1412" s="8" t="s">
        <v>1447</v>
      </c>
      <c r="C1412" s="1" t="str">
        <f>RIGHT(ProductInfo[[#This Row],[Drawing No]],1)</f>
        <v>1</v>
      </c>
      <c r="D1412" s="176" t="s">
        <v>2849</v>
      </c>
      <c r="E1412" s="16"/>
      <c r="F14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2" s="31"/>
      <c r="H1412" s="31"/>
      <c r="I1412" s="1">
        <f>COUNTA(ProductInfo[[#This Row],[P1]:[P15]])</f>
        <v>0</v>
      </c>
      <c r="J14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s="1" customFormat="1">
      <c r="A1413" s="8" t="s">
        <v>1448</v>
      </c>
      <c r="B1413" s="8" t="s">
        <v>1448</v>
      </c>
      <c r="C1413" s="1" t="str">
        <f>RIGHT(ProductInfo[[#This Row],[Drawing No]],1)</f>
        <v>2</v>
      </c>
      <c r="D1413" s="179" t="s">
        <v>3070</v>
      </c>
      <c r="E1413" s="18"/>
      <c r="F141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3" s="32"/>
      <c r="H1413" s="32"/>
      <c r="I1413" s="1">
        <f>COUNTA(ProductInfo[[#This Row],[P1]:[P15]])</f>
        <v>0</v>
      </c>
      <c r="J14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s="1" customFormat="1">
      <c r="A1414" s="8" t="s">
        <v>1449</v>
      </c>
      <c r="B1414" s="8" t="s">
        <v>1449</v>
      </c>
      <c r="C1414" s="1" t="str">
        <f>RIGHT(ProductInfo[[#This Row],[Drawing No]],1)</f>
        <v>0</v>
      </c>
      <c r="D1414" s="176" t="s">
        <v>2647</v>
      </c>
      <c r="E1414" s="16"/>
      <c r="F14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4" s="31"/>
      <c r="H1414" s="31"/>
      <c r="I1414" s="1">
        <f>COUNTA(ProductInfo[[#This Row],[P1]:[P15]])</f>
        <v>0</v>
      </c>
      <c r="J14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s="1" customFormat="1">
      <c r="A1415" s="8" t="s">
        <v>1450</v>
      </c>
      <c r="B1415" s="8" t="s">
        <v>1450</v>
      </c>
      <c r="C1415" s="1" t="str">
        <f>RIGHT(ProductInfo[[#This Row],[Drawing No]],1)</f>
        <v>1</v>
      </c>
      <c r="D1415" s="176" t="s">
        <v>2648</v>
      </c>
      <c r="E1415" s="16"/>
      <c r="F14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5" s="31"/>
      <c r="H1415" s="31"/>
      <c r="I1415" s="1">
        <f>COUNTA(ProductInfo[[#This Row],[P1]:[P15]])</f>
        <v>2</v>
      </c>
      <c r="J14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5" s="7" t="s">
        <v>12</v>
      </c>
      <c r="M1415" s="7" t="s">
        <v>13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s="1" customFormat="1">
      <c r="A1416" s="8" t="s">
        <v>1451</v>
      </c>
      <c r="B1416" s="8" t="s">
        <v>5431</v>
      </c>
      <c r="C1416" s="1" t="str">
        <f>RIGHT(ProductInfo[[#This Row],[Drawing No]],1)</f>
        <v>1</v>
      </c>
      <c r="D1416" s="176" t="s">
        <v>2649</v>
      </c>
      <c r="E1416" s="16" t="s">
        <v>3529</v>
      </c>
      <c r="F1416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416" s="59">
        <v>23</v>
      </c>
      <c r="H1416" s="59">
        <v>100</v>
      </c>
      <c r="I1416" s="1">
        <f>COUNTA(ProductInfo[[#This Row],[P1]:[P15]])</f>
        <v>2</v>
      </c>
      <c r="J14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6" s="7" t="s">
        <v>12</v>
      </c>
      <c r="M1416" s="7" t="s">
        <v>13</v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s="1" customFormat="1">
      <c r="A1417" s="8" t="s">
        <v>1452</v>
      </c>
      <c r="B1417" s="8" t="s">
        <v>1452</v>
      </c>
      <c r="C1417" s="1" t="str">
        <f>RIGHT(ProductInfo[[#This Row],[Drawing No]],1)</f>
        <v>0</v>
      </c>
      <c r="D1417" s="176" t="s">
        <v>1453</v>
      </c>
      <c r="E1417" s="16"/>
      <c r="F14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7" s="31"/>
      <c r="H1417" s="31"/>
      <c r="I1417" s="1">
        <f>COUNTA(ProductInfo[[#This Row],[P1]:[P15]])</f>
        <v>0</v>
      </c>
      <c r="J14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s="1" customFormat="1">
      <c r="A1418" s="8" t="s">
        <v>1454</v>
      </c>
      <c r="B1418" s="8" t="s">
        <v>1454</v>
      </c>
      <c r="C1418" s="1" t="str">
        <f>RIGHT(ProductInfo[[#This Row],[Drawing No]],1)</f>
        <v>3</v>
      </c>
      <c r="D1418" s="176" t="s">
        <v>3193</v>
      </c>
      <c r="E1418" s="16"/>
      <c r="F14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8" s="31"/>
      <c r="H1418" s="31"/>
      <c r="I1418" s="1">
        <f>COUNTA(ProductInfo[[#This Row],[P1]:[P15]])</f>
        <v>0</v>
      </c>
      <c r="J14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s="1" customFormat="1">
      <c r="A1419" s="8" t="s">
        <v>1455</v>
      </c>
      <c r="B1419" s="8" t="s">
        <v>1455</v>
      </c>
      <c r="C1419" s="1" t="str">
        <f>RIGHT(ProductInfo[[#This Row],[Drawing No]],1)</f>
        <v>0</v>
      </c>
      <c r="D1419" s="176" t="s">
        <v>2943</v>
      </c>
      <c r="E1419" s="16"/>
      <c r="F14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19" s="31"/>
      <c r="H1419" s="31"/>
      <c r="I1419" s="1">
        <f>COUNTA(ProductInfo[[#This Row],[P1]:[P15]])</f>
        <v>0</v>
      </c>
      <c r="J14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s="1" customFormat="1">
      <c r="A1420" s="8" t="s">
        <v>1456</v>
      </c>
      <c r="B1420" s="8" t="s">
        <v>1456</v>
      </c>
      <c r="C1420" s="1" t="str">
        <f>RIGHT(ProductInfo[[#This Row],[Drawing No]],1)</f>
        <v>1</v>
      </c>
      <c r="D1420" s="176" t="s">
        <v>2650</v>
      </c>
      <c r="E1420" s="16"/>
      <c r="F14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0" s="31"/>
      <c r="H1420" s="31"/>
      <c r="I1420" s="1">
        <f>COUNTA(ProductInfo[[#This Row],[P1]:[P15]])</f>
        <v>0</v>
      </c>
      <c r="J14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s="1" customFormat="1">
      <c r="A1421" s="8" t="s">
        <v>1457</v>
      </c>
      <c r="B1421" s="8" t="s">
        <v>1457</v>
      </c>
      <c r="C1421" s="1" t="str">
        <f>RIGHT(ProductInfo[[#This Row],[Drawing No]],1)</f>
        <v>2</v>
      </c>
      <c r="D1421" s="179" t="s">
        <v>2651</v>
      </c>
      <c r="E1421" s="18"/>
      <c r="F142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1" s="32"/>
      <c r="H1421" s="32"/>
      <c r="I1421" s="1">
        <f>COUNTA(ProductInfo[[#This Row],[P1]:[P15]])</f>
        <v>0</v>
      </c>
      <c r="J14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s="1" customFormat="1">
      <c r="A1422" s="8" t="s">
        <v>1458</v>
      </c>
      <c r="B1422" s="8" t="s">
        <v>1458</v>
      </c>
      <c r="C1422" s="1" t="str">
        <f>RIGHT(ProductInfo[[#This Row],[Drawing No]],1)</f>
        <v>0</v>
      </c>
      <c r="D1422" s="176" t="s">
        <v>2652</v>
      </c>
      <c r="E1422" s="16"/>
      <c r="F14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2" s="31"/>
      <c r="H1422" s="31"/>
      <c r="I1422" s="1">
        <f>COUNTA(ProductInfo[[#This Row],[P1]:[P15]])</f>
        <v>0</v>
      </c>
      <c r="J14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s="1" customFormat="1">
      <c r="A1423" s="8" t="s">
        <v>1459</v>
      </c>
      <c r="B1423" s="8" t="s">
        <v>1459</v>
      </c>
      <c r="C1423" s="1" t="str">
        <f>RIGHT(ProductInfo[[#This Row],[Drawing No]],1)</f>
        <v>0</v>
      </c>
      <c r="D1423" s="176" t="s">
        <v>1460</v>
      </c>
      <c r="E1423" s="16"/>
      <c r="F14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3" s="31"/>
      <c r="H1423" s="31"/>
      <c r="I1423" s="1">
        <f>COUNTA(ProductInfo[[#This Row],[P1]:[P15]])</f>
        <v>0</v>
      </c>
      <c r="J14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s="1" customFormat="1">
      <c r="A1424" s="8" t="s">
        <v>1461</v>
      </c>
      <c r="B1424" s="8" t="s">
        <v>1461</v>
      </c>
      <c r="C1424" s="1" t="str">
        <f>RIGHT(ProductInfo[[#This Row],[Drawing No]],1)</f>
        <v>0</v>
      </c>
      <c r="D1424" s="176" t="s">
        <v>1462</v>
      </c>
      <c r="E1424" s="16"/>
      <c r="F14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4" s="31"/>
      <c r="H1424" s="31"/>
      <c r="I1424" s="1">
        <f>COUNTA(ProductInfo[[#This Row],[P1]:[P15]])</f>
        <v>0</v>
      </c>
      <c r="J14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s="1" customFormat="1">
      <c r="A1425" s="8" t="s">
        <v>1463</v>
      </c>
      <c r="B1425" s="8" t="s">
        <v>1463</v>
      </c>
      <c r="C1425" s="1" t="str">
        <f>RIGHT(ProductInfo[[#This Row],[Drawing No]],1)</f>
        <v>3</v>
      </c>
      <c r="D1425" s="176" t="s">
        <v>1464</v>
      </c>
      <c r="E1425" s="16"/>
      <c r="F14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5" s="31"/>
      <c r="H1425" s="31"/>
      <c r="I1425" s="1">
        <f>COUNTA(ProductInfo[[#This Row],[P1]:[P15]])</f>
        <v>0</v>
      </c>
      <c r="J14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s="1" customFormat="1">
      <c r="A1426" s="8" t="s">
        <v>4677</v>
      </c>
      <c r="B1426" s="8" t="s">
        <v>4678</v>
      </c>
      <c r="C1426" s="2" t="str">
        <f>RIGHT(ProductInfo[[#This Row],[Drawing No]],1)</f>
        <v>0</v>
      </c>
      <c r="D1426" s="176" t="s">
        <v>4625</v>
      </c>
      <c r="E1426" s="16" t="s">
        <v>3459</v>
      </c>
      <c r="F1426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426" s="59">
        <v>21.5</v>
      </c>
      <c r="H1426" s="59">
        <v>100</v>
      </c>
      <c r="I1426" s="1">
        <f>COUNTA(ProductInfo[[#This Row],[P1]:[P15]])</f>
        <v>3</v>
      </c>
      <c r="J14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4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6" s="4" t="s">
        <v>12</v>
      </c>
      <c r="M1426" s="4" t="s">
        <v>13</v>
      </c>
      <c r="N1426" s="4" t="s">
        <v>14</v>
      </c>
      <c r="O1426" s="7"/>
      <c r="P1426" s="7"/>
      <c r="Q1426" s="7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s="1" customFormat="1">
      <c r="A1427" s="8" t="s">
        <v>1465</v>
      </c>
      <c r="B1427" s="8" t="s">
        <v>1465</v>
      </c>
      <c r="C1427" s="1" t="str">
        <f>RIGHT(ProductInfo[[#This Row],[Drawing No]],1)</f>
        <v>0</v>
      </c>
      <c r="D1427" s="176" t="s">
        <v>1466</v>
      </c>
      <c r="E1427" s="16"/>
      <c r="F14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7" s="31"/>
      <c r="H1427" s="31"/>
      <c r="I1427" s="1">
        <f>COUNTA(ProductInfo[[#This Row],[P1]:[P15]])</f>
        <v>0</v>
      </c>
      <c r="J14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s="1" customFormat="1">
      <c r="A1428" s="8" t="s">
        <v>1467</v>
      </c>
      <c r="B1428" s="8" t="s">
        <v>1467</v>
      </c>
      <c r="C1428" s="1" t="str">
        <f>RIGHT(ProductInfo[[#This Row],[Drawing No]],1)</f>
        <v>0</v>
      </c>
      <c r="D1428" s="179" t="s">
        <v>2850</v>
      </c>
      <c r="E1428" s="18"/>
      <c r="F142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28" s="32"/>
      <c r="H1428" s="32"/>
      <c r="I1428" s="1">
        <f>COUNTA(ProductInfo[[#This Row],[P1]:[P15]])</f>
        <v>0</v>
      </c>
      <c r="J14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s="1" customFormat="1">
      <c r="A1429" s="8" t="s">
        <v>3106</v>
      </c>
      <c r="B1429" s="8" t="s">
        <v>3107</v>
      </c>
      <c r="C1429" s="2" t="str">
        <f>RIGHT(ProductInfo[[#This Row],[Drawing No]],1)</f>
        <v>0</v>
      </c>
      <c r="D1429" s="176" t="s">
        <v>3108</v>
      </c>
      <c r="E1429" s="16" t="s">
        <v>3529</v>
      </c>
      <c r="F1429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429" s="59">
        <v>11.5</v>
      </c>
      <c r="H1429" s="59">
        <v>100</v>
      </c>
      <c r="I1429" s="2">
        <f>COUNTA(ProductInfo[[#This Row],[P1]:[P15]])</f>
        <v>2</v>
      </c>
      <c r="J14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29" s="4" t="s">
        <v>12</v>
      </c>
      <c r="M1429" s="4" t="s">
        <v>13</v>
      </c>
      <c r="N1429" s="4"/>
      <c r="O1429" s="7"/>
      <c r="P1429" s="7"/>
      <c r="Q1429" s="7"/>
      <c r="R1429" s="4"/>
      <c r="S1429" s="4"/>
      <c r="T1429" s="7"/>
      <c r="U1429" s="7"/>
      <c r="V1429" s="7"/>
      <c r="W1429" s="7"/>
      <c r="X1429" s="7"/>
      <c r="Y1429" s="7"/>
      <c r="Z1429" s="7"/>
    </row>
    <row r="1430" spans="1:26" s="1" customFormat="1">
      <c r="A1430" s="8" t="s">
        <v>1468</v>
      </c>
      <c r="B1430" s="8" t="s">
        <v>1468</v>
      </c>
      <c r="C1430" s="1" t="str">
        <f>RIGHT(ProductInfo[[#This Row],[Drawing No]],1)</f>
        <v>0</v>
      </c>
      <c r="D1430" s="176" t="s">
        <v>2653</v>
      </c>
      <c r="E1430" s="16"/>
      <c r="F14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0" s="31"/>
      <c r="H1430" s="31"/>
      <c r="I1430" s="1">
        <f>COUNTA(ProductInfo[[#This Row],[P1]:[P15]])</f>
        <v>0</v>
      </c>
      <c r="J14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s="1" customFormat="1">
      <c r="A1431" s="8" t="s">
        <v>1469</v>
      </c>
      <c r="B1431" s="8" t="s">
        <v>1469</v>
      </c>
      <c r="C1431" s="1" t="str">
        <f>RIGHT(ProductInfo[[#This Row],[Drawing No]],1)</f>
        <v>0</v>
      </c>
      <c r="D1431" s="176" t="s">
        <v>2654</v>
      </c>
      <c r="E1431" s="16"/>
      <c r="F14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1" s="31"/>
      <c r="H1431" s="31"/>
      <c r="I1431" s="1">
        <f>COUNTA(ProductInfo[[#This Row],[P1]:[P15]])</f>
        <v>0</v>
      </c>
      <c r="J14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s="1" customFormat="1">
      <c r="A1432" s="8" t="s">
        <v>1470</v>
      </c>
      <c r="B1432" s="8" t="s">
        <v>3343</v>
      </c>
      <c r="C1432" s="1" t="str">
        <f>RIGHT(ProductInfo[[#This Row],[Drawing No]],1)</f>
        <v>0</v>
      </c>
      <c r="D1432" s="179" t="s">
        <v>2851</v>
      </c>
      <c r="E1432" s="18" t="s">
        <v>3439</v>
      </c>
      <c r="F1432" s="26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1432" s="3">
        <v>14</v>
      </c>
      <c r="H1432" s="3">
        <v>100</v>
      </c>
      <c r="I1432" s="1">
        <f>COUNTA(ProductInfo[[#This Row],[P1]:[P15]])</f>
        <v>2</v>
      </c>
      <c r="J14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4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432" s="7" t="s">
        <v>12</v>
      </c>
      <c r="M1432" s="7" t="s">
        <v>15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s="1" customFormat="1">
      <c r="A1433" s="8" t="s">
        <v>1471</v>
      </c>
      <c r="B1433" s="8" t="s">
        <v>3754</v>
      </c>
      <c r="C1433" s="1" t="str">
        <f>RIGHT(ProductInfo[[#This Row],[Drawing No]],1)</f>
        <v>0</v>
      </c>
      <c r="D1433" s="179" t="s">
        <v>2852</v>
      </c>
      <c r="E1433" s="18" t="s">
        <v>3529</v>
      </c>
      <c r="F1433" s="26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433" s="3">
        <v>17.5</v>
      </c>
      <c r="H1433" s="3">
        <v>100</v>
      </c>
      <c r="I1433" s="1">
        <f>COUNTA(ProductInfo[[#This Row],[P1]:[P15]])</f>
        <v>3</v>
      </c>
      <c r="J14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433" s="7" t="s">
        <v>12</v>
      </c>
      <c r="M1433" s="7" t="s">
        <v>13</v>
      </c>
      <c r="N1433" s="7" t="s">
        <v>15</v>
      </c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s="1" customFormat="1">
      <c r="A1434" s="8" t="s">
        <v>1472</v>
      </c>
      <c r="B1434" s="8" t="s">
        <v>1472</v>
      </c>
      <c r="C1434" s="1" t="str">
        <f>RIGHT(ProductInfo[[#This Row],[Drawing No]],1)</f>
        <v>1</v>
      </c>
      <c r="D1434" s="176" t="s">
        <v>1473</v>
      </c>
      <c r="E1434" s="16"/>
      <c r="F14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4" s="31"/>
      <c r="H1434" s="31"/>
      <c r="I1434" s="1">
        <f>COUNTA(ProductInfo[[#This Row],[P1]:[P15]])</f>
        <v>0</v>
      </c>
      <c r="J14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s="1" customFormat="1">
      <c r="A1435" s="8" t="s">
        <v>1474</v>
      </c>
      <c r="B1435" s="8" t="s">
        <v>1474</v>
      </c>
      <c r="C1435" s="1" t="str">
        <f>RIGHT(ProductInfo[[#This Row],[Drawing No]],1)</f>
        <v>2</v>
      </c>
      <c r="D1435" s="176" t="s">
        <v>1473</v>
      </c>
      <c r="E1435" s="16"/>
      <c r="F14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5" s="31"/>
      <c r="H1435" s="31"/>
      <c r="I1435" s="1">
        <f>COUNTA(ProductInfo[[#This Row],[P1]:[P15]])</f>
        <v>0</v>
      </c>
      <c r="J14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s="1" customFormat="1">
      <c r="A1436" s="8" t="s">
        <v>1475</v>
      </c>
      <c r="B1436" s="8" t="s">
        <v>1475</v>
      </c>
      <c r="C1436" s="1" t="str">
        <f>RIGHT(ProductInfo[[#This Row],[Drawing No]],1)</f>
        <v>3</v>
      </c>
      <c r="D1436" s="176" t="s">
        <v>1473</v>
      </c>
      <c r="E1436" s="16"/>
      <c r="F14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6" s="31"/>
      <c r="H1436" s="31"/>
      <c r="I1436" s="1">
        <f>COUNTA(ProductInfo[[#This Row],[P1]:[P15]])</f>
        <v>0</v>
      </c>
      <c r="J14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s="1" customFormat="1">
      <c r="A1437" s="8" t="s">
        <v>1476</v>
      </c>
      <c r="B1437" s="8" t="s">
        <v>1476</v>
      </c>
      <c r="C1437" s="2" t="str">
        <f>RIGHT(ProductInfo[[#This Row],[Drawing No]],1)</f>
        <v>0</v>
      </c>
      <c r="D1437" s="176" t="s">
        <v>3258</v>
      </c>
      <c r="E1437" s="16"/>
      <c r="F14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7" s="31"/>
      <c r="H1437" s="31"/>
      <c r="I1437" s="2">
        <f>COUNTA(ProductInfo[[#This Row],[P1]:[P15]])</f>
        <v>0</v>
      </c>
      <c r="J1437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7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7" s="7"/>
      <c r="M1437" s="4"/>
      <c r="N1437" s="4"/>
      <c r="O1437" s="7"/>
      <c r="P1437" s="7"/>
      <c r="Q1437" s="7"/>
      <c r="R1437" s="4"/>
      <c r="S1437" s="4"/>
      <c r="T1437" s="7"/>
      <c r="U1437" s="7"/>
      <c r="V1437" s="7"/>
      <c r="W1437" s="7"/>
      <c r="X1437" s="7"/>
      <c r="Y1437" s="7"/>
      <c r="Z1437" s="7"/>
    </row>
    <row r="1438" spans="1:26" s="1" customFormat="1">
      <c r="A1438" s="8" t="s">
        <v>1477</v>
      </c>
      <c r="B1438" s="8" t="s">
        <v>1477</v>
      </c>
      <c r="C1438" s="2" t="str">
        <f>RIGHT(ProductInfo[[#This Row],[Drawing No]],1)</f>
        <v>1</v>
      </c>
      <c r="D1438" s="176" t="s">
        <v>3259</v>
      </c>
      <c r="E1438" s="16"/>
      <c r="F14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8" s="31"/>
      <c r="H1438" s="31"/>
      <c r="I1438" s="2">
        <f>COUNTA(ProductInfo[[#This Row],[P1]:[P15]])</f>
        <v>0</v>
      </c>
      <c r="J143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8" s="7"/>
      <c r="M1438" s="4"/>
      <c r="N1438" s="4"/>
      <c r="O1438" s="7"/>
      <c r="P1438" s="7"/>
      <c r="Q1438" s="7"/>
      <c r="R1438" s="4"/>
      <c r="S1438" s="4"/>
      <c r="T1438" s="7"/>
      <c r="U1438" s="7"/>
      <c r="V1438" s="7"/>
      <c r="W1438" s="7"/>
      <c r="X1438" s="7"/>
      <c r="Y1438" s="7"/>
      <c r="Z1438" s="7"/>
    </row>
    <row r="1439" spans="1:26" s="1" customFormat="1">
      <c r="A1439" s="8" t="s">
        <v>1478</v>
      </c>
      <c r="B1439" s="8" t="s">
        <v>1478</v>
      </c>
      <c r="C1439" s="1" t="str">
        <f>RIGHT(ProductInfo[[#This Row],[Drawing No]],1)</f>
        <v>0</v>
      </c>
      <c r="D1439" s="176" t="s">
        <v>1479</v>
      </c>
      <c r="E1439" s="16"/>
      <c r="F14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39" s="31"/>
      <c r="H1439" s="31"/>
      <c r="I1439" s="1">
        <f>COUNTA(ProductInfo[[#This Row],[P1]:[P15]])</f>
        <v>0</v>
      </c>
      <c r="J14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s="1" customFormat="1">
      <c r="A1440" s="8" t="s">
        <v>1480</v>
      </c>
      <c r="B1440" s="8" t="s">
        <v>1480</v>
      </c>
      <c r="C1440" s="1" t="str">
        <f>RIGHT(ProductInfo[[#This Row],[Drawing No]],1)</f>
        <v>0</v>
      </c>
      <c r="D1440" s="176" t="s">
        <v>1481</v>
      </c>
      <c r="E1440" s="16"/>
      <c r="F14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0" s="31"/>
      <c r="H1440" s="31"/>
      <c r="I1440" s="1">
        <f>COUNTA(ProductInfo[[#This Row],[P1]:[P15]])</f>
        <v>0</v>
      </c>
      <c r="J14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s="1" customFormat="1">
      <c r="A1441" s="8" t="s">
        <v>1482</v>
      </c>
      <c r="B1441" s="8" t="s">
        <v>1482</v>
      </c>
      <c r="C1441" s="1" t="str">
        <f>RIGHT(ProductInfo[[#This Row],[Drawing No]],1)</f>
        <v>0</v>
      </c>
      <c r="D1441" s="176" t="s">
        <v>1483</v>
      </c>
      <c r="E1441" s="16"/>
      <c r="F14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1" s="31"/>
      <c r="H1441" s="31"/>
      <c r="I1441" s="1">
        <f>COUNTA(ProductInfo[[#This Row],[P1]:[P15]])</f>
        <v>0</v>
      </c>
      <c r="J14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s="1" customFormat="1">
      <c r="A1442" s="8" t="s">
        <v>1484</v>
      </c>
      <c r="B1442" s="8" t="s">
        <v>1484</v>
      </c>
      <c r="C1442" s="1" t="str">
        <f>RIGHT(ProductInfo[[#This Row],[Drawing No]],1)</f>
        <v>0</v>
      </c>
      <c r="D1442" s="176" t="s">
        <v>1485</v>
      </c>
      <c r="E1442" s="16"/>
      <c r="F14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2" s="31"/>
      <c r="H1442" s="31"/>
      <c r="I1442" s="1">
        <f>COUNTA(ProductInfo[[#This Row],[P1]:[P15]])</f>
        <v>0</v>
      </c>
      <c r="J14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s="1" customFormat="1">
      <c r="A1443" s="8" t="s">
        <v>4197</v>
      </c>
      <c r="B1443" s="8" t="s">
        <v>4442</v>
      </c>
      <c r="C1443" s="2" t="str">
        <f>RIGHT(ProductInfo[[#This Row],[Drawing No]],1)</f>
        <v>8</v>
      </c>
      <c r="D1443" s="176" t="s">
        <v>4198</v>
      </c>
      <c r="E1443" s="16" t="s">
        <v>4528</v>
      </c>
      <c r="F144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43" s="59">
        <v>108</v>
      </c>
      <c r="H1443" s="59"/>
      <c r="I1443" s="2">
        <f>COUNTA(ProductInfo[[#This Row],[P1]:[P15]])</f>
        <v>2</v>
      </c>
      <c r="J14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3" s="7" t="s">
        <v>12</v>
      </c>
      <c r="M1443" s="7" t="s">
        <v>13</v>
      </c>
      <c r="N1443" s="7"/>
      <c r="O1443" s="7"/>
      <c r="P1443" s="7"/>
      <c r="Q1443" s="7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s="1" customFormat="1">
      <c r="A1444" s="8" t="s">
        <v>1486</v>
      </c>
      <c r="B1444" s="8" t="s">
        <v>1486</v>
      </c>
      <c r="C1444" s="1" t="str">
        <f>RIGHT(ProductInfo[[#This Row],[Drawing No]],1)</f>
        <v>0</v>
      </c>
      <c r="D1444" s="176" t="s">
        <v>1487</v>
      </c>
      <c r="E1444" s="16"/>
      <c r="F14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4" s="31"/>
      <c r="H1444" s="31"/>
      <c r="I1444" s="1">
        <f>COUNTA(ProductInfo[[#This Row],[P1]:[P15]])</f>
        <v>0</v>
      </c>
      <c r="J14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s="1" customFormat="1">
      <c r="A1445" s="8" t="s">
        <v>1488</v>
      </c>
      <c r="B1445" s="8" t="s">
        <v>1488</v>
      </c>
      <c r="C1445" s="1" t="str">
        <f>RIGHT(ProductInfo[[#This Row],[Drawing No]],1)</f>
        <v>0</v>
      </c>
      <c r="D1445" s="176" t="s">
        <v>1489</v>
      </c>
      <c r="E1445" s="16"/>
      <c r="F14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5" s="31"/>
      <c r="H1445" s="31"/>
      <c r="I1445" s="1">
        <f>COUNTA(ProductInfo[[#This Row],[P1]:[P15]])</f>
        <v>0</v>
      </c>
      <c r="J14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s="1" customFormat="1">
      <c r="A1446" s="8" t="s">
        <v>1490</v>
      </c>
      <c r="B1446" s="8" t="s">
        <v>1490</v>
      </c>
      <c r="C1446" s="1" t="str">
        <f>RIGHT(ProductInfo[[#This Row],[Drawing No]],1)</f>
        <v>1</v>
      </c>
      <c r="D1446" s="176" t="s">
        <v>1491</v>
      </c>
      <c r="E1446" s="16"/>
      <c r="F14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6" s="31"/>
      <c r="H1446" s="31"/>
      <c r="I1446" s="1">
        <f>COUNTA(ProductInfo[[#This Row],[P1]:[P15]])</f>
        <v>0</v>
      </c>
      <c r="J14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s="1" customFormat="1">
      <c r="A1447" s="8" t="s">
        <v>3312</v>
      </c>
      <c r="B1447" s="8" t="s">
        <v>3313</v>
      </c>
      <c r="C1447" s="1" t="str">
        <f>RIGHT(ProductInfo[[#This Row],[Drawing No]],1)</f>
        <v>0</v>
      </c>
      <c r="D1447" s="176" t="s">
        <v>1492</v>
      </c>
      <c r="E1447" s="16"/>
      <c r="F14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7" s="31"/>
      <c r="H1447" s="31"/>
      <c r="I1447" s="1">
        <f>COUNTA(ProductInfo[[#This Row],[P1]:[P15]])</f>
        <v>2</v>
      </c>
      <c r="J14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7" s="7" t="s">
        <v>12</v>
      </c>
      <c r="M1447" s="7" t="s">
        <v>13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s="1" customFormat="1">
      <c r="A1448" s="8" t="s">
        <v>1493</v>
      </c>
      <c r="B1448" s="8" t="s">
        <v>1493</v>
      </c>
      <c r="C1448" s="1" t="str">
        <f>RIGHT(ProductInfo[[#This Row],[Drawing No]],1)</f>
        <v>0</v>
      </c>
      <c r="D1448" s="179" t="s">
        <v>1494</v>
      </c>
      <c r="E1448" s="18"/>
      <c r="F144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8" s="32"/>
      <c r="H1448" s="32"/>
      <c r="I1448" s="1">
        <f>COUNTA(ProductInfo[[#This Row],[P1]:[P15]])</f>
        <v>0</v>
      </c>
      <c r="J14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s="1" customFormat="1">
      <c r="A1449" s="8" t="s">
        <v>1496</v>
      </c>
      <c r="B1449" s="8" t="s">
        <v>3313</v>
      </c>
      <c r="C1449" s="1" t="str">
        <f>RIGHT(ProductInfo[[#This Row],[Drawing No]],1)</f>
        <v>0</v>
      </c>
      <c r="D1449" s="176" t="s">
        <v>1495</v>
      </c>
      <c r="E1449" s="16"/>
      <c r="F14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49" s="31"/>
      <c r="H1449" s="31"/>
      <c r="I1449" s="1">
        <f>COUNTA(ProductInfo[[#This Row],[P1]:[P15]])</f>
        <v>2</v>
      </c>
      <c r="J14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49" s="7" t="s">
        <v>12</v>
      </c>
      <c r="M1449" s="7" t="s">
        <v>13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s="1" customFormat="1">
      <c r="A1450" s="8" t="s">
        <v>4199</v>
      </c>
      <c r="B1450" s="8" t="s">
        <v>4442</v>
      </c>
      <c r="C1450" s="2" t="str">
        <f>RIGHT(ProductInfo[[#This Row],[Drawing No]],1)</f>
        <v>8</v>
      </c>
      <c r="D1450" s="176" t="s">
        <v>4200</v>
      </c>
      <c r="E1450" s="16" t="s">
        <v>4528</v>
      </c>
      <c r="F1450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0" s="59">
        <v>118</v>
      </c>
      <c r="H1450" s="59"/>
      <c r="I1450" s="2">
        <f>COUNTA(ProductInfo[[#This Row],[P1]:[P15]])</f>
        <v>2</v>
      </c>
      <c r="J14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0" s="7" t="s">
        <v>12</v>
      </c>
      <c r="M1450" s="7" t="s">
        <v>13</v>
      </c>
      <c r="N1450" s="7"/>
      <c r="O1450" s="7"/>
      <c r="P1450" s="7"/>
      <c r="Q1450" s="7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s="1" customFormat="1">
      <c r="A1451" s="8" t="s">
        <v>3314</v>
      </c>
      <c r="B1451" s="8" t="s">
        <v>3313</v>
      </c>
      <c r="C1451" s="1" t="str">
        <f>RIGHT(ProductInfo[[#This Row],[Drawing No]],1)</f>
        <v>0</v>
      </c>
      <c r="D1451" s="176" t="s">
        <v>1497</v>
      </c>
      <c r="E1451" s="16"/>
      <c r="F14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51" s="31"/>
      <c r="H1451" s="31"/>
      <c r="I1451" s="1">
        <f>COUNTA(ProductInfo[[#This Row],[P1]:[P15]])</f>
        <v>2</v>
      </c>
      <c r="J14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1" s="7" t="s">
        <v>12</v>
      </c>
      <c r="M1451" s="7" t="s">
        <v>13</v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s="1" customFormat="1">
      <c r="A1452" s="8" t="s">
        <v>4201</v>
      </c>
      <c r="B1452" s="8" t="s">
        <v>4442</v>
      </c>
      <c r="C1452" s="2" t="str">
        <f>RIGHT(ProductInfo[[#This Row],[Drawing No]],1)</f>
        <v>8</v>
      </c>
      <c r="D1452" s="176" t="s">
        <v>4202</v>
      </c>
      <c r="E1452" s="16" t="s">
        <v>4528</v>
      </c>
      <c r="F1452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2" s="59">
        <v>123</v>
      </c>
      <c r="H1452" s="59"/>
      <c r="I1452" s="2">
        <f>COUNTA(ProductInfo[[#This Row],[P1]:[P15]])</f>
        <v>2</v>
      </c>
      <c r="J14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2" s="7" t="s">
        <v>12</v>
      </c>
      <c r="M1452" s="7" t="s">
        <v>13</v>
      </c>
      <c r="N1452" s="7"/>
      <c r="O1452" s="7"/>
      <c r="P1452" s="7"/>
      <c r="Q1452" s="7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s="1" customFormat="1">
      <c r="A1453" s="8" t="s">
        <v>4203</v>
      </c>
      <c r="B1453" s="8" t="s">
        <v>4442</v>
      </c>
      <c r="C1453" s="2" t="str">
        <f>RIGHT(ProductInfo[[#This Row],[Drawing No]],1)</f>
        <v>8</v>
      </c>
      <c r="D1453" s="176" t="s">
        <v>4204</v>
      </c>
      <c r="E1453" s="16" t="s">
        <v>4528</v>
      </c>
      <c r="F145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3" s="59">
        <v>123.5</v>
      </c>
      <c r="H1453" s="59"/>
      <c r="I1453" s="1">
        <f>COUNTA(ProductInfo[[#This Row],[P1]:[P15]])</f>
        <v>2</v>
      </c>
      <c r="J14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3" s="7" t="s">
        <v>12</v>
      </c>
      <c r="M1453" s="7" t="s">
        <v>13</v>
      </c>
      <c r="N1453" s="7"/>
      <c r="O1453" s="7"/>
      <c r="P1453" s="7"/>
      <c r="Q1453" s="7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s="1" customFormat="1">
      <c r="A1454" s="8" t="s">
        <v>1499</v>
      </c>
      <c r="B1454" s="8" t="s">
        <v>3313</v>
      </c>
      <c r="C1454" s="1" t="str">
        <f>RIGHT(ProductInfo[[#This Row],[Drawing No]],1)</f>
        <v>0</v>
      </c>
      <c r="D1454" s="176" t="s">
        <v>1498</v>
      </c>
      <c r="E1454" s="16"/>
      <c r="F14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54" s="31"/>
      <c r="H1454" s="31"/>
      <c r="I1454" s="1">
        <f>COUNTA(ProductInfo[[#This Row],[P1]:[P15]])</f>
        <v>2</v>
      </c>
      <c r="J14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4" s="7" t="s">
        <v>12</v>
      </c>
      <c r="M1454" s="7" t="s">
        <v>13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s="1" customFormat="1">
      <c r="A1455" s="8" t="s">
        <v>1500</v>
      </c>
      <c r="B1455" s="8" t="s">
        <v>4442</v>
      </c>
      <c r="C1455" s="2" t="str">
        <f>RIGHT(ProductInfo[[#This Row],[Drawing No]],1)</f>
        <v>8</v>
      </c>
      <c r="D1455" s="176" t="s">
        <v>1501</v>
      </c>
      <c r="E1455" s="16" t="s">
        <v>4528</v>
      </c>
      <c r="F145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5" s="59">
        <v>128</v>
      </c>
      <c r="H1455" s="59"/>
      <c r="I1455" s="1">
        <f>COUNTA(ProductInfo[[#This Row],[P1]:[P15]])</f>
        <v>2</v>
      </c>
      <c r="J14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5" s="7" t="s">
        <v>12</v>
      </c>
      <c r="M1455" s="7" t="s">
        <v>13</v>
      </c>
      <c r="N1455" s="7"/>
      <c r="O1455" s="7"/>
      <c r="P1455" s="7"/>
      <c r="Q1455" s="7"/>
      <c r="R1455" s="7"/>
      <c r="S1455" s="7"/>
      <c r="T1455" s="4"/>
      <c r="U1455" s="4"/>
      <c r="V1455" s="4"/>
      <c r="W1455" s="4"/>
      <c r="X1455" s="4"/>
      <c r="Y1455" s="4"/>
      <c r="Z1455" s="4"/>
    </row>
    <row r="1456" spans="1:26" s="1" customFormat="1">
      <c r="A1456" s="8" t="s">
        <v>4211</v>
      </c>
      <c r="B1456" s="8" t="s">
        <v>4442</v>
      </c>
      <c r="C1456" s="2" t="str">
        <f>RIGHT(ProductInfo[[#This Row],[Drawing No]],1)</f>
        <v>8</v>
      </c>
      <c r="D1456" s="176" t="s">
        <v>4212</v>
      </c>
      <c r="E1456" s="16" t="s">
        <v>4528</v>
      </c>
      <c r="F1456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6" s="59">
        <v>128.5</v>
      </c>
      <c r="H1456" s="59"/>
      <c r="I1456" s="1">
        <f>COUNTA(ProductInfo[[#This Row],[P1]:[P15]])</f>
        <v>2</v>
      </c>
      <c r="J14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6" s="7" t="s">
        <v>12</v>
      </c>
      <c r="M1456" s="7" t="s">
        <v>13</v>
      </c>
      <c r="N1456" s="4"/>
      <c r="O1456" s="7"/>
      <c r="P1456" s="7"/>
      <c r="Q1456" s="7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s="1" customFormat="1">
      <c r="A1457" s="8" t="s">
        <v>1502</v>
      </c>
      <c r="B1457" s="8" t="s">
        <v>3313</v>
      </c>
      <c r="C1457" s="1" t="str">
        <f>RIGHT(ProductInfo[[#This Row],[Drawing No]],1)</f>
        <v>0</v>
      </c>
      <c r="D1457" s="176" t="s">
        <v>1503</v>
      </c>
      <c r="E1457" s="16"/>
      <c r="F14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57" s="31"/>
      <c r="H1457" s="31"/>
      <c r="I1457" s="1">
        <f>COUNTA(ProductInfo[[#This Row],[P1]:[P15]])</f>
        <v>2</v>
      </c>
      <c r="J14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7" s="7" t="s">
        <v>12</v>
      </c>
      <c r="M1457" s="7" t="s">
        <v>13</v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s="1" customFormat="1">
      <c r="A1458" s="8" t="s">
        <v>1504</v>
      </c>
      <c r="B1458" s="8" t="s">
        <v>4442</v>
      </c>
      <c r="C1458" s="2" t="str">
        <f>RIGHT(ProductInfo[[#This Row],[Drawing No]],1)</f>
        <v>8</v>
      </c>
      <c r="D1458" s="176" t="s">
        <v>1505</v>
      </c>
      <c r="E1458" s="16" t="s">
        <v>4528</v>
      </c>
      <c r="F1458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8" s="59">
        <v>133</v>
      </c>
      <c r="H1458" s="59"/>
      <c r="I1458" s="1">
        <f>COUNTA(ProductInfo[[#This Row],[P1]:[P15]])</f>
        <v>2</v>
      </c>
      <c r="J14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8" s="7" t="s">
        <v>12</v>
      </c>
      <c r="M1458" s="7" t="s">
        <v>13</v>
      </c>
      <c r="N1458" s="7"/>
      <c r="O1458" s="7"/>
      <c r="P1458" s="7"/>
      <c r="Q1458" s="7"/>
      <c r="R1458" s="7"/>
      <c r="S1458" s="7"/>
      <c r="T1458" s="4"/>
      <c r="U1458" s="4"/>
      <c r="V1458" s="4"/>
      <c r="W1458" s="4"/>
      <c r="X1458" s="4"/>
      <c r="Y1458" s="4"/>
      <c r="Z1458" s="4"/>
    </row>
    <row r="1459" spans="1:26" s="1" customFormat="1">
      <c r="A1459" s="8" t="s">
        <v>4205</v>
      </c>
      <c r="B1459" s="8" t="s">
        <v>4442</v>
      </c>
      <c r="C1459" s="2" t="str">
        <f>RIGHT(ProductInfo[[#This Row],[Drawing No]],1)</f>
        <v>8</v>
      </c>
      <c r="D1459" s="176" t="s">
        <v>4206</v>
      </c>
      <c r="E1459" s="16" t="s">
        <v>4528</v>
      </c>
      <c r="F1459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59" s="59">
        <v>133.5</v>
      </c>
      <c r="H1459" s="59"/>
      <c r="I1459" s="1">
        <f>COUNTA(ProductInfo[[#This Row],[P1]:[P15]])</f>
        <v>2</v>
      </c>
      <c r="J14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59" s="7" t="s">
        <v>12</v>
      </c>
      <c r="M1459" s="7" t="s">
        <v>13</v>
      </c>
      <c r="N1459" s="4"/>
      <c r="O1459" s="7"/>
      <c r="P1459" s="7"/>
      <c r="Q1459" s="7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s="1" customFormat="1">
      <c r="A1460" s="8" t="s">
        <v>1506</v>
      </c>
      <c r="B1460" s="8" t="s">
        <v>3313</v>
      </c>
      <c r="C1460" s="1" t="str">
        <f>RIGHT(ProductInfo[[#This Row],[Drawing No]],1)</f>
        <v>0</v>
      </c>
      <c r="D1460" s="176" t="s">
        <v>1507</v>
      </c>
      <c r="E1460" s="16"/>
      <c r="F14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60" s="31"/>
      <c r="H1460" s="31"/>
      <c r="I1460" s="1">
        <f>COUNTA(ProductInfo[[#This Row],[P1]:[P15]])</f>
        <v>2</v>
      </c>
      <c r="J14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0" s="7" t="s">
        <v>12</v>
      </c>
      <c r="M1460" s="7" t="s">
        <v>13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s="1" customFormat="1">
      <c r="A1461" s="8" t="s">
        <v>1508</v>
      </c>
      <c r="B1461" s="8" t="s">
        <v>1508</v>
      </c>
      <c r="C1461" s="1" t="str">
        <f>RIGHT(ProductInfo[[#This Row],[Drawing No]],1)</f>
        <v>0</v>
      </c>
      <c r="D1461" s="176" t="s">
        <v>1509</v>
      </c>
      <c r="E1461" s="16"/>
      <c r="F14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61" s="31"/>
      <c r="H1461" s="31"/>
      <c r="I1461" s="1">
        <f>COUNTA(ProductInfo[[#This Row],[P1]:[P15]])</f>
        <v>0</v>
      </c>
      <c r="J14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4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s="1" customFormat="1">
      <c r="A1462" s="8" t="s">
        <v>1510</v>
      </c>
      <c r="B1462" s="8" t="s">
        <v>4442</v>
      </c>
      <c r="C1462" s="2" t="str">
        <f>RIGHT(ProductInfo[[#This Row],[Drawing No]],1)</f>
        <v>8</v>
      </c>
      <c r="D1462" s="176" t="s">
        <v>1511</v>
      </c>
      <c r="E1462" s="16" t="s">
        <v>4528</v>
      </c>
      <c r="F1462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2" s="59">
        <v>135</v>
      </c>
      <c r="H1462" s="59"/>
      <c r="I1462" s="1">
        <f>COUNTA(ProductInfo[[#This Row],[P1]:[P15]])</f>
        <v>2</v>
      </c>
      <c r="J14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2" s="7" t="s">
        <v>12</v>
      </c>
      <c r="M1462" s="7" t="s">
        <v>13</v>
      </c>
      <c r="N1462" s="7"/>
      <c r="O1462" s="7"/>
      <c r="P1462" s="7"/>
      <c r="Q1462" s="7"/>
      <c r="R1462" s="7"/>
      <c r="S1462" s="7"/>
      <c r="T1462" s="4"/>
      <c r="U1462" s="4"/>
      <c r="V1462" s="4"/>
      <c r="W1462" s="4"/>
      <c r="X1462" s="4"/>
      <c r="Y1462" s="4"/>
      <c r="Z1462" s="4"/>
    </row>
    <row r="1463" spans="1:26" s="1" customFormat="1">
      <c r="A1463" s="8" t="s">
        <v>1512</v>
      </c>
      <c r="B1463" s="8" t="s">
        <v>4442</v>
      </c>
      <c r="C1463" s="2" t="str">
        <f>RIGHT(ProductInfo[[#This Row],[Drawing No]],1)</f>
        <v>8</v>
      </c>
      <c r="D1463" s="176" t="s">
        <v>1513</v>
      </c>
      <c r="E1463" s="16" t="s">
        <v>4528</v>
      </c>
      <c r="F146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3" s="59">
        <v>138</v>
      </c>
      <c r="H1463" s="59"/>
      <c r="I1463" s="1">
        <f>COUNTA(ProductInfo[[#This Row],[P1]:[P15]])</f>
        <v>2</v>
      </c>
      <c r="J14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3" s="7" t="s">
        <v>12</v>
      </c>
      <c r="M1463" s="7" t="s">
        <v>13</v>
      </c>
      <c r="N1463" s="7"/>
      <c r="O1463" s="7"/>
      <c r="P1463" s="7"/>
      <c r="Q1463" s="7"/>
      <c r="R1463" s="7"/>
      <c r="S1463" s="7"/>
      <c r="T1463" s="4"/>
      <c r="U1463" s="4"/>
      <c r="V1463" s="4"/>
      <c r="W1463" s="4"/>
      <c r="X1463" s="4"/>
      <c r="Y1463" s="4"/>
      <c r="Z1463" s="4"/>
    </row>
    <row r="1464" spans="1:26" s="1" customFormat="1">
      <c r="A1464" s="8" t="s">
        <v>4207</v>
      </c>
      <c r="B1464" s="8" t="s">
        <v>4442</v>
      </c>
      <c r="C1464" s="2" t="str">
        <f>RIGHT(ProductInfo[[#This Row],[Drawing No]],1)</f>
        <v>8</v>
      </c>
      <c r="D1464" s="176" t="s">
        <v>4208</v>
      </c>
      <c r="E1464" s="16" t="s">
        <v>4528</v>
      </c>
      <c r="F1464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4" s="59">
        <v>138.5</v>
      </c>
      <c r="H1464" s="59"/>
      <c r="I1464" s="1">
        <f>COUNTA(ProductInfo[[#This Row],[P1]:[P15]])</f>
        <v>2</v>
      </c>
      <c r="J14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4" s="7" t="s">
        <v>12</v>
      </c>
      <c r="M1464" s="7" t="s">
        <v>13</v>
      </c>
      <c r="N1464" s="4"/>
      <c r="O1464" s="7"/>
      <c r="P1464" s="7"/>
      <c r="Q1464" s="7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s="1" customFormat="1">
      <c r="A1465" s="8" t="s">
        <v>1514</v>
      </c>
      <c r="B1465" s="8" t="s">
        <v>4442</v>
      </c>
      <c r="C1465" s="2" t="str">
        <f>RIGHT(ProductInfo[[#This Row],[Drawing No]],1)</f>
        <v>8</v>
      </c>
      <c r="D1465" s="176" t="s">
        <v>1515</v>
      </c>
      <c r="E1465" s="16" t="s">
        <v>4528</v>
      </c>
      <c r="F146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5" s="59">
        <v>141</v>
      </c>
      <c r="H1465" s="59"/>
      <c r="I1465" s="1">
        <f>COUNTA(ProductInfo[[#This Row],[P1]:[P15]])</f>
        <v>2</v>
      </c>
      <c r="J14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5" s="7" t="s">
        <v>12</v>
      </c>
      <c r="M1465" s="7" t="s">
        <v>13</v>
      </c>
      <c r="N1465" s="7"/>
      <c r="O1465" s="7"/>
      <c r="P1465" s="7"/>
      <c r="Q1465" s="7"/>
      <c r="R1465" s="7"/>
      <c r="S1465" s="7"/>
      <c r="T1465" s="4"/>
      <c r="U1465" s="4"/>
      <c r="V1465" s="4"/>
      <c r="W1465" s="4"/>
      <c r="X1465" s="4"/>
      <c r="Y1465" s="4"/>
      <c r="Z1465" s="4"/>
    </row>
    <row r="1466" spans="1:26" s="1" customFormat="1">
      <c r="A1466" s="8" t="s">
        <v>1517</v>
      </c>
      <c r="B1466" s="8" t="s">
        <v>3313</v>
      </c>
      <c r="C1466" s="1" t="str">
        <f>RIGHT(ProductInfo[[#This Row],[Drawing No]],1)</f>
        <v>0</v>
      </c>
      <c r="D1466" s="176" t="s">
        <v>1516</v>
      </c>
      <c r="E1466" s="16"/>
      <c r="F14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66" s="31"/>
      <c r="H1466" s="31"/>
      <c r="I1466" s="1">
        <f>COUNTA(ProductInfo[[#This Row],[P1]:[P15]])</f>
        <v>2</v>
      </c>
      <c r="J14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6" s="7" t="s">
        <v>12</v>
      </c>
      <c r="M1466" s="7" t="s">
        <v>13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s="1" customFormat="1">
      <c r="A1467" s="8" t="s">
        <v>1518</v>
      </c>
      <c r="B1467" s="8" t="s">
        <v>4442</v>
      </c>
      <c r="C1467" s="2" t="str">
        <f>RIGHT(ProductInfo[[#This Row],[Drawing No]],1)</f>
        <v>8</v>
      </c>
      <c r="D1467" s="176" t="s">
        <v>1519</v>
      </c>
      <c r="E1467" s="16" t="s">
        <v>4528</v>
      </c>
      <c r="F1467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7" s="59">
        <v>143</v>
      </c>
      <c r="H1467" s="59"/>
      <c r="I1467" s="1">
        <f>COUNTA(ProductInfo[[#This Row],[P1]:[P15]])</f>
        <v>2</v>
      </c>
      <c r="J14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7" s="7" t="s">
        <v>12</v>
      </c>
      <c r="M1467" s="7" t="s">
        <v>13</v>
      </c>
      <c r="N1467" s="7"/>
      <c r="O1467" s="7"/>
      <c r="P1467" s="7"/>
      <c r="Q1467" s="7"/>
      <c r="R1467" s="7"/>
      <c r="S1467" s="7"/>
      <c r="T1467" s="4"/>
      <c r="U1467" s="4"/>
      <c r="V1467" s="4"/>
      <c r="W1467" s="4"/>
      <c r="X1467" s="4"/>
      <c r="Y1467" s="4"/>
      <c r="Z1467" s="4"/>
    </row>
    <row r="1468" spans="1:26" s="1" customFormat="1">
      <c r="A1468" s="8" t="s">
        <v>4209</v>
      </c>
      <c r="B1468" s="8" t="s">
        <v>4442</v>
      </c>
      <c r="C1468" s="2" t="str">
        <f>RIGHT(ProductInfo[[#This Row],[Drawing No]],1)</f>
        <v>8</v>
      </c>
      <c r="D1468" s="176" t="s">
        <v>4210</v>
      </c>
      <c r="E1468" s="16" t="s">
        <v>4528</v>
      </c>
      <c r="F1468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8" s="59">
        <v>143.5</v>
      </c>
      <c r="H1468" s="59"/>
      <c r="I1468" s="1">
        <f>COUNTA(ProductInfo[[#This Row],[P1]:[P15]])</f>
        <v>2</v>
      </c>
      <c r="J14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8" s="7" t="s">
        <v>12</v>
      </c>
      <c r="M1468" s="7" t="s">
        <v>13</v>
      </c>
      <c r="N1468" s="4"/>
      <c r="O1468" s="7"/>
      <c r="P1468" s="7"/>
      <c r="Q1468" s="7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s="1" customFormat="1">
      <c r="A1469" s="8" t="s">
        <v>1520</v>
      </c>
      <c r="B1469" s="8" t="s">
        <v>4442</v>
      </c>
      <c r="C1469" s="2" t="str">
        <f>RIGHT(ProductInfo[[#This Row],[Drawing No]],1)</f>
        <v>8</v>
      </c>
      <c r="D1469" s="176" t="s">
        <v>1521</v>
      </c>
      <c r="E1469" s="16" t="s">
        <v>4528</v>
      </c>
      <c r="F1469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69" s="59">
        <v>145</v>
      </c>
      <c r="H1469" s="59"/>
      <c r="I1469" s="1">
        <f>COUNTA(ProductInfo[[#This Row],[P1]:[P15]])</f>
        <v>2</v>
      </c>
      <c r="J14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69" s="7" t="s">
        <v>12</v>
      </c>
      <c r="M1469" s="7" t="s">
        <v>13</v>
      </c>
      <c r="N1469" s="7"/>
      <c r="O1469" s="7"/>
      <c r="P1469" s="7"/>
      <c r="Q1469" s="7"/>
      <c r="R1469" s="7"/>
      <c r="S1469" s="7"/>
      <c r="T1469" s="4"/>
      <c r="U1469" s="4"/>
      <c r="V1469" s="4"/>
      <c r="W1469" s="4"/>
      <c r="X1469" s="4"/>
      <c r="Y1469" s="4"/>
      <c r="Z1469" s="4"/>
    </row>
    <row r="1470" spans="1:26" s="1" customFormat="1">
      <c r="A1470" s="8" t="s">
        <v>3316</v>
      </c>
      <c r="B1470" s="8" t="s">
        <v>3313</v>
      </c>
      <c r="C1470" s="1" t="str">
        <f>RIGHT(ProductInfo[[#This Row],[Drawing No]],1)</f>
        <v>0</v>
      </c>
      <c r="D1470" s="176" t="s">
        <v>1522</v>
      </c>
      <c r="E1470" s="16"/>
      <c r="F14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0" s="31"/>
      <c r="H1470" s="31"/>
      <c r="I1470" s="1">
        <f>COUNTA(ProductInfo[[#This Row],[P1]:[P15]])</f>
        <v>2</v>
      </c>
      <c r="J14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0" s="7" t="s">
        <v>12</v>
      </c>
      <c r="M1470" s="7" t="s">
        <v>13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s="1" customFormat="1">
      <c r="A1471" s="8" t="s">
        <v>1523</v>
      </c>
      <c r="B1471" s="8" t="s">
        <v>4442</v>
      </c>
      <c r="C1471" s="2" t="str">
        <f>RIGHT(ProductInfo[[#This Row],[Drawing No]],1)</f>
        <v>8</v>
      </c>
      <c r="D1471" s="176" t="s">
        <v>1524</v>
      </c>
      <c r="E1471" s="16" t="s">
        <v>4528</v>
      </c>
      <c r="F1471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71" s="59">
        <v>148</v>
      </c>
      <c r="H1471" s="59"/>
      <c r="I1471" s="1">
        <f>COUNTA(ProductInfo[[#This Row],[P1]:[P15]])</f>
        <v>2</v>
      </c>
      <c r="J14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1" s="7" t="s">
        <v>12</v>
      </c>
      <c r="M1471" s="7" t="s">
        <v>13</v>
      </c>
      <c r="N1471" s="7"/>
      <c r="O1471" s="7"/>
      <c r="P1471" s="7"/>
      <c r="Q1471" s="7"/>
      <c r="R1471" s="7"/>
      <c r="S1471" s="7"/>
      <c r="T1471" s="4"/>
      <c r="U1471" s="4"/>
      <c r="V1471" s="4"/>
      <c r="W1471" s="4"/>
      <c r="X1471" s="4"/>
      <c r="Y1471" s="4"/>
      <c r="Z1471" s="4"/>
    </row>
    <row r="1472" spans="1:26" s="1" customFormat="1">
      <c r="A1472" s="8" t="s">
        <v>3317</v>
      </c>
      <c r="B1472" s="8" t="s">
        <v>3313</v>
      </c>
      <c r="C1472" s="1" t="str">
        <f>RIGHT(ProductInfo[[#This Row],[Drawing No]],1)</f>
        <v>0</v>
      </c>
      <c r="D1472" s="176" t="s">
        <v>1525</v>
      </c>
      <c r="E1472" s="16"/>
      <c r="F14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2" s="31"/>
      <c r="H1472" s="31"/>
      <c r="I1472" s="1">
        <f>COUNTA(ProductInfo[[#This Row],[P1]:[P15]])</f>
        <v>2</v>
      </c>
      <c r="J14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2" s="7" t="s">
        <v>12</v>
      </c>
      <c r="M1472" s="7" t="s">
        <v>13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s="1" customFormat="1">
      <c r="A1473" s="8" t="s">
        <v>4444</v>
      </c>
      <c r="B1473" s="8" t="s">
        <v>4442</v>
      </c>
      <c r="C1473" s="2" t="str">
        <f>RIGHT(ProductInfo[[#This Row],[Drawing No]],1)</f>
        <v>8</v>
      </c>
      <c r="D1473" s="176" t="s">
        <v>4445</v>
      </c>
      <c r="E1473" s="16" t="s">
        <v>4528</v>
      </c>
      <c r="F147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73" s="59">
        <v>158</v>
      </c>
      <c r="H1473" s="59"/>
      <c r="I1473" s="1">
        <f>COUNTA(ProductInfo[[#This Row],[P1]:[P15]])</f>
        <v>2</v>
      </c>
      <c r="J14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3" s="7" t="s">
        <v>12</v>
      </c>
      <c r="M1473" s="7" t="s">
        <v>13</v>
      </c>
      <c r="N1473" s="7"/>
      <c r="O1473" s="7"/>
      <c r="P1473" s="7"/>
      <c r="Q1473" s="7"/>
      <c r="R1473" s="7"/>
      <c r="S1473" s="7"/>
      <c r="T1473" s="4"/>
      <c r="U1473" s="4"/>
      <c r="V1473" s="4"/>
      <c r="W1473" s="4"/>
      <c r="X1473" s="4"/>
      <c r="Y1473" s="4"/>
      <c r="Z1473" s="4"/>
    </row>
    <row r="1474" spans="1:26" s="1" customFormat="1">
      <c r="A1474" s="8" t="s">
        <v>3318</v>
      </c>
      <c r="B1474" s="8" t="s">
        <v>3313</v>
      </c>
      <c r="C1474" s="1" t="str">
        <f>RIGHT(ProductInfo[[#This Row],[Drawing No]],1)</f>
        <v>0</v>
      </c>
      <c r="D1474" s="176" t="s">
        <v>1526</v>
      </c>
      <c r="E1474" s="16"/>
      <c r="F14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4" s="31"/>
      <c r="H1474" s="31"/>
      <c r="I1474" s="1">
        <f>COUNTA(ProductInfo[[#This Row],[P1]:[P15]])</f>
        <v>2</v>
      </c>
      <c r="J14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4" s="7" t="s">
        <v>12</v>
      </c>
      <c r="M1474" s="7" t="s">
        <v>13</v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s="1" customFormat="1">
      <c r="A1475" s="8" t="s">
        <v>1527</v>
      </c>
      <c r="B1475" s="8" t="s">
        <v>3313</v>
      </c>
      <c r="C1475" s="1" t="str">
        <f>RIGHT(ProductInfo[[#This Row],[Drawing No]],1)</f>
        <v>0</v>
      </c>
      <c r="D1475" s="176" t="s">
        <v>1528</v>
      </c>
      <c r="E1475" s="16"/>
      <c r="F14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5" s="31"/>
      <c r="H1475" s="31"/>
      <c r="I1475" s="1">
        <f>COUNTA(ProductInfo[[#This Row],[P1]:[P15]])</f>
        <v>2</v>
      </c>
      <c r="J14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5" s="7" t="s">
        <v>12</v>
      </c>
      <c r="M1475" s="7" t="s">
        <v>13</v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s="1" customFormat="1">
      <c r="A1476" s="8" t="s">
        <v>1529</v>
      </c>
      <c r="B1476" s="8" t="s">
        <v>3313</v>
      </c>
      <c r="C1476" s="1" t="str">
        <f>RIGHT(ProductInfo[[#This Row],[Drawing No]],1)</f>
        <v>0</v>
      </c>
      <c r="D1476" s="176" t="s">
        <v>1530</v>
      </c>
      <c r="E1476" s="16"/>
      <c r="F14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6" s="31"/>
      <c r="H1476" s="31"/>
      <c r="I1476" s="1">
        <f>COUNTA(ProductInfo[[#This Row],[P1]:[P15]])</f>
        <v>2</v>
      </c>
      <c r="J14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6" s="7" t="s">
        <v>12</v>
      </c>
      <c r="M1476" s="7" t="s">
        <v>13</v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s="1" customFormat="1">
      <c r="A1477" s="8" t="s">
        <v>1531</v>
      </c>
      <c r="B1477" s="8" t="s">
        <v>3313</v>
      </c>
      <c r="C1477" s="1" t="str">
        <f>RIGHT(ProductInfo[[#This Row],[Drawing No]],1)</f>
        <v>0</v>
      </c>
      <c r="D1477" s="176" t="s">
        <v>1532</v>
      </c>
      <c r="E1477" s="16"/>
      <c r="F14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7" s="31"/>
      <c r="H1477" s="31"/>
      <c r="I1477" s="1">
        <f>COUNTA(ProductInfo[[#This Row],[P1]:[P15]])</f>
        <v>2</v>
      </c>
      <c r="J14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7" s="7" t="s">
        <v>12</v>
      </c>
      <c r="M1477" s="7" t="s">
        <v>13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s="1" customFormat="1">
      <c r="A1478" s="8" t="s">
        <v>1533</v>
      </c>
      <c r="B1478" s="8" t="s">
        <v>3691</v>
      </c>
      <c r="C1478" s="1" t="str">
        <f>RIGHT(ProductInfo[[#This Row],[Drawing No]],1)</f>
        <v>4</v>
      </c>
      <c r="D1478" s="179" t="s">
        <v>4373</v>
      </c>
      <c r="E1478" s="18"/>
      <c r="F147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8" s="32"/>
      <c r="H1478" s="32"/>
      <c r="I1478" s="1">
        <f>COUNTA(ProductInfo[[#This Row],[P1]:[P15]])</f>
        <v>2</v>
      </c>
      <c r="J14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8" s="7" t="s">
        <v>12</v>
      </c>
      <c r="M1478" s="7" t="s">
        <v>13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s="1" customFormat="1">
      <c r="A1479" s="8" t="s">
        <v>1533</v>
      </c>
      <c r="B1479" s="8" t="s">
        <v>4371</v>
      </c>
      <c r="C1479" s="2" t="str">
        <f>RIGHT(ProductInfo[[#This Row],[Drawing No]],1)</f>
        <v>5</v>
      </c>
      <c r="D1479" s="176" t="s">
        <v>4373</v>
      </c>
      <c r="E1479" s="16"/>
      <c r="F14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79" s="31"/>
      <c r="H1479" s="31"/>
      <c r="I1479" s="1">
        <f>COUNTA(ProductInfo[[#This Row],[P1]:[P15]])</f>
        <v>2</v>
      </c>
      <c r="J14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79" s="7" t="s">
        <v>12</v>
      </c>
      <c r="M1479" s="7" t="s">
        <v>13</v>
      </c>
      <c r="N1479" s="7"/>
      <c r="O1479" s="7"/>
      <c r="P1479" s="7"/>
      <c r="Q1479" s="7"/>
      <c r="R1479" s="7"/>
      <c r="S1479" s="7"/>
      <c r="T1479" s="4"/>
      <c r="U1479" s="4"/>
      <c r="V1479" s="4"/>
      <c r="W1479" s="4"/>
      <c r="X1479" s="4"/>
      <c r="Y1479" s="4"/>
      <c r="Z1479" s="4"/>
    </row>
    <row r="1480" spans="1:26" s="1" customFormat="1">
      <c r="A1480" s="8" t="s">
        <v>1533</v>
      </c>
      <c r="B1480" s="8" t="s">
        <v>4504</v>
      </c>
      <c r="C1480" s="2" t="str">
        <f>RIGHT(ProductInfo[[#This Row],[Drawing No]],1)</f>
        <v>6</v>
      </c>
      <c r="D1480" s="176" t="s">
        <v>4373</v>
      </c>
      <c r="E1480" s="16" t="s">
        <v>4528</v>
      </c>
      <c r="F1480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80" s="59">
        <v>124</v>
      </c>
      <c r="H1480" s="59"/>
      <c r="I1480" s="1">
        <f>COUNTA(ProductInfo[[#This Row],[P1]:[P15]])</f>
        <v>2</v>
      </c>
      <c r="J14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0" s="7" t="s">
        <v>12</v>
      </c>
      <c r="M1480" s="7" t="s">
        <v>13</v>
      </c>
      <c r="N1480" s="7"/>
      <c r="O1480" s="7"/>
      <c r="P1480" s="7"/>
      <c r="Q1480" s="7"/>
      <c r="R1480" s="7"/>
      <c r="S1480" s="7"/>
      <c r="T1480" s="4"/>
      <c r="U1480" s="4"/>
      <c r="V1480" s="4"/>
      <c r="W1480" s="4"/>
      <c r="X1480" s="4"/>
      <c r="Y1480" s="4"/>
      <c r="Z1480" s="4"/>
    </row>
    <row r="1481" spans="1:26" s="1" customFormat="1">
      <c r="A1481" s="8" t="s">
        <v>4505</v>
      </c>
      <c r="B1481" s="8" t="s">
        <v>4504</v>
      </c>
      <c r="C1481" s="2" t="str">
        <f>RIGHT(ProductInfo[[#This Row],[Drawing No]],1)</f>
        <v>6</v>
      </c>
      <c r="D1481" s="176" t="s">
        <v>4506</v>
      </c>
      <c r="E1481" s="16" t="s">
        <v>4528</v>
      </c>
      <c r="F1481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81" s="59">
        <v>129</v>
      </c>
      <c r="H1481" s="59"/>
      <c r="I1481" s="1">
        <f>COUNTA(ProductInfo[[#This Row],[P1]:[P15]])</f>
        <v>2</v>
      </c>
      <c r="J14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1" s="7" t="s">
        <v>12</v>
      </c>
      <c r="M1481" s="7" t="s">
        <v>13</v>
      </c>
      <c r="N1481" s="4"/>
      <c r="O1481" s="7"/>
      <c r="P1481" s="7"/>
      <c r="Q1481" s="7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s="1" customFormat="1">
      <c r="A1482" s="8" t="s">
        <v>1534</v>
      </c>
      <c r="B1482" s="8" t="s">
        <v>3691</v>
      </c>
      <c r="C1482" s="1" t="str">
        <f>RIGHT(ProductInfo[[#This Row],[Drawing No]],1)</f>
        <v>4</v>
      </c>
      <c r="D1482" s="179" t="s">
        <v>1535</v>
      </c>
      <c r="E1482" s="18"/>
      <c r="F148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2" s="32"/>
      <c r="H1482" s="32"/>
      <c r="I1482" s="1">
        <f>COUNTA(ProductInfo[[#This Row],[P1]:[P15]])</f>
        <v>2</v>
      </c>
      <c r="J14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2" s="7" t="s">
        <v>12</v>
      </c>
      <c r="M1482" s="7" t="s">
        <v>13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s="1" customFormat="1">
      <c r="A1483" s="8" t="s">
        <v>1534</v>
      </c>
      <c r="B1483" s="8" t="s">
        <v>4371</v>
      </c>
      <c r="C1483" s="2" t="str">
        <f>RIGHT(ProductInfo[[#This Row],[Drawing No]],1)</f>
        <v>5</v>
      </c>
      <c r="D1483" s="176" t="s">
        <v>1535</v>
      </c>
      <c r="E1483" s="16"/>
      <c r="F14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3" s="31"/>
      <c r="H1483" s="31"/>
      <c r="I1483" s="1">
        <f>COUNTA(ProductInfo[[#This Row],[P1]:[P15]])</f>
        <v>2</v>
      </c>
      <c r="J14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3" s="7" t="s">
        <v>12</v>
      </c>
      <c r="M1483" s="7" t="s">
        <v>13</v>
      </c>
      <c r="N1483" s="7"/>
      <c r="O1483" s="7"/>
      <c r="P1483" s="7"/>
      <c r="Q1483" s="7"/>
      <c r="R1483" s="7"/>
      <c r="S1483" s="7"/>
      <c r="T1483" s="4"/>
      <c r="U1483" s="4"/>
      <c r="V1483" s="4"/>
      <c r="W1483" s="4"/>
      <c r="X1483" s="4"/>
      <c r="Y1483" s="4"/>
      <c r="Z1483" s="4"/>
    </row>
    <row r="1484" spans="1:26" s="1" customFormat="1">
      <c r="A1484" s="8" t="s">
        <v>1534</v>
      </c>
      <c r="B1484" s="8" t="s">
        <v>4504</v>
      </c>
      <c r="C1484" s="2" t="str">
        <f>RIGHT(ProductInfo[[#This Row],[Drawing No]],1)</f>
        <v>6</v>
      </c>
      <c r="D1484" s="176" t="s">
        <v>1535</v>
      </c>
      <c r="E1484" s="16" t="s">
        <v>4528</v>
      </c>
      <c r="F1484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84" s="59">
        <v>134</v>
      </c>
      <c r="H1484" s="59"/>
      <c r="I1484" s="1">
        <f>COUNTA(ProductInfo[[#This Row],[P1]:[P15]])</f>
        <v>2</v>
      </c>
      <c r="J14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4" s="7" t="s">
        <v>12</v>
      </c>
      <c r="M1484" s="7" t="s">
        <v>13</v>
      </c>
      <c r="N1484" s="7"/>
      <c r="O1484" s="7"/>
      <c r="P1484" s="7"/>
      <c r="Q1484" s="7"/>
      <c r="R1484" s="7"/>
      <c r="S1484" s="7"/>
      <c r="T1484" s="4"/>
      <c r="U1484" s="4"/>
      <c r="V1484" s="4"/>
      <c r="W1484" s="4"/>
      <c r="X1484" s="4"/>
      <c r="Y1484" s="4"/>
      <c r="Z1484" s="4"/>
    </row>
    <row r="1485" spans="1:26" s="1" customFormat="1">
      <c r="A1485" s="8" t="s">
        <v>1536</v>
      </c>
      <c r="B1485" s="8" t="s">
        <v>3691</v>
      </c>
      <c r="C1485" s="1" t="str">
        <f>RIGHT(ProductInfo[[#This Row],[Drawing No]],1)</f>
        <v>4</v>
      </c>
      <c r="D1485" s="176" t="s">
        <v>1537</v>
      </c>
      <c r="E1485" s="16"/>
      <c r="F14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5" s="31"/>
      <c r="H1485" s="31"/>
      <c r="I1485" s="1">
        <f>COUNTA(ProductInfo[[#This Row],[P1]:[P15]])</f>
        <v>2</v>
      </c>
      <c r="J14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5" s="7" t="s">
        <v>12</v>
      </c>
      <c r="M1485" s="7" t="s">
        <v>13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s="1" customFormat="1">
      <c r="A1486" s="8" t="s">
        <v>1536</v>
      </c>
      <c r="B1486" s="8" t="s">
        <v>4371</v>
      </c>
      <c r="C1486" s="2" t="str">
        <f>RIGHT(ProductInfo[[#This Row],[Drawing No]],1)</f>
        <v>5</v>
      </c>
      <c r="D1486" s="176" t="s">
        <v>1537</v>
      </c>
      <c r="E1486" s="16"/>
      <c r="F14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6" s="31"/>
      <c r="H1486" s="31"/>
      <c r="I1486" s="1">
        <f>COUNTA(ProductInfo[[#This Row],[P1]:[P15]])</f>
        <v>2</v>
      </c>
      <c r="J14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6" s="7" t="s">
        <v>12</v>
      </c>
      <c r="M1486" s="7" t="s">
        <v>13</v>
      </c>
      <c r="N1486" s="7"/>
      <c r="O1486" s="7"/>
      <c r="P1486" s="7"/>
      <c r="Q1486" s="7"/>
      <c r="R1486" s="7"/>
      <c r="S1486" s="7"/>
      <c r="T1486" s="4"/>
      <c r="U1486" s="4"/>
      <c r="V1486" s="4"/>
      <c r="W1486" s="4"/>
      <c r="X1486" s="4"/>
      <c r="Y1486" s="4"/>
      <c r="Z1486" s="4"/>
    </row>
    <row r="1487" spans="1:26" s="1" customFormat="1">
      <c r="A1487" s="8" t="s">
        <v>1536</v>
      </c>
      <c r="B1487" s="8" t="s">
        <v>4504</v>
      </c>
      <c r="C1487" s="2" t="str">
        <f>RIGHT(ProductInfo[[#This Row],[Drawing No]],1)</f>
        <v>6</v>
      </c>
      <c r="D1487" s="176" t="s">
        <v>1537</v>
      </c>
      <c r="E1487" s="16" t="s">
        <v>4528</v>
      </c>
      <c r="F1487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87" s="59">
        <v>136</v>
      </c>
      <c r="H1487" s="59"/>
      <c r="I1487" s="1">
        <f>COUNTA(ProductInfo[[#This Row],[P1]:[P15]])</f>
        <v>2</v>
      </c>
      <c r="J14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7" s="7" t="s">
        <v>12</v>
      </c>
      <c r="M1487" s="7" t="s">
        <v>13</v>
      </c>
      <c r="N1487" s="7"/>
      <c r="O1487" s="7"/>
      <c r="P1487" s="7"/>
      <c r="Q1487" s="7"/>
      <c r="R1487" s="7"/>
      <c r="S1487" s="7"/>
      <c r="T1487" s="4"/>
      <c r="U1487" s="4"/>
      <c r="V1487" s="4"/>
      <c r="W1487" s="4"/>
      <c r="X1487" s="4"/>
      <c r="Y1487" s="4"/>
      <c r="Z1487" s="4"/>
    </row>
    <row r="1488" spans="1:26" s="1" customFormat="1">
      <c r="A1488" s="8" t="s">
        <v>4372</v>
      </c>
      <c r="B1488" s="8" t="s">
        <v>4371</v>
      </c>
      <c r="C1488" s="2" t="str">
        <f>RIGHT(ProductInfo[[#This Row],[Drawing No]],1)</f>
        <v>5</v>
      </c>
      <c r="D1488" s="176" t="s">
        <v>4374</v>
      </c>
      <c r="E1488" s="16"/>
      <c r="F14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88" s="31"/>
      <c r="H1488" s="31"/>
      <c r="I1488" s="1">
        <f>COUNTA(ProductInfo[[#This Row],[P1]:[P15]])</f>
        <v>2</v>
      </c>
      <c r="J14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8" s="7" t="s">
        <v>12</v>
      </c>
      <c r="M1488" s="7" t="s">
        <v>13</v>
      </c>
      <c r="N1488" s="4"/>
      <c r="O1488" s="7"/>
      <c r="P1488" s="7"/>
      <c r="Q1488" s="7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s="1" customFormat="1">
      <c r="A1489" s="8" t="s">
        <v>4372</v>
      </c>
      <c r="B1489" s="8" t="s">
        <v>4504</v>
      </c>
      <c r="C1489" s="2" t="str">
        <f>RIGHT(ProductInfo[[#This Row],[Drawing No]],1)</f>
        <v>6</v>
      </c>
      <c r="D1489" s="176" t="s">
        <v>4374</v>
      </c>
      <c r="E1489" s="16" t="s">
        <v>4528</v>
      </c>
      <c r="F1489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89" s="59">
        <v>137</v>
      </c>
      <c r="H1489" s="59"/>
      <c r="I1489" s="1">
        <f>COUNTA(ProductInfo[[#This Row],[P1]:[P15]])</f>
        <v>2</v>
      </c>
      <c r="J14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89" s="7" t="s">
        <v>12</v>
      </c>
      <c r="M1489" s="7" t="s">
        <v>13</v>
      </c>
      <c r="N1489" s="4"/>
      <c r="O1489" s="7"/>
      <c r="P1489" s="7"/>
      <c r="Q1489" s="7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s="1" customFormat="1">
      <c r="A1490" s="8" t="s">
        <v>1538</v>
      </c>
      <c r="B1490" s="8" t="s">
        <v>3691</v>
      </c>
      <c r="C1490" s="1" t="str">
        <f>RIGHT(ProductInfo[[#This Row],[Drawing No]],1)</f>
        <v>4</v>
      </c>
      <c r="D1490" s="179" t="s">
        <v>1539</v>
      </c>
      <c r="E1490" s="18"/>
      <c r="F149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0" s="32"/>
      <c r="H1490" s="32"/>
      <c r="I1490" s="1">
        <f>COUNTA(ProductInfo[[#This Row],[P1]:[P15]])</f>
        <v>2</v>
      </c>
      <c r="J14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0" s="7" t="s">
        <v>12</v>
      </c>
      <c r="M1490" s="7" t="s">
        <v>13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s="1" customFormat="1">
      <c r="A1491" s="8" t="s">
        <v>1538</v>
      </c>
      <c r="B1491" s="8" t="s">
        <v>4371</v>
      </c>
      <c r="C1491" s="2" t="str">
        <f>RIGHT(ProductInfo[[#This Row],[Drawing No]],1)</f>
        <v>5</v>
      </c>
      <c r="D1491" s="176" t="s">
        <v>1539</v>
      </c>
      <c r="E1491" s="16"/>
      <c r="F14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1" s="31"/>
      <c r="H1491" s="31"/>
      <c r="I1491" s="1">
        <f>COUNTA(ProductInfo[[#This Row],[P1]:[P15]])</f>
        <v>2</v>
      </c>
      <c r="J14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1" s="7" t="s">
        <v>12</v>
      </c>
      <c r="M1491" s="7" t="s">
        <v>13</v>
      </c>
      <c r="N1491" s="7"/>
      <c r="O1491" s="7"/>
      <c r="P1491" s="7"/>
      <c r="Q1491" s="7"/>
      <c r="R1491" s="7"/>
      <c r="S1491" s="7"/>
      <c r="T1491" s="4"/>
      <c r="U1491" s="4"/>
      <c r="V1491" s="4"/>
      <c r="W1491" s="4"/>
      <c r="X1491" s="4"/>
      <c r="Y1491" s="4"/>
      <c r="Z1491" s="4"/>
    </row>
    <row r="1492" spans="1:26">
      <c r="A1492" s="8" t="s">
        <v>1538</v>
      </c>
      <c r="B1492" s="8" t="s">
        <v>4504</v>
      </c>
      <c r="C1492" s="2" t="str">
        <f>RIGHT(ProductInfo[[#This Row],[Drawing No]],1)</f>
        <v>6</v>
      </c>
      <c r="D1492" s="176" t="s">
        <v>1539</v>
      </c>
      <c r="E1492" s="16" t="s">
        <v>4528</v>
      </c>
      <c r="F1492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92" s="59">
        <v>139</v>
      </c>
      <c r="H1492" s="59"/>
      <c r="I1492" s="1">
        <f>COUNTA(ProductInfo[[#This Row],[P1]:[P15]])</f>
        <v>2</v>
      </c>
      <c r="J14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2" s="7" t="s">
        <v>12</v>
      </c>
      <c r="M1492" s="7" t="s">
        <v>13</v>
      </c>
      <c r="N1492" s="7"/>
      <c r="R1492" s="7"/>
      <c r="S1492" s="7"/>
    </row>
    <row r="1493" spans="1:26">
      <c r="A1493" s="8" t="s">
        <v>3695</v>
      </c>
      <c r="B1493" s="8" t="s">
        <v>3691</v>
      </c>
      <c r="C1493" s="2" t="str">
        <f>RIGHT(ProductInfo[[#This Row],[Drawing No]],1)</f>
        <v>4</v>
      </c>
      <c r="D1493" s="176" t="s">
        <v>3697</v>
      </c>
      <c r="E1493" s="16"/>
      <c r="F14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3" s="31"/>
      <c r="H1493" s="31"/>
      <c r="I1493" s="1">
        <f>COUNTA(ProductInfo[[#This Row],[P1]:[P15]])</f>
        <v>2</v>
      </c>
      <c r="J14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3" s="7" t="s">
        <v>12</v>
      </c>
      <c r="M1493" s="7" t="s">
        <v>13</v>
      </c>
      <c r="T1493" s="7"/>
      <c r="U1493" s="7"/>
      <c r="V1493" s="7"/>
      <c r="W1493" s="7"/>
      <c r="X1493" s="7"/>
      <c r="Y1493" s="7"/>
      <c r="Z1493" s="7"/>
    </row>
    <row r="1494" spans="1:26">
      <c r="A1494" s="8" t="s">
        <v>3695</v>
      </c>
      <c r="B1494" s="8" t="s">
        <v>4371</v>
      </c>
      <c r="C1494" s="2" t="str">
        <f>RIGHT(ProductInfo[[#This Row],[Drawing No]],1)</f>
        <v>5</v>
      </c>
      <c r="D1494" s="176" t="s">
        <v>3697</v>
      </c>
      <c r="E1494" s="16"/>
      <c r="F14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4" s="31"/>
      <c r="H1494" s="31"/>
      <c r="I1494" s="1">
        <f>COUNTA(ProductInfo[[#This Row],[P1]:[P15]])</f>
        <v>2</v>
      </c>
      <c r="J14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4" s="7" t="s">
        <v>12</v>
      </c>
      <c r="M1494" s="7" t="s">
        <v>13</v>
      </c>
    </row>
    <row r="1495" spans="1:26" s="1" customFormat="1">
      <c r="A1495" s="8" t="s">
        <v>3695</v>
      </c>
      <c r="B1495" s="8" t="s">
        <v>4504</v>
      </c>
      <c r="C1495" s="2" t="str">
        <f>RIGHT(ProductInfo[[#This Row],[Drawing No]],1)</f>
        <v>6</v>
      </c>
      <c r="D1495" s="176" t="s">
        <v>3697</v>
      </c>
      <c r="E1495" s="16" t="s">
        <v>4528</v>
      </c>
      <c r="F149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95" s="59">
        <v>140</v>
      </c>
      <c r="H1495" s="59"/>
      <c r="I1495" s="1">
        <f>COUNTA(ProductInfo[[#This Row],[P1]:[P15]])</f>
        <v>2</v>
      </c>
      <c r="J14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5" s="7" t="s">
        <v>12</v>
      </c>
      <c r="M1495" s="7" t="s">
        <v>13</v>
      </c>
      <c r="N1495" s="4"/>
      <c r="O1495" s="7"/>
      <c r="P1495" s="7"/>
      <c r="Q1495" s="7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s="1" customFormat="1">
      <c r="A1496" s="8" t="s">
        <v>1540</v>
      </c>
      <c r="B1496" s="8" t="s">
        <v>4504</v>
      </c>
      <c r="C1496" s="2" t="str">
        <f>RIGHT(ProductInfo[[#This Row],[Drawing No]],1)</f>
        <v>6</v>
      </c>
      <c r="D1496" s="176" t="s">
        <v>1541</v>
      </c>
      <c r="E1496" s="16" t="s">
        <v>4528</v>
      </c>
      <c r="F1496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496" s="59">
        <v>144</v>
      </c>
      <c r="H1496" s="59"/>
      <c r="I1496" s="1">
        <f>COUNTA(ProductInfo[[#This Row],[P1]:[P15]])</f>
        <v>2</v>
      </c>
      <c r="J14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6" s="7" t="s">
        <v>12</v>
      </c>
      <c r="M1496" s="7" t="s">
        <v>13</v>
      </c>
      <c r="N1496" s="7"/>
      <c r="O1496" s="7"/>
      <c r="P1496" s="7"/>
      <c r="Q1496" s="7"/>
      <c r="R1496" s="7"/>
      <c r="S1496" s="7"/>
      <c r="T1496" s="4"/>
      <c r="U1496" s="4"/>
      <c r="V1496" s="4"/>
      <c r="W1496" s="4"/>
      <c r="X1496" s="4"/>
      <c r="Y1496" s="4"/>
      <c r="Z1496" s="4"/>
    </row>
    <row r="1497" spans="1:26" s="1" customFormat="1">
      <c r="A1497" s="8" t="s">
        <v>1540</v>
      </c>
      <c r="B1497" s="8" t="s">
        <v>4371</v>
      </c>
      <c r="C1497" s="2" t="str">
        <f>RIGHT(ProductInfo[[#This Row],[Drawing No]],1)</f>
        <v>5</v>
      </c>
      <c r="D1497" s="176" t="s">
        <v>1541</v>
      </c>
      <c r="E1497" s="16"/>
      <c r="F14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7" s="31"/>
      <c r="H1497" s="31"/>
      <c r="I1497" s="1">
        <f>COUNTA(ProductInfo[[#This Row],[P1]:[P15]])</f>
        <v>2</v>
      </c>
      <c r="J14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7" s="7" t="s">
        <v>12</v>
      </c>
      <c r="M1497" s="7" t="s">
        <v>13</v>
      </c>
      <c r="N1497" s="7"/>
      <c r="O1497" s="7"/>
      <c r="P1497" s="7"/>
      <c r="Q1497" s="7"/>
      <c r="R1497" s="7"/>
      <c r="S1497" s="7"/>
      <c r="T1497" s="4"/>
      <c r="U1497" s="4"/>
      <c r="V1497" s="4"/>
      <c r="W1497" s="4"/>
      <c r="X1497" s="4"/>
      <c r="Y1497" s="4"/>
      <c r="Z1497" s="4"/>
    </row>
    <row r="1498" spans="1:26" s="1" customFormat="1">
      <c r="A1498" s="8" t="s">
        <v>1542</v>
      </c>
      <c r="B1498" s="8" t="s">
        <v>3691</v>
      </c>
      <c r="C1498" s="1" t="str">
        <f>RIGHT(ProductInfo[[#This Row],[Drawing No]],1)</f>
        <v>4</v>
      </c>
      <c r="D1498" s="176" t="s">
        <v>1543</v>
      </c>
      <c r="E1498" s="16"/>
      <c r="F14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8" s="31"/>
      <c r="H1498" s="31"/>
      <c r="I1498" s="1">
        <f>COUNTA(ProductInfo[[#This Row],[P1]:[P15]])</f>
        <v>2</v>
      </c>
      <c r="J14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8" s="7" t="s">
        <v>12</v>
      </c>
      <c r="M1498" s="7" t="s">
        <v>13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s="1" customFormat="1">
      <c r="A1499" s="8" t="s">
        <v>1542</v>
      </c>
      <c r="B1499" s="8" t="s">
        <v>4371</v>
      </c>
      <c r="C1499" s="2" t="str">
        <f>RIGHT(ProductInfo[[#This Row],[Drawing No]],1)</f>
        <v>5</v>
      </c>
      <c r="D1499" s="176" t="s">
        <v>1543</v>
      </c>
      <c r="E1499" s="16"/>
      <c r="F14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499" s="31"/>
      <c r="H1499" s="31"/>
      <c r="I1499" s="1">
        <f>COUNTA(ProductInfo[[#This Row],[P1]:[P15]])</f>
        <v>2</v>
      </c>
      <c r="J14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4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499" s="7" t="s">
        <v>12</v>
      </c>
      <c r="M1499" s="7" t="s">
        <v>13</v>
      </c>
      <c r="N1499" s="7"/>
      <c r="O1499" s="7"/>
      <c r="P1499" s="7"/>
      <c r="Q1499" s="7"/>
      <c r="R1499" s="7"/>
      <c r="S1499" s="7"/>
      <c r="T1499" s="4"/>
      <c r="U1499" s="4"/>
      <c r="V1499" s="4"/>
      <c r="W1499" s="4"/>
      <c r="X1499" s="4"/>
      <c r="Y1499" s="4"/>
      <c r="Z1499" s="4"/>
    </row>
    <row r="1500" spans="1:26" s="1" customFormat="1">
      <c r="A1500" s="8" t="s">
        <v>1542</v>
      </c>
      <c r="B1500" s="8" t="s">
        <v>4504</v>
      </c>
      <c r="C1500" s="2" t="str">
        <f>RIGHT(ProductInfo[[#This Row],[Drawing No]],1)</f>
        <v>6</v>
      </c>
      <c r="D1500" s="176" t="s">
        <v>1543</v>
      </c>
      <c r="E1500" s="16" t="s">
        <v>4528</v>
      </c>
      <c r="F1500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00" s="59">
        <v>147</v>
      </c>
      <c r="H1500" s="59"/>
      <c r="I1500" s="1">
        <f>COUNTA(ProductInfo[[#This Row],[P1]:[P15]])</f>
        <v>2</v>
      </c>
      <c r="J15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0" s="7" t="s">
        <v>12</v>
      </c>
      <c r="M1500" s="7" t="s">
        <v>13</v>
      </c>
      <c r="N1500" s="7"/>
      <c r="O1500" s="7"/>
      <c r="P1500" s="7"/>
      <c r="Q1500" s="7"/>
      <c r="R1500" s="7"/>
      <c r="S1500" s="7"/>
      <c r="T1500" s="4"/>
      <c r="U1500" s="4"/>
      <c r="V1500" s="4"/>
      <c r="W1500" s="4"/>
      <c r="X1500" s="4"/>
      <c r="Y1500" s="4"/>
      <c r="Z1500" s="4"/>
    </row>
    <row r="1501" spans="1:26" s="1" customFormat="1">
      <c r="A1501" s="8" t="s">
        <v>1544</v>
      </c>
      <c r="B1501" s="8" t="s">
        <v>4504</v>
      </c>
      <c r="C1501" s="2" t="str">
        <f>RIGHT(ProductInfo[[#This Row],[Drawing No]],1)</f>
        <v>6</v>
      </c>
      <c r="D1501" s="176" t="s">
        <v>1545</v>
      </c>
      <c r="E1501" s="16" t="s">
        <v>4528</v>
      </c>
      <c r="F1501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01" s="59">
        <v>149</v>
      </c>
      <c r="H1501" s="59"/>
      <c r="I1501" s="1">
        <f>COUNTA(ProductInfo[[#This Row],[P1]:[P15]])</f>
        <v>2</v>
      </c>
      <c r="J15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1" s="7" t="s">
        <v>12</v>
      </c>
      <c r="M1501" s="7" t="s">
        <v>13</v>
      </c>
      <c r="N1501" s="7"/>
      <c r="O1501" s="7"/>
      <c r="P1501" s="7"/>
      <c r="Q1501" s="7"/>
      <c r="R1501" s="7"/>
      <c r="S1501" s="7"/>
      <c r="T1501" s="4"/>
      <c r="U1501" s="4"/>
      <c r="V1501" s="4"/>
      <c r="W1501" s="4"/>
      <c r="X1501" s="4"/>
      <c r="Y1501" s="4"/>
      <c r="Z1501" s="4"/>
    </row>
    <row r="1502" spans="1:26" s="1" customFormat="1">
      <c r="A1502" s="8" t="s">
        <v>1544</v>
      </c>
      <c r="B1502" s="8" t="s">
        <v>4371</v>
      </c>
      <c r="C1502" s="2" t="str">
        <f>RIGHT(ProductInfo[[#This Row],[Drawing No]],1)</f>
        <v>5</v>
      </c>
      <c r="D1502" s="176" t="s">
        <v>1545</v>
      </c>
      <c r="E1502" s="16"/>
      <c r="F15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2" s="31"/>
      <c r="H1502" s="31"/>
      <c r="I1502" s="1">
        <f>COUNTA(ProductInfo[[#This Row],[P1]:[P15]])</f>
        <v>2</v>
      </c>
      <c r="J15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2" s="7" t="s">
        <v>12</v>
      </c>
      <c r="M1502" s="7" t="s">
        <v>13</v>
      </c>
      <c r="N1502" s="7"/>
      <c r="O1502" s="7"/>
      <c r="P1502" s="7"/>
      <c r="Q1502" s="7"/>
      <c r="R1502" s="7"/>
      <c r="S1502" s="7"/>
      <c r="T1502" s="4"/>
      <c r="U1502" s="4"/>
      <c r="V1502" s="4"/>
      <c r="W1502" s="4"/>
      <c r="X1502" s="4"/>
      <c r="Y1502" s="4"/>
      <c r="Z1502" s="4"/>
    </row>
    <row r="1503" spans="1:26" s="1" customFormat="1">
      <c r="A1503" s="8" t="s">
        <v>1546</v>
      </c>
      <c r="B1503" s="8" t="s">
        <v>4504</v>
      </c>
      <c r="C1503" s="2" t="str">
        <f>RIGHT(ProductInfo[[#This Row],[Drawing No]],1)</f>
        <v>6</v>
      </c>
      <c r="D1503" s="176" t="s">
        <v>1547</v>
      </c>
      <c r="E1503" s="16" t="s">
        <v>4528</v>
      </c>
      <c r="F150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03" s="59">
        <v>157</v>
      </c>
      <c r="H1503" s="59"/>
      <c r="I1503" s="1">
        <f>COUNTA(ProductInfo[[#This Row],[P1]:[P15]])</f>
        <v>2</v>
      </c>
      <c r="J15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3" s="7" t="s">
        <v>12</v>
      </c>
      <c r="M1503" s="7" t="s">
        <v>13</v>
      </c>
      <c r="N1503" s="7"/>
      <c r="O1503" s="7"/>
      <c r="P1503" s="7"/>
      <c r="Q1503" s="7"/>
      <c r="R1503" s="7"/>
      <c r="S1503" s="7"/>
      <c r="T1503" s="4"/>
      <c r="U1503" s="4"/>
      <c r="V1503" s="4"/>
      <c r="W1503" s="4"/>
      <c r="X1503" s="4"/>
      <c r="Y1503" s="4"/>
      <c r="Z1503" s="4"/>
    </row>
    <row r="1504" spans="1:26" s="1" customFormat="1">
      <c r="A1504" s="8" t="s">
        <v>1546</v>
      </c>
      <c r="B1504" s="8" t="s">
        <v>4371</v>
      </c>
      <c r="C1504" s="2" t="str">
        <f>RIGHT(ProductInfo[[#This Row],[Drawing No]],1)</f>
        <v>5</v>
      </c>
      <c r="D1504" s="176" t="s">
        <v>1547</v>
      </c>
      <c r="E1504" s="16"/>
      <c r="F15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4" s="31"/>
      <c r="H1504" s="31"/>
      <c r="I1504" s="1">
        <f>COUNTA(ProductInfo[[#This Row],[P1]:[P15]])</f>
        <v>2</v>
      </c>
      <c r="J15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4" s="7" t="s">
        <v>12</v>
      </c>
      <c r="M1504" s="7" t="s">
        <v>13</v>
      </c>
      <c r="N1504" s="7"/>
      <c r="O1504" s="7"/>
      <c r="P1504" s="7"/>
      <c r="Q1504" s="7"/>
      <c r="R1504" s="7"/>
      <c r="S1504" s="7"/>
      <c r="T1504" s="4"/>
      <c r="U1504" s="4"/>
      <c r="V1504" s="4"/>
      <c r="W1504" s="4"/>
      <c r="X1504" s="4"/>
      <c r="Y1504" s="4"/>
      <c r="Z1504" s="4"/>
    </row>
    <row r="1505" spans="1:26" s="1" customFormat="1">
      <c r="A1505" s="8" t="s">
        <v>1548</v>
      </c>
      <c r="B1505" s="8" t="s">
        <v>4504</v>
      </c>
      <c r="C1505" s="2" t="str">
        <f>RIGHT(ProductInfo[[#This Row],[Drawing No]],1)</f>
        <v>6</v>
      </c>
      <c r="D1505" s="190" t="s">
        <v>1549</v>
      </c>
      <c r="E1505" s="16" t="s">
        <v>4528</v>
      </c>
      <c r="F150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05" s="59">
        <v>159</v>
      </c>
      <c r="H1505" s="59"/>
      <c r="I1505" s="1">
        <f>COUNTA(ProductInfo[[#This Row],[P1]:[P15]])</f>
        <v>2</v>
      </c>
      <c r="J15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5" s="7" t="s">
        <v>12</v>
      </c>
      <c r="M1505" s="7" t="s">
        <v>13</v>
      </c>
      <c r="N1505" s="7"/>
      <c r="O1505" s="7"/>
      <c r="P1505" s="7"/>
      <c r="Q1505" s="7"/>
      <c r="R1505" s="7"/>
      <c r="S1505" s="7"/>
      <c r="T1505" s="4"/>
      <c r="U1505" s="4"/>
      <c r="V1505" s="4"/>
      <c r="W1505" s="4"/>
      <c r="X1505" s="4"/>
      <c r="Y1505" s="4"/>
      <c r="Z1505" s="4"/>
    </row>
    <row r="1506" spans="1:26" s="1" customFormat="1">
      <c r="A1506" s="8" t="s">
        <v>1548</v>
      </c>
      <c r="B1506" s="8" t="s">
        <v>4371</v>
      </c>
      <c r="C1506" s="2" t="str">
        <f>RIGHT(ProductInfo[[#This Row],[Drawing No]],1)</f>
        <v>5</v>
      </c>
      <c r="D1506" s="176" t="s">
        <v>1549</v>
      </c>
      <c r="E1506" s="16"/>
      <c r="F15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6" s="31"/>
      <c r="H1506" s="31"/>
      <c r="I1506" s="1">
        <f>COUNTA(ProductInfo[[#This Row],[P1]:[P15]])</f>
        <v>2</v>
      </c>
      <c r="J15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6" s="7" t="s">
        <v>12</v>
      </c>
      <c r="M1506" s="7" t="s">
        <v>13</v>
      </c>
      <c r="N1506" s="7"/>
      <c r="O1506" s="7"/>
      <c r="P1506" s="7"/>
      <c r="Q1506" s="7"/>
      <c r="R1506" s="7"/>
      <c r="S1506" s="7"/>
      <c r="T1506" s="4"/>
      <c r="U1506" s="4"/>
      <c r="V1506" s="4"/>
      <c r="W1506" s="4"/>
      <c r="X1506" s="4"/>
      <c r="Y1506" s="4"/>
      <c r="Z1506" s="4"/>
    </row>
    <row r="1507" spans="1:26" s="1" customFormat="1">
      <c r="A1507" s="8" t="s">
        <v>3694</v>
      </c>
      <c r="B1507" s="8" t="s">
        <v>3691</v>
      </c>
      <c r="C1507" s="2" t="str">
        <f>RIGHT(ProductInfo[[#This Row],[Drawing No]],1)</f>
        <v>4</v>
      </c>
      <c r="D1507" s="176" t="s">
        <v>3696</v>
      </c>
      <c r="E1507" s="16"/>
      <c r="F15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7" s="31"/>
      <c r="H1507" s="31"/>
      <c r="I1507" s="1">
        <f>COUNTA(ProductInfo[[#This Row],[P1]:[P15]])</f>
        <v>2</v>
      </c>
      <c r="J15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7" s="7" t="s">
        <v>12</v>
      </c>
      <c r="M1507" s="7" t="s">
        <v>13</v>
      </c>
      <c r="N1507" s="4"/>
      <c r="O1507" s="7"/>
      <c r="P1507" s="7"/>
      <c r="Q1507" s="7"/>
      <c r="R1507" s="4"/>
      <c r="S1507" s="4"/>
      <c r="T1507" s="7"/>
      <c r="U1507" s="7"/>
      <c r="V1507" s="7"/>
      <c r="W1507" s="7"/>
      <c r="X1507" s="7"/>
      <c r="Y1507" s="7"/>
      <c r="Z1507" s="7"/>
    </row>
    <row r="1508" spans="1:26" s="1" customFormat="1">
      <c r="A1508" s="8" t="s">
        <v>3694</v>
      </c>
      <c r="B1508" s="8" t="s">
        <v>4371</v>
      </c>
      <c r="C1508" s="2" t="str">
        <f>RIGHT(ProductInfo[[#This Row],[Drawing No]],1)</f>
        <v>5</v>
      </c>
      <c r="D1508" s="176" t="s">
        <v>3696</v>
      </c>
      <c r="E1508" s="16"/>
      <c r="F15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08" s="31"/>
      <c r="H1508" s="31"/>
      <c r="I1508" s="1">
        <f>COUNTA(ProductInfo[[#This Row],[P1]:[P15]])</f>
        <v>2</v>
      </c>
      <c r="J15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8" s="7" t="s">
        <v>12</v>
      </c>
      <c r="M1508" s="7" t="s">
        <v>13</v>
      </c>
      <c r="N1508" s="4"/>
      <c r="O1508" s="7"/>
      <c r="P1508" s="7"/>
      <c r="Q1508" s="7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s="1" customFormat="1">
      <c r="A1509" s="8" t="s">
        <v>3694</v>
      </c>
      <c r="B1509" s="8" t="s">
        <v>4504</v>
      </c>
      <c r="C1509" s="2" t="str">
        <f>RIGHT(ProductInfo[[#This Row],[Drawing No]],1)</f>
        <v>6</v>
      </c>
      <c r="D1509" s="176" t="s">
        <v>3696</v>
      </c>
      <c r="E1509" s="16" t="s">
        <v>4528</v>
      </c>
      <c r="F1509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09" s="59">
        <v>167</v>
      </c>
      <c r="H1509" s="59"/>
      <c r="I1509" s="1">
        <f>COUNTA(ProductInfo[[#This Row],[P1]:[P15]])</f>
        <v>2</v>
      </c>
      <c r="J15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09" s="7" t="s">
        <v>12</v>
      </c>
      <c r="M1509" s="7" t="s">
        <v>13</v>
      </c>
      <c r="N1509" s="4"/>
      <c r="O1509" s="7"/>
      <c r="P1509" s="7"/>
      <c r="Q1509" s="7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s="1" customFormat="1">
      <c r="A1510" s="8" t="s">
        <v>3692</v>
      </c>
      <c r="B1510" s="8" t="s">
        <v>4371</v>
      </c>
      <c r="C1510" s="2" t="str">
        <f>RIGHT(ProductInfo[[#This Row],[Drawing No]],1)</f>
        <v>5</v>
      </c>
      <c r="D1510" s="176" t="s">
        <v>3693</v>
      </c>
      <c r="E1510" s="16"/>
      <c r="F15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0" s="31"/>
      <c r="H1510" s="31"/>
      <c r="I1510" s="1">
        <f>COUNTA(ProductInfo[[#This Row],[P1]:[P15]])</f>
        <v>2</v>
      </c>
      <c r="J15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0" s="7" t="s">
        <v>12</v>
      </c>
      <c r="M1510" s="7" t="s">
        <v>13</v>
      </c>
      <c r="N1510" s="4"/>
      <c r="O1510" s="7"/>
      <c r="P1510" s="7"/>
      <c r="Q1510" s="7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s="1" customFormat="1">
      <c r="A1511" s="8" t="s">
        <v>3692</v>
      </c>
      <c r="B1511" s="8" t="s">
        <v>4504</v>
      </c>
      <c r="C1511" s="2" t="str">
        <f>RIGHT(ProductInfo[[#This Row],[Drawing No]],1)</f>
        <v>6</v>
      </c>
      <c r="D1511" s="176" t="s">
        <v>3693</v>
      </c>
      <c r="E1511" s="16" t="s">
        <v>4528</v>
      </c>
      <c r="F1511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11" s="59">
        <v>177</v>
      </c>
      <c r="H1511" s="59"/>
      <c r="I1511" s="1">
        <f>COUNTA(ProductInfo[[#This Row],[P1]:[P15]])</f>
        <v>2</v>
      </c>
      <c r="J15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1" s="7" t="s">
        <v>12</v>
      </c>
      <c r="M1511" s="7" t="s">
        <v>13</v>
      </c>
      <c r="N1511" s="4"/>
      <c r="O1511" s="7"/>
      <c r="P1511" s="7"/>
      <c r="Q1511" s="7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s="1" customFormat="1">
      <c r="A1512" s="8" t="s">
        <v>1550</v>
      </c>
      <c r="B1512" s="8" t="s">
        <v>3691</v>
      </c>
      <c r="C1512" s="1" t="str">
        <f>RIGHT(ProductInfo[[#This Row],[Drawing No]],1)</f>
        <v>4</v>
      </c>
      <c r="D1512" s="176" t="s">
        <v>1551</v>
      </c>
      <c r="E1512" s="16"/>
      <c r="F15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2" s="31"/>
      <c r="H1512" s="31"/>
      <c r="I1512" s="1">
        <f>COUNTA(ProductInfo[[#This Row],[P1]:[P15]])</f>
        <v>2</v>
      </c>
      <c r="J15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2" s="7" t="s">
        <v>12</v>
      </c>
      <c r="M1512" s="7" t="s">
        <v>13</v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s="1" customFormat="1">
      <c r="A1513" s="8" t="s">
        <v>1550</v>
      </c>
      <c r="B1513" s="8" t="s">
        <v>4371</v>
      </c>
      <c r="C1513" s="2" t="str">
        <f>RIGHT(ProductInfo[[#This Row],[Drawing No]],1)</f>
        <v>5</v>
      </c>
      <c r="D1513" s="176" t="s">
        <v>1551</v>
      </c>
      <c r="E1513" s="16"/>
      <c r="F15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3" s="31"/>
      <c r="H1513" s="31"/>
      <c r="I1513" s="1">
        <f>COUNTA(ProductInfo[[#This Row],[P1]:[P15]])</f>
        <v>2</v>
      </c>
      <c r="J15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3" s="7" t="s">
        <v>12</v>
      </c>
      <c r="M1513" s="7" t="s">
        <v>13</v>
      </c>
      <c r="N1513" s="7"/>
      <c r="O1513" s="7"/>
      <c r="P1513" s="7"/>
      <c r="Q1513" s="7"/>
      <c r="R1513" s="7"/>
      <c r="S1513" s="7"/>
      <c r="T1513" s="4"/>
      <c r="U1513" s="4"/>
      <c r="V1513" s="4"/>
      <c r="W1513" s="4"/>
      <c r="X1513" s="4"/>
      <c r="Y1513" s="4"/>
      <c r="Z1513" s="4"/>
    </row>
    <row r="1514" spans="1:26" s="1" customFormat="1">
      <c r="A1514" s="8" t="s">
        <v>1550</v>
      </c>
      <c r="B1514" s="8" t="s">
        <v>4504</v>
      </c>
      <c r="C1514" s="2" t="str">
        <f>RIGHT(ProductInfo[[#This Row],[Drawing No]],1)</f>
        <v>6</v>
      </c>
      <c r="D1514" s="176" t="s">
        <v>1551</v>
      </c>
      <c r="E1514" s="16" t="s">
        <v>4528</v>
      </c>
      <c r="F1514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14" s="59">
        <v>179</v>
      </c>
      <c r="H1514" s="59"/>
      <c r="I1514" s="1">
        <f>COUNTA(ProductInfo[[#This Row],[P1]:[P15]])</f>
        <v>2</v>
      </c>
      <c r="J15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4" s="7" t="s">
        <v>12</v>
      </c>
      <c r="M1514" s="7" t="s">
        <v>13</v>
      </c>
      <c r="N1514" s="7"/>
      <c r="O1514" s="7"/>
      <c r="P1514" s="7"/>
      <c r="Q1514" s="7"/>
      <c r="R1514" s="7"/>
      <c r="S1514" s="7"/>
      <c r="T1514" s="4"/>
      <c r="U1514" s="4"/>
      <c r="V1514" s="4"/>
      <c r="W1514" s="4"/>
      <c r="X1514" s="4"/>
      <c r="Y1514" s="4"/>
      <c r="Z1514" s="4"/>
    </row>
    <row r="1515" spans="1:26" s="1" customFormat="1">
      <c r="A1515" s="8" t="s">
        <v>1552</v>
      </c>
      <c r="B1515" s="8" t="s">
        <v>1552</v>
      </c>
      <c r="C1515" s="1" t="str">
        <f>RIGHT(ProductInfo[[#This Row],[Drawing No]],1)</f>
        <v>0</v>
      </c>
      <c r="D1515" s="176" t="s">
        <v>1553</v>
      </c>
      <c r="E1515" s="16"/>
      <c r="F15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5" s="31"/>
      <c r="H1515" s="31"/>
      <c r="I1515" s="1">
        <f>COUNTA(ProductInfo[[#This Row],[P1]:[P15]])</f>
        <v>0</v>
      </c>
      <c r="J15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s="1" customFormat="1">
      <c r="A1516" s="8" t="s">
        <v>1554</v>
      </c>
      <c r="B1516" s="8" t="s">
        <v>1554</v>
      </c>
      <c r="C1516" s="1" t="str">
        <f>RIGHT(ProductInfo[[#This Row],[Drawing No]],1)</f>
        <v>0</v>
      </c>
      <c r="D1516" s="176" t="s">
        <v>1555</v>
      </c>
      <c r="E1516" s="16"/>
      <c r="F15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6" s="31"/>
      <c r="H1516" s="31"/>
      <c r="I1516" s="1">
        <f>COUNTA(ProductInfo[[#This Row],[P1]:[P15]])</f>
        <v>0</v>
      </c>
      <c r="J15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s="1" customFormat="1">
      <c r="A1517" s="8" t="s">
        <v>1556</v>
      </c>
      <c r="B1517" s="8" t="s">
        <v>1556</v>
      </c>
      <c r="C1517" s="1" t="str">
        <f>RIGHT(ProductInfo[[#This Row],[Drawing No]],1)</f>
        <v>0</v>
      </c>
      <c r="D1517" s="176" t="s">
        <v>1557</v>
      </c>
      <c r="E1517" s="16"/>
      <c r="F15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7" s="31"/>
      <c r="H1517" s="31"/>
      <c r="I1517" s="1">
        <f>COUNTA(ProductInfo[[#This Row],[P1]:[P15]])</f>
        <v>0</v>
      </c>
      <c r="J15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s="1" customFormat="1">
      <c r="A1518" s="8" t="s">
        <v>1558</v>
      </c>
      <c r="B1518" s="8" t="s">
        <v>1558</v>
      </c>
      <c r="C1518" s="1" t="str">
        <f>RIGHT(ProductInfo[[#This Row],[Drawing No]],1)</f>
        <v>0</v>
      </c>
      <c r="D1518" s="176" t="s">
        <v>1559</v>
      </c>
      <c r="E1518" s="16"/>
      <c r="F15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8" s="31"/>
      <c r="H1518" s="31"/>
      <c r="I1518" s="1">
        <f>COUNTA(ProductInfo[[#This Row],[P1]:[P15]])</f>
        <v>0</v>
      </c>
      <c r="J15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s="1" customFormat="1">
      <c r="A1519" s="8" t="s">
        <v>1560</v>
      </c>
      <c r="B1519" s="8" t="s">
        <v>1560</v>
      </c>
      <c r="C1519" s="1" t="str">
        <f>RIGHT(ProductInfo[[#This Row],[Drawing No]],1)</f>
        <v>0</v>
      </c>
      <c r="D1519" s="176" t="s">
        <v>1561</v>
      </c>
      <c r="E1519" s="16"/>
      <c r="F15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19" s="31"/>
      <c r="H1519" s="31"/>
      <c r="I1519" s="1">
        <f>COUNTA(ProductInfo[[#This Row],[P1]:[P15]])</f>
        <v>0</v>
      </c>
      <c r="J15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s="1" customFormat="1">
      <c r="A1520" s="8" t="s">
        <v>1562</v>
      </c>
      <c r="B1520" s="8" t="s">
        <v>1562</v>
      </c>
      <c r="C1520" s="1" t="str">
        <f>RIGHT(ProductInfo[[#This Row],[Drawing No]],1)</f>
        <v>0</v>
      </c>
      <c r="D1520" s="176" t="s">
        <v>1563</v>
      </c>
      <c r="E1520" s="16"/>
      <c r="F15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0" s="31"/>
      <c r="H1520" s="31"/>
      <c r="I1520" s="1">
        <f>COUNTA(ProductInfo[[#This Row],[P1]:[P15]])</f>
        <v>0</v>
      </c>
      <c r="J15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s="1" customFormat="1">
      <c r="A1521" s="8" t="s">
        <v>1564</v>
      </c>
      <c r="B1521" s="8" t="s">
        <v>1564</v>
      </c>
      <c r="C1521" s="1" t="str">
        <f>RIGHT(ProductInfo[[#This Row],[Drawing No]],1)</f>
        <v>0</v>
      </c>
      <c r="D1521" s="176" t="s">
        <v>1565</v>
      </c>
      <c r="E1521" s="16"/>
      <c r="F15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1" s="31"/>
      <c r="H1521" s="31"/>
      <c r="I1521" s="1">
        <f>COUNTA(ProductInfo[[#This Row],[P1]:[P15]])</f>
        <v>0</v>
      </c>
      <c r="J15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s="1" customFormat="1">
      <c r="A1522" s="8" t="s">
        <v>1566</v>
      </c>
      <c r="B1522" s="8" t="s">
        <v>1566</v>
      </c>
      <c r="C1522" s="1" t="str">
        <f>RIGHT(ProductInfo[[#This Row],[Drawing No]],1)</f>
        <v>0</v>
      </c>
      <c r="D1522" s="176" t="s">
        <v>1567</v>
      </c>
      <c r="E1522" s="16"/>
      <c r="F15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2" s="31"/>
      <c r="H1522" s="31"/>
      <c r="I1522" s="1">
        <f>COUNTA(ProductInfo[[#This Row],[P1]:[P15]])</f>
        <v>0</v>
      </c>
      <c r="J15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s="1" customFormat="1">
      <c r="A1523" s="8" t="s">
        <v>1568</v>
      </c>
      <c r="B1523" s="8" t="s">
        <v>1568</v>
      </c>
      <c r="C1523" s="1" t="str">
        <f>RIGHT(ProductInfo[[#This Row],[Drawing No]],1)</f>
        <v>0</v>
      </c>
      <c r="D1523" s="176" t="s">
        <v>1569</v>
      </c>
      <c r="E1523" s="16"/>
      <c r="F15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3" s="31"/>
      <c r="H1523" s="31"/>
      <c r="I1523" s="1">
        <f>COUNTA(ProductInfo[[#This Row],[P1]:[P15]])</f>
        <v>0</v>
      </c>
      <c r="J15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s="1" customFormat="1">
      <c r="A1524" s="8" t="s">
        <v>1570</v>
      </c>
      <c r="B1524" s="8" t="s">
        <v>1570</v>
      </c>
      <c r="C1524" s="1" t="str">
        <f>RIGHT(ProductInfo[[#This Row],[Drawing No]],1)</f>
        <v>0</v>
      </c>
      <c r="D1524" s="176" t="s">
        <v>1571</v>
      </c>
      <c r="E1524" s="16"/>
      <c r="F15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4" s="31"/>
      <c r="H1524" s="31"/>
      <c r="I1524" s="1">
        <f>COUNTA(ProductInfo[[#This Row],[P1]:[P15]])</f>
        <v>0</v>
      </c>
      <c r="J15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>
      <c r="A1525" s="8" t="s">
        <v>1572</v>
      </c>
      <c r="B1525" s="8" t="s">
        <v>1572</v>
      </c>
      <c r="C1525" s="1" t="str">
        <f>RIGHT(ProductInfo[[#This Row],[Drawing No]],1)</f>
        <v>0</v>
      </c>
      <c r="D1525" s="176" t="s">
        <v>1573</v>
      </c>
      <c r="E1525" s="16"/>
      <c r="F15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5" s="31"/>
      <c r="H1525" s="31"/>
      <c r="I1525" s="1">
        <f>COUNTA(ProductInfo[[#This Row],[P1]:[P15]])</f>
        <v>0</v>
      </c>
      <c r="J15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5" s="7"/>
      <c r="M1525" s="7"/>
      <c r="N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>
      <c r="A1526" s="8" t="s">
        <v>1574</v>
      </c>
      <c r="B1526" s="8" t="s">
        <v>1574</v>
      </c>
      <c r="C1526" s="1" t="str">
        <f>RIGHT(ProductInfo[[#This Row],[Drawing No]],1)</f>
        <v>0</v>
      </c>
      <c r="D1526" s="176" t="s">
        <v>1575</v>
      </c>
      <c r="E1526" s="16"/>
      <c r="F15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6" s="31"/>
      <c r="H1526" s="31"/>
      <c r="I1526" s="1">
        <f>COUNTA(ProductInfo[[#This Row],[P1]:[P15]])</f>
        <v>0</v>
      </c>
      <c r="J15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6" s="7"/>
      <c r="M1526" s="7"/>
      <c r="N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>
      <c r="A1527" s="8" t="s">
        <v>1576</v>
      </c>
      <c r="B1527" s="8" t="s">
        <v>1576</v>
      </c>
      <c r="C1527" s="1" t="str">
        <f>RIGHT(ProductInfo[[#This Row],[Drawing No]],1)</f>
        <v>0</v>
      </c>
      <c r="D1527" s="176" t="s">
        <v>1577</v>
      </c>
      <c r="E1527" s="16"/>
      <c r="F15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7" s="31"/>
      <c r="H1527" s="31"/>
      <c r="I1527" s="1">
        <f>COUNTA(ProductInfo[[#This Row],[P1]:[P15]])</f>
        <v>0</v>
      </c>
      <c r="J15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7" s="7"/>
      <c r="M1527" s="7"/>
      <c r="N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s="1" customFormat="1">
      <c r="A1528" s="8" t="s">
        <v>1578</v>
      </c>
      <c r="B1528" s="8" t="s">
        <v>1578</v>
      </c>
      <c r="C1528" s="1" t="str">
        <f>RIGHT(ProductInfo[[#This Row],[Drawing No]],1)</f>
        <v>0</v>
      </c>
      <c r="D1528" s="176" t="s">
        <v>1579</v>
      </c>
      <c r="E1528" s="16"/>
      <c r="F15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8" s="31"/>
      <c r="H1528" s="31"/>
      <c r="I1528" s="1">
        <f>COUNTA(ProductInfo[[#This Row],[P1]:[P15]])</f>
        <v>0</v>
      </c>
      <c r="J15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s="1" customFormat="1">
      <c r="A1529" s="8" t="s">
        <v>1580</v>
      </c>
      <c r="B1529" s="8" t="s">
        <v>1580</v>
      </c>
      <c r="C1529" s="1" t="str">
        <f>RIGHT(ProductInfo[[#This Row],[Drawing No]],1)</f>
        <v>0</v>
      </c>
      <c r="D1529" s="176" t="s">
        <v>1581</v>
      </c>
      <c r="E1529" s="16"/>
      <c r="F15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29" s="31"/>
      <c r="H1529" s="31"/>
      <c r="I1529" s="1">
        <f>COUNTA(ProductInfo[[#This Row],[P1]:[P15]])</f>
        <v>0</v>
      </c>
      <c r="J15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s="1" customFormat="1">
      <c r="A1530" s="8" t="s">
        <v>1582</v>
      </c>
      <c r="B1530" s="8" t="s">
        <v>1582</v>
      </c>
      <c r="C1530" s="1" t="str">
        <f>RIGHT(ProductInfo[[#This Row],[Drawing No]],1)</f>
        <v>0</v>
      </c>
      <c r="D1530" s="176" t="s">
        <v>1583</v>
      </c>
      <c r="E1530" s="16"/>
      <c r="F15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0" s="31"/>
      <c r="H1530" s="31"/>
      <c r="I1530" s="1">
        <f>COUNTA(ProductInfo[[#This Row],[P1]:[P15]])</f>
        <v>0</v>
      </c>
      <c r="J15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>
      <c r="A1531" s="8" t="s">
        <v>1584</v>
      </c>
      <c r="B1531" s="8" t="s">
        <v>1584</v>
      </c>
      <c r="C1531" s="1" t="str">
        <f>RIGHT(ProductInfo[[#This Row],[Drawing No]],1)</f>
        <v>0</v>
      </c>
      <c r="D1531" s="176" t="s">
        <v>1585</v>
      </c>
      <c r="E1531" s="16"/>
      <c r="F15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1" s="31"/>
      <c r="H1531" s="31"/>
      <c r="I1531" s="1">
        <f>COUNTA(ProductInfo[[#This Row],[P1]:[P15]])</f>
        <v>0</v>
      </c>
      <c r="J15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1" s="7"/>
      <c r="M1531" s="7"/>
      <c r="N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>
      <c r="A1532" s="8" t="s">
        <v>1586</v>
      </c>
      <c r="B1532" s="8" t="s">
        <v>1586</v>
      </c>
      <c r="C1532" s="1" t="str">
        <f>RIGHT(ProductInfo[[#This Row],[Drawing No]],1)</f>
        <v>0</v>
      </c>
      <c r="D1532" s="176" t="s">
        <v>1587</v>
      </c>
      <c r="E1532" s="16"/>
      <c r="F15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2" s="31"/>
      <c r="H1532" s="31"/>
      <c r="I1532" s="1">
        <f>COUNTA(ProductInfo[[#This Row],[P1]:[P15]])</f>
        <v>0</v>
      </c>
      <c r="J15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2" s="7"/>
      <c r="M1532" s="7"/>
      <c r="N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>
      <c r="A1533" s="8" t="s">
        <v>1588</v>
      </c>
      <c r="B1533" s="8" t="s">
        <v>1588</v>
      </c>
      <c r="C1533" s="1" t="str">
        <f>RIGHT(ProductInfo[[#This Row],[Drawing No]],1)</f>
        <v>0</v>
      </c>
      <c r="D1533" s="176" t="s">
        <v>1589</v>
      </c>
      <c r="E1533" s="16"/>
      <c r="F15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3" s="31"/>
      <c r="H1533" s="31"/>
      <c r="I1533" s="1">
        <f>COUNTA(ProductInfo[[#This Row],[P1]:[P15]])</f>
        <v>0</v>
      </c>
      <c r="J15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3" s="7"/>
      <c r="M1533" s="7"/>
      <c r="N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>
      <c r="A1534" s="8" t="s">
        <v>1590</v>
      </c>
      <c r="B1534" s="8" t="s">
        <v>1590</v>
      </c>
      <c r="C1534" s="1" t="str">
        <f>RIGHT(ProductInfo[[#This Row],[Drawing No]],1)</f>
        <v>0</v>
      </c>
      <c r="D1534" s="176" t="s">
        <v>1591</v>
      </c>
      <c r="E1534" s="16"/>
      <c r="F15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4" s="31"/>
      <c r="H1534" s="31"/>
      <c r="I1534" s="1">
        <f>COUNTA(ProductInfo[[#This Row],[P1]:[P15]])</f>
        <v>0</v>
      </c>
      <c r="J15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4" s="7"/>
      <c r="M1534" s="7"/>
      <c r="N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>
      <c r="A1535" s="8" t="s">
        <v>1592</v>
      </c>
      <c r="B1535" s="8" t="s">
        <v>1592</v>
      </c>
      <c r="C1535" s="1" t="str">
        <f>RIGHT(ProductInfo[[#This Row],[Drawing No]],1)</f>
        <v>0</v>
      </c>
      <c r="D1535" s="176" t="s">
        <v>1593</v>
      </c>
      <c r="E1535" s="16"/>
      <c r="F15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5" s="31"/>
      <c r="H1535" s="31"/>
      <c r="I1535" s="1">
        <f>COUNTA(ProductInfo[[#This Row],[P1]:[P15]])</f>
        <v>0</v>
      </c>
      <c r="J15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5" s="7"/>
      <c r="M1535" s="7"/>
      <c r="N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>
      <c r="A1536" s="8" t="s">
        <v>1594</v>
      </c>
      <c r="B1536" s="8" t="s">
        <v>1594</v>
      </c>
      <c r="C1536" s="1" t="str">
        <f>RIGHT(ProductInfo[[#This Row],[Drawing No]],1)</f>
        <v>0</v>
      </c>
      <c r="D1536" s="176" t="s">
        <v>1595</v>
      </c>
      <c r="E1536" s="16"/>
      <c r="F15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6" s="31"/>
      <c r="H1536" s="31"/>
      <c r="I1536" s="1">
        <f>COUNTA(ProductInfo[[#This Row],[P1]:[P15]])</f>
        <v>0</v>
      </c>
      <c r="J15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6" s="7"/>
      <c r="M1536" s="7"/>
      <c r="N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>
      <c r="A1537" s="8" t="s">
        <v>1596</v>
      </c>
      <c r="B1537" s="8" t="s">
        <v>1596</v>
      </c>
      <c r="C1537" s="1" t="str">
        <f>RIGHT(ProductInfo[[#This Row],[Drawing No]],1)</f>
        <v>0</v>
      </c>
      <c r="D1537" s="176" t="s">
        <v>1597</v>
      </c>
      <c r="E1537" s="16"/>
      <c r="F15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7" s="31"/>
      <c r="H1537" s="31"/>
      <c r="I1537" s="1">
        <f>COUNTA(ProductInfo[[#This Row],[P1]:[P15]])</f>
        <v>0</v>
      </c>
      <c r="J15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7" s="7"/>
      <c r="M1537" s="7"/>
      <c r="N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>
      <c r="A1538" s="8" t="s">
        <v>1598</v>
      </c>
      <c r="B1538" s="8" t="s">
        <v>1598</v>
      </c>
      <c r="C1538" s="1" t="str">
        <f>RIGHT(ProductInfo[[#This Row],[Drawing No]],1)</f>
        <v>0</v>
      </c>
      <c r="D1538" s="176" t="s">
        <v>1599</v>
      </c>
      <c r="E1538" s="16"/>
      <c r="F15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8" s="31"/>
      <c r="H1538" s="31"/>
      <c r="I1538" s="1">
        <f>COUNTA(ProductInfo[[#This Row],[P1]:[P15]])</f>
        <v>0</v>
      </c>
      <c r="J15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8" s="7"/>
      <c r="M1538" s="7"/>
      <c r="N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>
      <c r="A1539" s="8" t="s">
        <v>1600</v>
      </c>
      <c r="B1539" s="8" t="s">
        <v>1600</v>
      </c>
      <c r="C1539" s="1" t="str">
        <f>RIGHT(ProductInfo[[#This Row],[Drawing No]],1)</f>
        <v>0</v>
      </c>
      <c r="D1539" s="176" t="s">
        <v>1601</v>
      </c>
      <c r="E1539" s="16"/>
      <c r="F15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39" s="31"/>
      <c r="H1539" s="31"/>
      <c r="I1539" s="1">
        <f>COUNTA(ProductInfo[[#This Row],[P1]:[P15]])</f>
        <v>0</v>
      </c>
      <c r="J15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39" s="7"/>
      <c r="M1539" s="7"/>
      <c r="N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>
      <c r="A1540" s="8" t="s">
        <v>1602</v>
      </c>
      <c r="B1540" s="8" t="s">
        <v>1602</v>
      </c>
      <c r="C1540" s="1" t="str">
        <f>RIGHT(ProductInfo[[#This Row],[Drawing No]],1)</f>
        <v>0</v>
      </c>
      <c r="D1540" s="176" t="s">
        <v>1603</v>
      </c>
      <c r="E1540" s="16"/>
      <c r="F15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0" s="31"/>
      <c r="H1540" s="31"/>
      <c r="I1540" s="1">
        <f>COUNTA(ProductInfo[[#This Row],[P1]:[P15]])</f>
        <v>0</v>
      </c>
      <c r="J15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0" s="7"/>
      <c r="M1540" s="7"/>
      <c r="N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s="1" customFormat="1">
      <c r="A1541" s="8" t="s">
        <v>1604</v>
      </c>
      <c r="B1541" s="8" t="s">
        <v>1604</v>
      </c>
      <c r="C1541" s="1" t="str">
        <f>RIGHT(ProductInfo[[#This Row],[Drawing No]],1)</f>
        <v>0</v>
      </c>
      <c r="D1541" s="176" t="s">
        <v>1605</v>
      </c>
      <c r="E1541" s="16"/>
      <c r="F15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1" s="31"/>
      <c r="H1541" s="31"/>
      <c r="I1541" s="1">
        <f>COUNTA(ProductInfo[[#This Row],[P1]:[P15]])</f>
        <v>0</v>
      </c>
      <c r="J15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s="1" customFormat="1">
      <c r="A1542" s="8" t="s">
        <v>1606</v>
      </c>
      <c r="B1542" s="8" t="s">
        <v>1606</v>
      </c>
      <c r="C1542" s="1" t="str">
        <f>RIGHT(ProductInfo[[#This Row],[Drawing No]],1)</f>
        <v>0</v>
      </c>
      <c r="D1542" s="176" t="s">
        <v>1607</v>
      </c>
      <c r="E1542" s="16"/>
      <c r="F15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2" s="31"/>
      <c r="H1542" s="31"/>
      <c r="I1542" s="1">
        <f>COUNTA(ProductInfo[[#This Row],[P1]:[P15]])</f>
        <v>0</v>
      </c>
      <c r="J15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s="1" customFormat="1">
      <c r="A1543" s="8" t="s">
        <v>1608</v>
      </c>
      <c r="B1543" s="8" t="s">
        <v>1608</v>
      </c>
      <c r="C1543" s="1" t="str">
        <f>RIGHT(ProductInfo[[#This Row],[Drawing No]],1)</f>
        <v>0</v>
      </c>
      <c r="D1543" s="176" t="s">
        <v>1609</v>
      </c>
      <c r="E1543" s="16"/>
      <c r="F15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3" s="31"/>
      <c r="H1543" s="31"/>
      <c r="I1543" s="1">
        <f>COUNTA(ProductInfo[[#This Row],[P1]:[P15]])</f>
        <v>0</v>
      </c>
      <c r="J15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s="1" customFormat="1">
      <c r="A1544" s="8" t="s">
        <v>1610</v>
      </c>
      <c r="B1544" s="8" t="s">
        <v>1610</v>
      </c>
      <c r="C1544" s="1" t="str">
        <f>RIGHT(ProductInfo[[#This Row],[Drawing No]],1)</f>
        <v>0</v>
      </c>
      <c r="D1544" s="176" t="s">
        <v>1611</v>
      </c>
      <c r="E1544" s="16"/>
      <c r="F15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4" s="31"/>
      <c r="H1544" s="31"/>
      <c r="I1544" s="1">
        <f>COUNTA(ProductInfo[[#This Row],[P1]:[P15]])</f>
        <v>0</v>
      </c>
      <c r="J15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s="1" customFormat="1">
      <c r="A1545" s="8" t="s">
        <v>1612</v>
      </c>
      <c r="B1545" s="8" t="s">
        <v>1612</v>
      </c>
      <c r="C1545" s="1" t="str">
        <f>RIGHT(ProductInfo[[#This Row],[Drawing No]],1)</f>
        <v>0</v>
      </c>
      <c r="D1545" s="176" t="s">
        <v>1613</v>
      </c>
      <c r="E1545" s="16"/>
      <c r="F15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5" s="31"/>
      <c r="H1545" s="31"/>
      <c r="I1545" s="1">
        <f>COUNTA(ProductInfo[[#This Row],[P1]:[P15]])</f>
        <v>0</v>
      </c>
      <c r="J15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s="1" customFormat="1">
      <c r="A1546" s="8" t="s">
        <v>1614</v>
      </c>
      <c r="B1546" s="8" t="s">
        <v>1614</v>
      </c>
      <c r="C1546" s="1" t="str">
        <f>RIGHT(ProductInfo[[#This Row],[Drawing No]],1)</f>
        <v>0</v>
      </c>
      <c r="D1546" s="176" t="s">
        <v>1615</v>
      </c>
      <c r="E1546" s="16"/>
      <c r="F15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6" s="31"/>
      <c r="H1546" s="31"/>
      <c r="I1546" s="1">
        <f>COUNTA(ProductInfo[[#This Row],[P1]:[P15]])</f>
        <v>0</v>
      </c>
      <c r="J15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s="1" customFormat="1">
      <c r="A1547" s="8" t="s">
        <v>1616</v>
      </c>
      <c r="B1547" s="8" t="s">
        <v>1616</v>
      </c>
      <c r="C1547" s="1" t="str">
        <f>RIGHT(ProductInfo[[#This Row],[Drawing No]],1)</f>
        <v>0</v>
      </c>
      <c r="D1547" s="176" t="s">
        <v>1617</v>
      </c>
      <c r="E1547" s="16"/>
      <c r="F15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7" s="31"/>
      <c r="H1547" s="31"/>
      <c r="I1547" s="1">
        <f>COUNTA(ProductInfo[[#This Row],[P1]:[P15]])</f>
        <v>0</v>
      </c>
      <c r="J15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s="1" customFormat="1">
      <c r="A1548" s="8" t="s">
        <v>1618</v>
      </c>
      <c r="B1548" s="8" t="s">
        <v>1618</v>
      </c>
      <c r="C1548" s="1" t="str">
        <f>RIGHT(ProductInfo[[#This Row],[Drawing No]],1)</f>
        <v>0</v>
      </c>
      <c r="D1548" s="176" t="s">
        <v>1619</v>
      </c>
      <c r="E1548" s="16"/>
      <c r="F15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8" s="31"/>
      <c r="H1548" s="31"/>
      <c r="I1548" s="1">
        <f>COUNTA(ProductInfo[[#This Row],[P1]:[P15]])</f>
        <v>0</v>
      </c>
      <c r="J15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s="1" customFormat="1">
      <c r="A1549" s="8" t="s">
        <v>1620</v>
      </c>
      <c r="B1549" s="8" t="s">
        <v>1620</v>
      </c>
      <c r="C1549" s="1" t="str">
        <f>RIGHT(ProductInfo[[#This Row],[Drawing No]],1)</f>
        <v>0</v>
      </c>
      <c r="D1549" s="176" t="s">
        <v>1621</v>
      </c>
      <c r="E1549" s="16"/>
      <c r="F15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49" s="31"/>
      <c r="H1549" s="31"/>
      <c r="I1549" s="1">
        <f>COUNTA(ProductInfo[[#This Row],[P1]:[P15]])</f>
        <v>0</v>
      </c>
      <c r="J15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s="1" customFormat="1">
      <c r="A1550" s="8" t="s">
        <v>1622</v>
      </c>
      <c r="B1550" s="8" t="s">
        <v>1622</v>
      </c>
      <c r="C1550" s="1" t="str">
        <f>RIGHT(ProductInfo[[#This Row],[Drawing No]],1)</f>
        <v>0</v>
      </c>
      <c r="D1550" s="176" t="s">
        <v>1623</v>
      </c>
      <c r="E1550" s="16"/>
      <c r="F15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0" s="31"/>
      <c r="H1550" s="31"/>
      <c r="I1550" s="1">
        <f>COUNTA(ProductInfo[[#This Row],[P1]:[P15]])</f>
        <v>0</v>
      </c>
      <c r="J15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>
      <c r="A1551" s="8" t="s">
        <v>1624</v>
      </c>
      <c r="B1551" s="8" t="s">
        <v>1624</v>
      </c>
      <c r="C1551" s="1" t="str">
        <f>RIGHT(ProductInfo[[#This Row],[Drawing No]],1)</f>
        <v>0</v>
      </c>
      <c r="D1551" s="176" t="s">
        <v>1625</v>
      </c>
      <c r="E1551" s="16"/>
      <c r="F15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1" s="31"/>
      <c r="H1551" s="31"/>
      <c r="I1551" s="1">
        <f>COUNTA(ProductInfo[[#This Row],[P1]:[P15]])</f>
        <v>0</v>
      </c>
      <c r="J15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1" s="7"/>
      <c r="M1551" s="7"/>
      <c r="N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>
      <c r="A1552" s="8" t="s">
        <v>1626</v>
      </c>
      <c r="B1552" s="8" t="s">
        <v>1626</v>
      </c>
      <c r="C1552" s="1" t="str">
        <f>RIGHT(ProductInfo[[#This Row],[Drawing No]],1)</f>
        <v>0</v>
      </c>
      <c r="D1552" s="176" t="s">
        <v>1627</v>
      </c>
      <c r="E1552" s="16"/>
      <c r="F15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2" s="31"/>
      <c r="H1552" s="31"/>
      <c r="I1552" s="1">
        <f>COUNTA(ProductInfo[[#This Row],[P1]:[P15]])</f>
        <v>0</v>
      </c>
      <c r="J15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2" s="7"/>
      <c r="M1552" s="7"/>
      <c r="N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s="1" customFormat="1">
      <c r="A1553" s="8" t="s">
        <v>1628</v>
      </c>
      <c r="B1553" s="8" t="s">
        <v>1628</v>
      </c>
      <c r="C1553" s="1" t="str">
        <f>RIGHT(ProductInfo[[#This Row],[Drawing No]],1)</f>
        <v>0</v>
      </c>
      <c r="D1553" s="176" t="s">
        <v>1629</v>
      </c>
      <c r="E1553" s="16"/>
      <c r="F15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3" s="31"/>
      <c r="H1553" s="31"/>
      <c r="I1553" s="1">
        <f>COUNTA(ProductInfo[[#This Row],[P1]:[P15]])</f>
        <v>0</v>
      </c>
      <c r="J15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s="1" customFormat="1">
      <c r="A1554" s="8" t="s">
        <v>1630</v>
      </c>
      <c r="B1554" s="8" t="s">
        <v>1630</v>
      </c>
      <c r="C1554" s="1" t="str">
        <f>RIGHT(ProductInfo[[#This Row],[Drawing No]],1)</f>
        <v>0</v>
      </c>
      <c r="D1554" s="176" t="s">
        <v>1631</v>
      </c>
      <c r="E1554" s="16"/>
      <c r="F15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4" s="31"/>
      <c r="H1554" s="31"/>
      <c r="I1554" s="1">
        <f>COUNTA(ProductInfo[[#This Row],[P1]:[P15]])</f>
        <v>0</v>
      </c>
      <c r="J15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s="1" customFormat="1">
      <c r="A1555" s="8" t="s">
        <v>1632</v>
      </c>
      <c r="B1555" s="8" t="s">
        <v>1632</v>
      </c>
      <c r="C1555" s="1" t="str">
        <f>RIGHT(ProductInfo[[#This Row],[Drawing No]],1)</f>
        <v>0</v>
      </c>
      <c r="D1555" s="176" t="s">
        <v>1633</v>
      </c>
      <c r="E1555" s="16"/>
      <c r="F15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5" s="31"/>
      <c r="H1555" s="31"/>
      <c r="I1555" s="1">
        <f>COUNTA(ProductInfo[[#This Row],[P1]:[P15]])</f>
        <v>0</v>
      </c>
      <c r="J15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s="1" customFormat="1">
      <c r="A1556" s="8" t="s">
        <v>1634</v>
      </c>
      <c r="B1556" s="8" t="s">
        <v>1634</v>
      </c>
      <c r="C1556" s="1" t="str">
        <f>RIGHT(ProductInfo[[#This Row],[Drawing No]],1)</f>
        <v>0</v>
      </c>
      <c r="D1556" s="176" t="s">
        <v>1635</v>
      </c>
      <c r="E1556" s="16"/>
      <c r="F15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6" s="31"/>
      <c r="H1556" s="31"/>
      <c r="I1556" s="1">
        <f>COUNTA(ProductInfo[[#This Row],[P1]:[P15]])</f>
        <v>0</v>
      </c>
      <c r="J15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s="1" customFormat="1">
      <c r="A1557" s="8" t="s">
        <v>1636</v>
      </c>
      <c r="B1557" s="8" t="s">
        <v>1636</v>
      </c>
      <c r="C1557" s="1" t="str">
        <f>RIGHT(ProductInfo[[#This Row],[Drawing No]],1)</f>
        <v>0</v>
      </c>
      <c r="D1557" s="176" t="s">
        <v>1637</v>
      </c>
      <c r="E1557" s="16"/>
      <c r="F15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7" s="31"/>
      <c r="H1557" s="31"/>
      <c r="I1557" s="1">
        <f>COUNTA(ProductInfo[[#This Row],[P1]:[P15]])</f>
        <v>0</v>
      </c>
      <c r="J15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s="1" customFormat="1">
      <c r="A1558" s="8" t="s">
        <v>1638</v>
      </c>
      <c r="B1558" s="8" t="s">
        <v>1638</v>
      </c>
      <c r="C1558" s="1" t="str">
        <f>RIGHT(ProductInfo[[#This Row],[Drawing No]],1)</f>
        <v>0</v>
      </c>
      <c r="D1558" s="176" t="s">
        <v>1639</v>
      </c>
      <c r="E1558" s="16"/>
      <c r="F15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58" s="31"/>
      <c r="H1558" s="31"/>
      <c r="I1558" s="1">
        <f>COUNTA(ProductInfo[[#This Row],[P1]:[P15]])</f>
        <v>0</v>
      </c>
      <c r="J15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s="1" customFormat="1">
      <c r="A1559" s="8" t="s">
        <v>4342</v>
      </c>
      <c r="B1559" s="8" t="s">
        <v>4341</v>
      </c>
      <c r="C1559" s="2" t="str">
        <f>RIGHT(ProductInfo[[#This Row],[Drawing No]],1)</f>
        <v>6</v>
      </c>
      <c r="D1559" s="176" t="s">
        <v>4343</v>
      </c>
      <c r="E1559" s="16" t="s">
        <v>4528</v>
      </c>
      <c r="F1559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59" s="59">
        <v>91</v>
      </c>
      <c r="H1559" s="59"/>
      <c r="I1559" s="1">
        <f>COUNTA(ProductInfo[[#This Row],[P1]:[P15]])</f>
        <v>2</v>
      </c>
      <c r="J15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59" s="7" t="s">
        <v>12</v>
      </c>
      <c r="M1559" s="7" t="s">
        <v>13</v>
      </c>
      <c r="N1559" s="7"/>
      <c r="O1559" s="7"/>
      <c r="P1559" s="7"/>
      <c r="Q1559" s="7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s="1" customFormat="1">
      <c r="A1560" s="8" t="s">
        <v>4213</v>
      </c>
      <c r="B1560" s="8" t="s">
        <v>4341</v>
      </c>
      <c r="C1560" s="2" t="str">
        <f>RIGHT(ProductInfo[[#This Row],[Drawing No]],1)</f>
        <v>6</v>
      </c>
      <c r="D1560" s="176" t="s">
        <v>4214</v>
      </c>
      <c r="E1560" s="16" t="s">
        <v>4528</v>
      </c>
      <c r="F1560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60" s="59">
        <v>92</v>
      </c>
      <c r="H1560" s="59"/>
      <c r="I1560" s="1">
        <f>COUNTA(ProductInfo[[#This Row],[P1]:[P15]])</f>
        <v>1</v>
      </c>
      <c r="J15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0" s="7" t="s">
        <v>13</v>
      </c>
      <c r="M1560" s="4"/>
      <c r="N1560" s="7"/>
      <c r="O1560" s="7"/>
      <c r="P1560" s="7"/>
      <c r="Q1560" s="7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s="1" customFormat="1">
      <c r="A1561" s="8" t="s">
        <v>1640</v>
      </c>
      <c r="B1561" s="8" t="s">
        <v>4341</v>
      </c>
      <c r="C1561" s="2" t="str">
        <f>RIGHT(ProductInfo[[#This Row],[Drawing No]],1)</f>
        <v>6</v>
      </c>
      <c r="D1561" s="176" t="s">
        <v>1641</v>
      </c>
      <c r="E1561" s="16" t="s">
        <v>4528</v>
      </c>
      <c r="F1561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61" s="59">
        <v>93</v>
      </c>
      <c r="H1561" s="59"/>
      <c r="I1561" s="1">
        <f>COUNTA(ProductInfo[[#This Row],[P1]:[P15]])</f>
        <v>1</v>
      </c>
      <c r="J15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1" s="7" t="s">
        <v>13</v>
      </c>
      <c r="M1561" s="4"/>
      <c r="N1561" s="7"/>
      <c r="O1561" s="7"/>
      <c r="P1561" s="7"/>
      <c r="Q1561" s="7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s="1" customFormat="1">
      <c r="A1562" s="8" t="s">
        <v>1642</v>
      </c>
      <c r="B1562" s="8" t="s">
        <v>4341</v>
      </c>
      <c r="C1562" s="2" t="str">
        <f>RIGHT(ProductInfo[[#This Row],[Drawing No]],1)</f>
        <v>6</v>
      </c>
      <c r="D1562" s="176" t="s">
        <v>1643</v>
      </c>
      <c r="E1562" s="16" t="s">
        <v>4528</v>
      </c>
      <c r="F1562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62" s="59">
        <v>94</v>
      </c>
      <c r="H1562" s="59"/>
      <c r="I1562" s="1">
        <f>COUNTA(ProductInfo[[#This Row],[P1]:[P15]])</f>
        <v>1</v>
      </c>
      <c r="J15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2" s="7" t="s">
        <v>13</v>
      </c>
      <c r="M1562" s="4"/>
      <c r="N1562" s="7"/>
      <c r="O1562" s="7"/>
      <c r="P1562" s="7"/>
      <c r="Q1562" s="7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s="1" customFormat="1">
      <c r="A1563" s="8" t="s">
        <v>1644</v>
      </c>
      <c r="B1563" s="8" t="s">
        <v>1644</v>
      </c>
      <c r="C1563" s="1" t="str">
        <f>RIGHT(ProductInfo[[#This Row],[Drawing No]],1)</f>
        <v>0</v>
      </c>
      <c r="D1563" s="176" t="s">
        <v>1645</v>
      </c>
      <c r="E1563" s="16"/>
      <c r="F15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3" s="31"/>
      <c r="H1563" s="31"/>
      <c r="I1563" s="1">
        <f>COUNTA(ProductInfo[[#This Row],[P1]:[P15]])</f>
        <v>2</v>
      </c>
      <c r="J15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3" s="7" t="s">
        <v>12</v>
      </c>
      <c r="M1563" s="7" t="s">
        <v>13</v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s="1" customFormat="1">
      <c r="A1564" s="8" t="s">
        <v>1646</v>
      </c>
      <c r="B1564" s="8" t="s">
        <v>1646</v>
      </c>
      <c r="C1564" s="1" t="str">
        <f>RIGHT(ProductInfo[[#This Row],[Drawing No]],1)</f>
        <v>0</v>
      </c>
      <c r="D1564" s="176" t="s">
        <v>1647</v>
      </c>
      <c r="E1564" s="16"/>
      <c r="F15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4" s="31"/>
      <c r="H1564" s="31"/>
      <c r="I1564" s="1">
        <f>COUNTA(ProductInfo[[#This Row],[P1]:[P15]])</f>
        <v>2</v>
      </c>
      <c r="J15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4" s="7" t="s">
        <v>12</v>
      </c>
      <c r="M1564" s="7" t="s">
        <v>13</v>
      </c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s="1" customFormat="1">
      <c r="A1565" s="8" t="s">
        <v>1648</v>
      </c>
      <c r="B1565" s="8" t="s">
        <v>4341</v>
      </c>
      <c r="C1565" s="2" t="str">
        <f>RIGHT(ProductInfo[[#This Row],[Drawing No]],1)</f>
        <v>6</v>
      </c>
      <c r="D1565" s="176" t="s">
        <v>1649</v>
      </c>
      <c r="E1565" s="16" t="s">
        <v>4528</v>
      </c>
      <c r="F156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65" s="59">
        <v>98</v>
      </c>
      <c r="H1565" s="59"/>
      <c r="I1565" s="1">
        <f>COUNTA(ProductInfo[[#This Row],[P1]:[P15]])</f>
        <v>1</v>
      </c>
      <c r="J15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5" s="7" t="s">
        <v>13</v>
      </c>
      <c r="M1565" s="4"/>
      <c r="N1565" s="7"/>
      <c r="O1565" s="7"/>
      <c r="P1565" s="7"/>
      <c r="Q1565" s="7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s="1" customFormat="1">
      <c r="A1566" s="8" t="s">
        <v>1650</v>
      </c>
      <c r="B1566" s="8" t="s">
        <v>1650</v>
      </c>
      <c r="C1566" s="1" t="str">
        <f>RIGHT(ProductInfo[[#This Row],[Drawing No]],1)</f>
        <v>0</v>
      </c>
      <c r="D1566" s="176" t="s">
        <v>1651</v>
      </c>
      <c r="E1566" s="16"/>
      <c r="F15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6" s="31"/>
      <c r="H1566" s="31"/>
      <c r="I1566" s="1">
        <f>COUNTA(ProductInfo[[#This Row],[P1]:[P15]])</f>
        <v>2</v>
      </c>
      <c r="J15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6" s="7" t="s">
        <v>12</v>
      </c>
      <c r="M1566" s="7" t="s">
        <v>13</v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s="1" customFormat="1">
      <c r="A1567" s="8" t="s">
        <v>1652</v>
      </c>
      <c r="B1567" s="8" t="s">
        <v>4341</v>
      </c>
      <c r="C1567" s="2" t="str">
        <f>RIGHT(ProductInfo[[#This Row],[Drawing No]],1)</f>
        <v>6</v>
      </c>
      <c r="D1567" s="176" t="s">
        <v>1653</v>
      </c>
      <c r="E1567" s="16" t="s">
        <v>4528</v>
      </c>
      <c r="F1567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67" s="59">
        <v>102</v>
      </c>
      <c r="H1567" s="59"/>
      <c r="I1567" s="1">
        <f>COUNTA(ProductInfo[[#This Row],[P1]:[P15]])</f>
        <v>1</v>
      </c>
      <c r="J15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7" s="7" t="s">
        <v>13</v>
      </c>
      <c r="M1567" s="4"/>
      <c r="N1567" s="7"/>
      <c r="O1567" s="7"/>
      <c r="P1567" s="7"/>
      <c r="Q1567" s="7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s="1" customFormat="1">
      <c r="A1568" s="8" t="s">
        <v>1654</v>
      </c>
      <c r="B1568" s="8" t="s">
        <v>1654</v>
      </c>
      <c r="C1568" s="1" t="str">
        <f>RIGHT(ProductInfo[[#This Row],[Drawing No]],1)</f>
        <v>0</v>
      </c>
      <c r="D1568" s="176" t="s">
        <v>1655</v>
      </c>
      <c r="E1568" s="16"/>
      <c r="F15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8" s="31"/>
      <c r="H1568" s="31"/>
      <c r="I1568" s="1">
        <f>COUNTA(ProductInfo[[#This Row],[P1]:[P15]])</f>
        <v>2</v>
      </c>
      <c r="J15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8" s="7" t="s">
        <v>12</v>
      </c>
      <c r="M1568" s="7" t="s">
        <v>13</v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s="1" customFormat="1">
      <c r="A1569" s="8" t="s">
        <v>1656</v>
      </c>
      <c r="B1569" s="8" t="s">
        <v>1656</v>
      </c>
      <c r="C1569" s="1" t="str">
        <f>RIGHT(ProductInfo[[#This Row],[Drawing No]],1)</f>
        <v>0</v>
      </c>
      <c r="D1569" s="176" t="s">
        <v>1657</v>
      </c>
      <c r="E1569" s="16"/>
      <c r="F15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69" s="31"/>
      <c r="H1569" s="31"/>
      <c r="I1569" s="1">
        <f>COUNTA(ProductInfo[[#This Row],[P1]:[P15]])</f>
        <v>2</v>
      </c>
      <c r="J15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69" s="7" t="s">
        <v>12</v>
      </c>
      <c r="M1569" s="7" t="s">
        <v>13</v>
      </c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s="1" customFormat="1">
      <c r="A1570" s="8" t="s">
        <v>1658</v>
      </c>
      <c r="B1570" s="8" t="s">
        <v>4341</v>
      </c>
      <c r="C1570" s="2" t="str">
        <f>RIGHT(ProductInfo[[#This Row],[Drawing No]],1)</f>
        <v>6</v>
      </c>
      <c r="D1570" s="176" t="s">
        <v>1659</v>
      </c>
      <c r="E1570" s="16" t="s">
        <v>4528</v>
      </c>
      <c r="F1570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70" s="59">
        <v>107</v>
      </c>
      <c r="H1570" s="59"/>
      <c r="I1570" s="1">
        <f>COUNTA(ProductInfo[[#This Row],[P1]:[P15]])</f>
        <v>1</v>
      </c>
      <c r="J15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0" s="7" t="s">
        <v>13</v>
      </c>
      <c r="M1570" s="4"/>
      <c r="N1570" s="7"/>
      <c r="O1570" s="7"/>
      <c r="P1570" s="7"/>
      <c r="Q1570" s="7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s="1" customFormat="1">
      <c r="A1571" s="8" t="s">
        <v>1660</v>
      </c>
      <c r="B1571" s="8" t="s">
        <v>1660</v>
      </c>
      <c r="C1571" s="1" t="str">
        <f>RIGHT(ProductInfo[[#This Row],[Drawing No]],1)</f>
        <v>0</v>
      </c>
      <c r="D1571" s="176" t="s">
        <v>1661</v>
      </c>
      <c r="E1571" s="16"/>
      <c r="F15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1" s="31"/>
      <c r="H1571" s="31"/>
      <c r="I1571" s="1">
        <f>COUNTA(ProductInfo[[#This Row],[P1]:[P15]])</f>
        <v>2</v>
      </c>
      <c r="J15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1" s="7" t="s">
        <v>12</v>
      </c>
      <c r="M1571" s="7" t="s">
        <v>13</v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>
      <c r="A1572" s="8" t="s">
        <v>1662</v>
      </c>
      <c r="B1572" s="8" t="s">
        <v>4341</v>
      </c>
      <c r="C1572" s="2" t="str">
        <f>RIGHT(ProductInfo[[#This Row],[Drawing No]],1)</f>
        <v>6</v>
      </c>
      <c r="D1572" s="176" t="s">
        <v>1663</v>
      </c>
      <c r="E1572" s="16" t="s">
        <v>4528</v>
      </c>
      <c r="F1572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72" s="59">
        <v>112</v>
      </c>
      <c r="H1572" s="59"/>
      <c r="I1572" s="1">
        <f>COUNTA(ProductInfo[[#This Row],[P1]:[P15]])</f>
        <v>1</v>
      </c>
      <c r="J15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2" s="7" t="s">
        <v>13</v>
      </c>
    </row>
    <row r="1573" spans="1:26" s="1" customFormat="1">
      <c r="A1573" s="8" t="s">
        <v>1664</v>
      </c>
      <c r="B1573" s="8" t="s">
        <v>4341</v>
      </c>
      <c r="C1573" s="2" t="str">
        <f>RIGHT(ProductInfo[[#This Row],[Drawing No]],1)</f>
        <v>6</v>
      </c>
      <c r="D1573" s="176" t="s">
        <v>1665</v>
      </c>
      <c r="E1573" s="16" t="s">
        <v>4528</v>
      </c>
      <c r="F1573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73" s="59">
        <v>117</v>
      </c>
      <c r="H1573" s="59"/>
      <c r="I1573" s="1">
        <f>COUNTA(ProductInfo[[#This Row],[P1]:[P15]])</f>
        <v>1</v>
      </c>
      <c r="J15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3" s="7" t="s">
        <v>13</v>
      </c>
      <c r="M1573" s="4"/>
      <c r="N1573" s="7"/>
      <c r="O1573" s="7"/>
      <c r="P1573" s="7"/>
      <c r="Q1573" s="7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s="1" customFormat="1">
      <c r="A1574" s="8" t="s">
        <v>1666</v>
      </c>
      <c r="B1574" s="8" t="s">
        <v>1666</v>
      </c>
      <c r="C1574" s="1" t="str">
        <f>RIGHT(ProductInfo[[#This Row],[Drawing No]],1)</f>
        <v>0</v>
      </c>
      <c r="D1574" s="176" t="s">
        <v>1667</v>
      </c>
      <c r="E1574" s="16"/>
      <c r="F15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4" s="31"/>
      <c r="H1574" s="31"/>
      <c r="I1574" s="1">
        <f>COUNTA(ProductInfo[[#This Row],[P1]:[P15]])</f>
        <v>2</v>
      </c>
      <c r="J15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4" s="7" t="s">
        <v>12</v>
      </c>
      <c r="M1574" s="7" t="s">
        <v>13</v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s="1" customFormat="1">
      <c r="A1575" s="8" t="s">
        <v>1668</v>
      </c>
      <c r="B1575" s="8" t="s">
        <v>4341</v>
      </c>
      <c r="C1575" s="2" t="str">
        <f>RIGHT(ProductInfo[[#This Row],[Drawing No]],1)</f>
        <v>6</v>
      </c>
      <c r="D1575" s="176" t="s">
        <v>1669</v>
      </c>
      <c r="E1575" s="16" t="s">
        <v>4528</v>
      </c>
      <c r="F1575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75" s="59">
        <v>122</v>
      </c>
      <c r="H1575" s="59"/>
      <c r="I1575" s="1">
        <f>COUNTA(ProductInfo[[#This Row],[P1]:[P15]])</f>
        <v>1</v>
      </c>
      <c r="J15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5" s="7" t="s">
        <v>13</v>
      </c>
      <c r="M1575" s="4"/>
      <c r="N1575" s="7"/>
      <c r="O1575" s="7"/>
      <c r="P1575" s="7"/>
      <c r="Q1575" s="7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s="1" customFormat="1">
      <c r="A1576" s="8" t="s">
        <v>1670</v>
      </c>
      <c r="B1576" s="8" t="s">
        <v>1670</v>
      </c>
      <c r="C1576" s="1" t="str">
        <f>RIGHT(ProductInfo[[#This Row],[Drawing No]],1)</f>
        <v>0</v>
      </c>
      <c r="D1576" s="176" t="s">
        <v>1671</v>
      </c>
      <c r="E1576" s="16"/>
      <c r="F15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6" s="31"/>
      <c r="H1576" s="31"/>
      <c r="I1576" s="1">
        <f>COUNTA(ProductInfo[[#This Row],[P1]:[P15]])</f>
        <v>2</v>
      </c>
      <c r="J15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6" s="7" t="s">
        <v>12</v>
      </c>
      <c r="M1576" s="7" t="s">
        <v>13</v>
      </c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s="1" customFormat="1">
      <c r="A1577" s="8" t="s">
        <v>1672</v>
      </c>
      <c r="B1577" s="8" t="s">
        <v>1672</v>
      </c>
      <c r="C1577" s="1" t="str">
        <f>RIGHT(ProductInfo[[#This Row],[Drawing No]],1)</f>
        <v>0</v>
      </c>
      <c r="D1577" s="176" t="s">
        <v>1673</v>
      </c>
      <c r="E1577" s="16"/>
      <c r="F15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7" s="31"/>
      <c r="H1577" s="31"/>
      <c r="I1577" s="1">
        <f>COUNTA(ProductInfo[[#This Row],[P1]:[P15]])</f>
        <v>2</v>
      </c>
      <c r="J15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7" s="7" t="s">
        <v>12</v>
      </c>
      <c r="M1577" s="7" t="s">
        <v>13</v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s="1" customFormat="1">
      <c r="A1578" s="8" t="s">
        <v>1674</v>
      </c>
      <c r="B1578" s="8" t="s">
        <v>4341</v>
      </c>
      <c r="C1578" s="2" t="str">
        <f>RIGHT(ProductInfo[[#This Row],[Drawing No]],1)</f>
        <v>6</v>
      </c>
      <c r="D1578" s="176" t="s">
        <v>1675</v>
      </c>
      <c r="E1578" s="16" t="s">
        <v>4528</v>
      </c>
      <c r="F1578" s="23" t="str">
        <f>IFERROR(INDEX(MaterialCode[รายละเอียด],MATCH(ProductInfo[[#This Row],[Material Code]],MaterialCode[Material Code],0)),"ไม่พบวัตถุดิบ")</f>
        <v>เพลาอลูมิเนียม 4 มม.</v>
      </c>
      <c r="G1578" s="59">
        <v>142</v>
      </c>
      <c r="H1578" s="59"/>
      <c r="I1578" s="1">
        <f>COUNTA(ProductInfo[[#This Row],[P1]:[P15]])</f>
        <v>1</v>
      </c>
      <c r="J15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5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8" s="7" t="s">
        <v>13</v>
      </c>
      <c r="M1578" s="4"/>
      <c r="N1578" s="7"/>
      <c r="O1578" s="7"/>
      <c r="P1578" s="7"/>
      <c r="Q1578" s="7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s="1" customFormat="1">
      <c r="A1579" s="8" t="s">
        <v>1676</v>
      </c>
      <c r="B1579" s="8" t="s">
        <v>1676</v>
      </c>
      <c r="C1579" s="1" t="str">
        <f>RIGHT(ProductInfo[[#This Row],[Drawing No]],1)</f>
        <v>0</v>
      </c>
      <c r="D1579" s="176" t="s">
        <v>1677</v>
      </c>
      <c r="E1579" s="16"/>
      <c r="F15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79" s="31"/>
      <c r="H1579" s="31"/>
      <c r="I1579" s="1">
        <f>COUNTA(ProductInfo[[#This Row],[P1]:[P15]])</f>
        <v>2</v>
      </c>
      <c r="J15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79" s="7" t="s">
        <v>12</v>
      </c>
      <c r="M1579" s="7" t="s">
        <v>13</v>
      </c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s="1" customFormat="1">
      <c r="A1580" s="8" t="s">
        <v>1678</v>
      </c>
      <c r="B1580" s="8" t="s">
        <v>1678</v>
      </c>
      <c r="C1580" s="1" t="str">
        <f>RIGHT(ProductInfo[[#This Row],[Drawing No]],1)</f>
        <v>0</v>
      </c>
      <c r="D1580" s="176" t="s">
        <v>1679</v>
      </c>
      <c r="E1580" s="16"/>
      <c r="F15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0" s="31"/>
      <c r="H1580" s="31"/>
      <c r="I1580" s="1">
        <f>COUNTA(ProductInfo[[#This Row],[P1]:[P15]])</f>
        <v>2</v>
      </c>
      <c r="J15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0" s="7" t="s">
        <v>12</v>
      </c>
      <c r="M1580" s="7" t="s">
        <v>13</v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s="1" customFormat="1">
      <c r="A1581" s="8" t="s">
        <v>1680</v>
      </c>
      <c r="B1581" s="8" t="s">
        <v>1680</v>
      </c>
      <c r="C1581" s="1" t="str">
        <f>RIGHT(ProductInfo[[#This Row],[Drawing No]],1)</f>
        <v>0</v>
      </c>
      <c r="D1581" s="176" t="s">
        <v>2655</v>
      </c>
      <c r="E1581" s="16"/>
      <c r="F15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1" s="31"/>
      <c r="H1581" s="31"/>
      <c r="I1581" s="1">
        <f>COUNTA(ProductInfo[[#This Row],[P1]:[P15]])</f>
        <v>0</v>
      </c>
      <c r="J15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s="1" customFormat="1">
      <c r="A1582" s="8" t="s">
        <v>1681</v>
      </c>
      <c r="B1582" s="8" t="s">
        <v>1681</v>
      </c>
      <c r="C1582" s="1" t="str">
        <f>RIGHT(ProductInfo[[#This Row],[Drawing No]],1)</f>
        <v>0</v>
      </c>
      <c r="D1582" s="176" t="s">
        <v>1682</v>
      </c>
      <c r="E1582" s="16" t="s">
        <v>3622</v>
      </c>
      <c r="F1582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1582" s="31"/>
      <c r="H1582" s="59">
        <v>50</v>
      </c>
      <c r="I1582" s="1">
        <f>COUNTA(ProductInfo[[#This Row],[P1]:[P15]])</f>
        <v>2</v>
      </c>
      <c r="J15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5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2" s="7" t="s">
        <v>12</v>
      </c>
      <c r="M1582" s="7" t="s">
        <v>13</v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s="1" customFormat="1">
      <c r="A1583" s="8" t="s">
        <v>1683</v>
      </c>
      <c r="B1583" s="8" t="s">
        <v>1683</v>
      </c>
      <c r="C1583" s="1" t="str">
        <f>RIGHT(ProductInfo[[#This Row],[Drawing No]],1)</f>
        <v>0</v>
      </c>
      <c r="D1583" s="176" t="s">
        <v>1684</v>
      </c>
      <c r="E1583" s="16"/>
      <c r="F15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3" s="31"/>
      <c r="H1583" s="31"/>
      <c r="I1583" s="1">
        <f>COUNTA(ProductInfo[[#This Row],[P1]:[P15]])</f>
        <v>0</v>
      </c>
      <c r="J15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s="1" customFormat="1">
      <c r="A1584" s="8" t="s">
        <v>1685</v>
      </c>
      <c r="B1584" s="8" t="s">
        <v>1685</v>
      </c>
      <c r="C1584" s="1" t="str">
        <f>RIGHT(ProductInfo[[#This Row],[Drawing No]],1)</f>
        <v>0</v>
      </c>
      <c r="D1584" s="176" t="s">
        <v>1686</v>
      </c>
      <c r="E1584" s="16"/>
      <c r="F15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4" s="31"/>
      <c r="H1584" s="31"/>
      <c r="I1584" s="1">
        <f>COUNTA(ProductInfo[[#This Row],[P1]:[P15]])</f>
        <v>0</v>
      </c>
      <c r="J15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s="1" customFormat="1">
      <c r="A1585" s="8" t="s">
        <v>1687</v>
      </c>
      <c r="B1585" s="8" t="s">
        <v>1687</v>
      </c>
      <c r="C1585" s="1" t="str">
        <f>RIGHT(ProductInfo[[#This Row],[Drawing No]],1)</f>
        <v>1</v>
      </c>
      <c r="D1585" s="176" t="s">
        <v>1686</v>
      </c>
      <c r="E1585" s="16"/>
      <c r="F15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5" s="31"/>
      <c r="H1585" s="31"/>
      <c r="I1585" s="1">
        <f>COUNTA(ProductInfo[[#This Row],[P1]:[P15]])</f>
        <v>0</v>
      </c>
      <c r="J15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s="1" customFormat="1">
      <c r="A1586" s="8" t="s">
        <v>1688</v>
      </c>
      <c r="B1586" s="8" t="s">
        <v>1688</v>
      </c>
      <c r="C1586" s="1" t="str">
        <f>RIGHT(ProductInfo[[#This Row],[Drawing No]],1)</f>
        <v>2</v>
      </c>
      <c r="D1586" s="176" t="s">
        <v>1686</v>
      </c>
      <c r="E1586" s="16"/>
      <c r="F15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6" s="31"/>
      <c r="H1586" s="31"/>
      <c r="I1586" s="1">
        <f>COUNTA(ProductInfo[[#This Row],[P1]:[P15]])</f>
        <v>0</v>
      </c>
      <c r="J15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s="1" customFormat="1">
      <c r="A1587" s="8" t="s">
        <v>1689</v>
      </c>
      <c r="B1587" s="8" t="s">
        <v>1689</v>
      </c>
      <c r="C1587" s="1" t="str">
        <f>RIGHT(ProductInfo[[#This Row],[Drawing No]],1)</f>
        <v>0</v>
      </c>
      <c r="D1587" s="176" t="s">
        <v>2656</v>
      </c>
      <c r="E1587" s="16"/>
      <c r="F15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7" s="31"/>
      <c r="H1587" s="31"/>
      <c r="I1587" s="1">
        <f>COUNTA(ProductInfo[[#This Row],[P1]:[P15]])</f>
        <v>0</v>
      </c>
      <c r="J15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s="1" customFormat="1">
      <c r="A1588" s="8" t="s">
        <v>1690</v>
      </c>
      <c r="B1588" s="8" t="s">
        <v>1690</v>
      </c>
      <c r="C1588" s="1" t="str">
        <f>RIGHT(ProductInfo[[#This Row],[Drawing No]],1)</f>
        <v>1</v>
      </c>
      <c r="D1588" s="176" t="s">
        <v>2657</v>
      </c>
      <c r="E1588" s="16"/>
      <c r="F15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8" s="31"/>
      <c r="H1588" s="31"/>
      <c r="I1588" s="1">
        <f>COUNTA(ProductInfo[[#This Row],[P1]:[P15]])</f>
        <v>0</v>
      </c>
      <c r="J15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s="1" customFormat="1">
      <c r="A1589" s="8" t="s">
        <v>1691</v>
      </c>
      <c r="B1589" s="8" t="s">
        <v>1691</v>
      </c>
      <c r="C1589" s="1" t="str">
        <f>RIGHT(ProductInfo[[#This Row],[Drawing No]],1)</f>
        <v>0</v>
      </c>
      <c r="D1589" s="176" t="s">
        <v>2658</v>
      </c>
      <c r="E1589" s="16"/>
      <c r="F15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89" s="31"/>
      <c r="H1589" s="31"/>
      <c r="I1589" s="1">
        <f>COUNTA(ProductInfo[[#This Row],[P1]:[P15]])</f>
        <v>0</v>
      </c>
      <c r="J15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s="1" customFormat="1">
      <c r="A1590" s="8" t="s">
        <v>1692</v>
      </c>
      <c r="B1590" s="8" t="s">
        <v>1692</v>
      </c>
      <c r="C1590" s="1" t="str">
        <f>RIGHT(ProductInfo[[#This Row],[Drawing No]],1)</f>
        <v>0</v>
      </c>
      <c r="D1590" s="176" t="s">
        <v>3248</v>
      </c>
      <c r="E1590" s="16"/>
      <c r="F15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0" s="31"/>
      <c r="H1590" s="31"/>
      <c r="I1590" s="1">
        <f>COUNTA(ProductInfo[[#This Row],[P1]:[P15]])</f>
        <v>0</v>
      </c>
      <c r="J15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s="1" customFormat="1">
      <c r="A1591" s="8" t="s">
        <v>1693</v>
      </c>
      <c r="B1591" s="8" t="s">
        <v>1693</v>
      </c>
      <c r="C1591" s="1" t="str">
        <f>RIGHT(ProductInfo[[#This Row],[Drawing No]],1)</f>
        <v>1</v>
      </c>
      <c r="D1591" s="176" t="s">
        <v>3248</v>
      </c>
      <c r="E1591" s="16"/>
      <c r="F15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1" s="31"/>
      <c r="H1591" s="31"/>
      <c r="I1591" s="1">
        <f>COUNTA(ProductInfo[[#This Row],[P1]:[P15]])</f>
        <v>0</v>
      </c>
      <c r="J15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s="1" customFormat="1">
      <c r="A1592" s="8" t="s">
        <v>1694</v>
      </c>
      <c r="B1592" s="8" t="s">
        <v>1694</v>
      </c>
      <c r="C1592" s="1" t="str">
        <f>RIGHT(ProductInfo[[#This Row],[Drawing No]],1)</f>
        <v>0</v>
      </c>
      <c r="D1592" s="176" t="s">
        <v>2659</v>
      </c>
      <c r="E1592" s="16"/>
      <c r="F15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2" s="31"/>
      <c r="H1592" s="31"/>
      <c r="I1592" s="1">
        <f>COUNTA(ProductInfo[[#This Row],[P1]:[P15]])</f>
        <v>0</v>
      </c>
      <c r="J15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s="1" customFormat="1">
      <c r="A1593" s="8" t="s">
        <v>1695</v>
      </c>
      <c r="B1593" s="8" t="s">
        <v>1695</v>
      </c>
      <c r="C1593" s="1" t="str">
        <f>RIGHT(ProductInfo[[#This Row],[Drawing No]],1)</f>
        <v>1</v>
      </c>
      <c r="D1593" s="176" t="s">
        <v>2660</v>
      </c>
      <c r="E1593" s="16"/>
      <c r="F15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3" s="31"/>
      <c r="H1593" s="31"/>
      <c r="I1593" s="1">
        <f>COUNTA(ProductInfo[[#This Row],[P1]:[P15]])</f>
        <v>0</v>
      </c>
      <c r="J15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s="1" customFormat="1">
      <c r="A1594" s="8" t="s">
        <v>1696</v>
      </c>
      <c r="B1594" s="8" t="s">
        <v>1696</v>
      </c>
      <c r="C1594" s="1" t="str">
        <f>RIGHT(ProductInfo[[#This Row],[Drawing No]],1)</f>
        <v>3</v>
      </c>
      <c r="D1594" s="176" t="s">
        <v>2944</v>
      </c>
      <c r="E1594" s="16"/>
      <c r="F15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4" s="31"/>
      <c r="H1594" s="31"/>
      <c r="I1594" s="1">
        <f>COUNTA(ProductInfo[[#This Row],[P1]:[P15]])</f>
        <v>0</v>
      </c>
      <c r="J15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s="1" customFormat="1">
      <c r="A1595" s="8" t="s">
        <v>1697</v>
      </c>
      <c r="B1595" s="8" t="s">
        <v>1697</v>
      </c>
      <c r="C1595" s="1" t="str">
        <f>RIGHT(ProductInfo[[#This Row],[Drawing No]],1)</f>
        <v>5</v>
      </c>
      <c r="D1595" s="176" t="s">
        <v>2944</v>
      </c>
      <c r="E1595" s="16"/>
      <c r="F15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5" s="31"/>
      <c r="H1595" s="31"/>
      <c r="I1595" s="1">
        <f>COUNTA(ProductInfo[[#This Row],[P1]:[P15]])</f>
        <v>0</v>
      </c>
      <c r="J15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s="1" customFormat="1">
      <c r="A1596" s="8" t="s">
        <v>1698</v>
      </c>
      <c r="B1596" s="8" t="s">
        <v>1698</v>
      </c>
      <c r="C1596" s="1" t="str">
        <f>RIGHT(ProductInfo[[#This Row],[Drawing No]],1)</f>
        <v>1</v>
      </c>
      <c r="D1596" s="176" t="s">
        <v>2661</v>
      </c>
      <c r="E1596" s="16"/>
      <c r="F15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6" s="31"/>
      <c r="H1596" s="31"/>
      <c r="I1596" s="1">
        <f>COUNTA(ProductInfo[[#This Row],[P1]:[P15]])</f>
        <v>0</v>
      </c>
      <c r="J15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s="1" customFormat="1">
      <c r="A1597" s="8" t="s">
        <v>1699</v>
      </c>
      <c r="B1597" s="8" t="s">
        <v>1699</v>
      </c>
      <c r="C1597" s="1" t="str">
        <f>RIGHT(ProductInfo[[#This Row],[Drawing No]],1)</f>
        <v>2</v>
      </c>
      <c r="D1597" s="176" t="s">
        <v>2661</v>
      </c>
      <c r="E1597" s="16"/>
      <c r="F15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7" s="31"/>
      <c r="H1597" s="31"/>
      <c r="I1597" s="1">
        <f>COUNTA(ProductInfo[[#This Row],[P1]:[P15]])</f>
        <v>0</v>
      </c>
      <c r="J15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s="1" customFormat="1">
      <c r="A1598" s="8" t="s">
        <v>1700</v>
      </c>
      <c r="B1598" s="8" t="s">
        <v>1700</v>
      </c>
      <c r="C1598" s="1" t="str">
        <f>RIGHT(ProductInfo[[#This Row],[Drawing No]],1)</f>
        <v>3</v>
      </c>
      <c r="D1598" s="176" t="s">
        <v>2661</v>
      </c>
      <c r="E1598" s="16"/>
      <c r="F15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8" s="31"/>
      <c r="H1598" s="31"/>
      <c r="I1598" s="1">
        <f>COUNTA(ProductInfo[[#This Row],[P1]:[P15]])</f>
        <v>0</v>
      </c>
      <c r="J15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s="1" customFormat="1">
      <c r="A1599" s="8" t="s">
        <v>1701</v>
      </c>
      <c r="B1599" s="8" t="s">
        <v>1701</v>
      </c>
      <c r="C1599" s="1" t="str">
        <f>RIGHT(ProductInfo[[#This Row],[Drawing No]],1)</f>
        <v>4</v>
      </c>
      <c r="D1599" s="179" t="s">
        <v>3071</v>
      </c>
      <c r="E1599" s="18"/>
      <c r="F159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599" s="32"/>
      <c r="H1599" s="32"/>
      <c r="I1599" s="1">
        <f>COUNTA(ProductInfo[[#This Row],[P1]:[P15]])</f>
        <v>0</v>
      </c>
      <c r="J15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5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s="1" customFormat="1">
      <c r="A1600" s="8" t="s">
        <v>1702</v>
      </c>
      <c r="B1600" s="8" t="s">
        <v>1702</v>
      </c>
      <c r="C1600" s="1" t="str">
        <f>RIGHT(ProductInfo[[#This Row],[Drawing No]],1)</f>
        <v>0</v>
      </c>
      <c r="D1600" s="176" t="s">
        <v>2662</v>
      </c>
      <c r="E1600" s="16"/>
      <c r="F16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0" s="31"/>
      <c r="H1600" s="31"/>
      <c r="I1600" s="1">
        <f>COUNTA(ProductInfo[[#This Row],[P1]:[P15]])</f>
        <v>0</v>
      </c>
      <c r="J16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s="1" customFormat="1">
      <c r="A1601" s="8" t="s">
        <v>1703</v>
      </c>
      <c r="B1601" s="8" t="s">
        <v>1703</v>
      </c>
      <c r="C1601" s="1" t="str">
        <f>RIGHT(ProductInfo[[#This Row],[Drawing No]],1)</f>
        <v>0</v>
      </c>
      <c r="D1601" s="176" t="s">
        <v>2663</v>
      </c>
      <c r="E1601" s="16"/>
      <c r="F16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1" s="31"/>
      <c r="H1601" s="31"/>
      <c r="I1601" s="1">
        <f>COUNTA(ProductInfo[[#This Row],[P1]:[P15]])</f>
        <v>0</v>
      </c>
      <c r="J16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s="1" customFormat="1">
      <c r="A1602" s="8" t="s">
        <v>1704</v>
      </c>
      <c r="B1602" s="8" t="s">
        <v>1704</v>
      </c>
      <c r="C1602" s="1" t="str">
        <f>RIGHT(ProductInfo[[#This Row],[Drawing No]],1)</f>
        <v>1</v>
      </c>
      <c r="D1602" s="176" t="s">
        <v>2664</v>
      </c>
      <c r="E1602" s="16"/>
      <c r="F16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2" s="31"/>
      <c r="H1602" s="31"/>
      <c r="I1602" s="1">
        <f>COUNTA(ProductInfo[[#This Row],[P1]:[P15]])</f>
        <v>0</v>
      </c>
      <c r="J16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s="1" customFormat="1">
      <c r="A1603" s="8" t="s">
        <v>1705</v>
      </c>
      <c r="B1603" s="8" t="s">
        <v>1705</v>
      </c>
      <c r="C1603" s="1" t="str">
        <f>RIGHT(ProductInfo[[#This Row],[Drawing No]],1)</f>
        <v>0</v>
      </c>
      <c r="D1603" s="176" t="s">
        <v>2665</v>
      </c>
      <c r="E1603" s="16"/>
      <c r="F16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3" s="31"/>
      <c r="H1603" s="31"/>
      <c r="I1603" s="1">
        <f>COUNTA(ProductInfo[[#This Row],[P1]:[P15]])</f>
        <v>0</v>
      </c>
      <c r="J16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s="1" customFormat="1">
      <c r="A1604" s="8" t="s">
        <v>1706</v>
      </c>
      <c r="B1604" s="8" t="s">
        <v>1706</v>
      </c>
      <c r="C1604" s="1" t="str">
        <f>RIGHT(ProductInfo[[#This Row],[Drawing No]],1)</f>
        <v>0</v>
      </c>
      <c r="D1604" s="176" t="s">
        <v>2666</v>
      </c>
      <c r="E1604" s="16"/>
      <c r="F16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4" s="31"/>
      <c r="H1604" s="31"/>
      <c r="I1604" s="1">
        <f>COUNTA(ProductInfo[[#This Row],[P1]:[P15]])</f>
        <v>0</v>
      </c>
      <c r="J16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s="1" customFormat="1">
      <c r="A1605" s="8" t="s">
        <v>1707</v>
      </c>
      <c r="B1605" s="8" t="s">
        <v>1707</v>
      </c>
      <c r="C1605" s="1" t="str">
        <f>RIGHT(ProductInfo[[#This Row],[Drawing No]],1)</f>
        <v>1</v>
      </c>
      <c r="D1605" s="176" t="s">
        <v>2667</v>
      </c>
      <c r="E1605" s="16"/>
      <c r="F16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5" s="31"/>
      <c r="H1605" s="31"/>
      <c r="I1605" s="1">
        <f>COUNTA(ProductInfo[[#This Row],[P1]:[P15]])</f>
        <v>0</v>
      </c>
      <c r="J16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s="1" customFormat="1">
      <c r="A1606" s="8" t="s">
        <v>1708</v>
      </c>
      <c r="B1606" s="8" t="s">
        <v>1708</v>
      </c>
      <c r="C1606" s="1" t="str">
        <f>RIGHT(ProductInfo[[#This Row],[Drawing No]],1)</f>
        <v>3</v>
      </c>
      <c r="D1606" s="176" t="s">
        <v>2667</v>
      </c>
      <c r="E1606" s="16"/>
      <c r="F16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6" s="31"/>
      <c r="H1606" s="31"/>
      <c r="I1606" s="1">
        <f>COUNTA(ProductInfo[[#This Row],[P1]:[P15]])</f>
        <v>0</v>
      </c>
      <c r="J16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s="1" customFormat="1">
      <c r="A1607" s="8" t="s">
        <v>1709</v>
      </c>
      <c r="B1607" s="8" t="s">
        <v>1709</v>
      </c>
      <c r="C1607" s="1" t="str">
        <f>RIGHT(ProductInfo[[#This Row],[Drawing No]],1)</f>
        <v>0</v>
      </c>
      <c r="D1607" s="176" t="s">
        <v>2668</v>
      </c>
      <c r="E1607" s="16"/>
      <c r="F16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7" s="31"/>
      <c r="H1607" s="31"/>
      <c r="I1607" s="1">
        <f>COUNTA(ProductInfo[[#This Row],[P1]:[P15]])</f>
        <v>0</v>
      </c>
      <c r="J16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s="1" customFormat="1">
      <c r="A1608" s="8" t="s">
        <v>1710</v>
      </c>
      <c r="B1608" s="8" t="s">
        <v>1710</v>
      </c>
      <c r="C1608" s="1" t="str">
        <f>RIGHT(ProductInfo[[#This Row],[Drawing No]],1)</f>
        <v>2</v>
      </c>
      <c r="D1608" s="179" t="s">
        <v>1711</v>
      </c>
      <c r="E1608" s="18"/>
      <c r="F160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8" s="32"/>
      <c r="H1608" s="32"/>
      <c r="I1608" s="1">
        <f>COUNTA(ProductInfo[[#This Row],[P1]:[P15]])</f>
        <v>0</v>
      </c>
      <c r="J16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s="1" customFormat="1">
      <c r="A1609" s="8" t="s">
        <v>1712</v>
      </c>
      <c r="B1609" s="8" t="s">
        <v>1712</v>
      </c>
      <c r="C1609" s="1" t="str">
        <f>RIGHT(ProductInfo[[#This Row],[Drawing No]],1)</f>
        <v>0</v>
      </c>
      <c r="D1609" s="176" t="s">
        <v>2945</v>
      </c>
      <c r="E1609" s="16"/>
      <c r="F16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09" s="31"/>
      <c r="H1609" s="31"/>
      <c r="I1609" s="1">
        <f>COUNTA(ProductInfo[[#This Row],[P1]:[P15]])</f>
        <v>0</v>
      </c>
      <c r="J16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s="1" customFormat="1">
      <c r="A1610" s="8" t="s">
        <v>1713</v>
      </c>
      <c r="B1610" s="8" t="s">
        <v>1713</v>
      </c>
      <c r="C1610" s="1" t="str">
        <f>RIGHT(ProductInfo[[#This Row],[Drawing No]],1)</f>
        <v>1</v>
      </c>
      <c r="D1610" s="176" t="s">
        <v>2945</v>
      </c>
      <c r="E1610" s="16"/>
      <c r="F16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0" s="31"/>
      <c r="H1610" s="31"/>
      <c r="I1610" s="1">
        <f>COUNTA(ProductInfo[[#This Row],[P1]:[P15]])</f>
        <v>0</v>
      </c>
      <c r="J16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s="1" customFormat="1">
      <c r="A1611" s="8" t="s">
        <v>1714</v>
      </c>
      <c r="B1611" s="8" t="s">
        <v>1714</v>
      </c>
      <c r="C1611" s="1" t="str">
        <f>RIGHT(ProductInfo[[#This Row],[Drawing No]],1)</f>
        <v>2</v>
      </c>
      <c r="D1611" s="176" t="s">
        <v>2946</v>
      </c>
      <c r="E1611" s="16"/>
      <c r="F16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1" s="31"/>
      <c r="H1611" s="31"/>
      <c r="I1611" s="1">
        <f>COUNTA(ProductInfo[[#This Row],[P1]:[P15]])</f>
        <v>0</v>
      </c>
      <c r="J16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>
      <c r="A1612" s="8" t="s">
        <v>1715</v>
      </c>
      <c r="B1612" s="8" t="s">
        <v>1715</v>
      </c>
      <c r="C1612" s="1" t="str">
        <f>RIGHT(ProductInfo[[#This Row],[Drawing No]],1)</f>
        <v>0</v>
      </c>
      <c r="D1612" s="176" t="s">
        <v>2669</v>
      </c>
      <c r="E1612" s="16"/>
      <c r="F16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2" s="31"/>
      <c r="H1612" s="31"/>
      <c r="I1612" s="1">
        <f>COUNTA(ProductInfo[[#This Row],[P1]:[P15]])</f>
        <v>0</v>
      </c>
      <c r="J16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2" s="7"/>
      <c r="M1612" s="7"/>
      <c r="N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>
      <c r="A1613" s="8" t="s">
        <v>1716</v>
      </c>
      <c r="B1613" s="8" t="s">
        <v>1716</v>
      </c>
      <c r="C1613" s="1" t="str">
        <f>RIGHT(ProductInfo[[#This Row],[Drawing No]],1)</f>
        <v>1</v>
      </c>
      <c r="D1613" s="176" t="s">
        <v>2669</v>
      </c>
      <c r="E1613" s="16"/>
      <c r="F16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3" s="31"/>
      <c r="H1613" s="31"/>
      <c r="I1613" s="1">
        <f>COUNTA(ProductInfo[[#This Row],[P1]:[P15]])</f>
        <v>0</v>
      </c>
      <c r="J16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3" s="7"/>
      <c r="M1613" s="7"/>
      <c r="N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s="1" customFormat="1">
      <c r="A1614" s="8" t="s">
        <v>1717</v>
      </c>
      <c r="B1614" s="8" t="s">
        <v>1717</v>
      </c>
      <c r="C1614" s="1" t="str">
        <f>RIGHT(ProductInfo[[#This Row],[Drawing No]],1)</f>
        <v>2</v>
      </c>
      <c r="D1614" s="179" t="s">
        <v>3072</v>
      </c>
      <c r="E1614" s="18"/>
      <c r="F161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4" s="32"/>
      <c r="H1614" s="32"/>
      <c r="I1614" s="1">
        <f>COUNTA(ProductInfo[[#This Row],[P1]:[P15]])</f>
        <v>0</v>
      </c>
      <c r="J16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s="1" customFormat="1">
      <c r="A1615" s="8" t="s">
        <v>1718</v>
      </c>
      <c r="B1615" s="8" t="s">
        <v>1718</v>
      </c>
      <c r="C1615" s="1" t="str">
        <f>RIGHT(ProductInfo[[#This Row],[Drawing No]],1)</f>
        <v>0</v>
      </c>
      <c r="D1615" s="176" t="s">
        <v>2670</v>
      </c>
      <c r="E1615" s="16"/>
      <c r="F16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5" s="31"/>
      <c r="H1615" s="31"/>
      <c r="I1615" s="1">
        <f>COUNTA(ProductInfo[[#This Row],[P1]:[P15]])</f>
        <v>0</v>
      </c>
      <c r="J16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s="1" customFormat="1">
      <c r="A1616" s="8" t="s">
        <v>1719</v>
      </c>
      <c r="B1616" s="8" t="s">
        <v>1719</v>
      </c>
      <c r="C1616" s="1" t="str">
        <f>RIGHT(ProductInfo[[#This Row],[Drawing No]],1)</f>
        <v>1</v>
      </c>
      <c r="D1616" s="176" t="s">
        <v>2671</v>
      </c>
      <c r="E1616" s="16"/>
      <c r="F16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6" s="31"/>
      <c r="H1616" s="31"/>
      <c r="I1616" s="1">
        <f>COUNTA(ProductInfo[[#This Row],[P1]:[P15]])</f>
        <v>0</v>
      </c>
      <c r="J16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s="1" customFormat="1">
      <c r="A1617" s="8" t="s">
        <v>1720</v>
      </c>
      <c r="B1617" s="8" t="s">
        <v>1720</v>
      </c>
      <c r="C1617" s="1" t="str">
        <f>RIGHT(ProductInfo[[#This Row],[Drawing No]],1)</f>
        <v>2</v>
      </c>
      <c r="D1617" s="176" t="s">
        <v>2672</v>
      </c>
      <c r="E1617" s="16"/>
      <c r="F16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7" s="31"/>
      <c r="H1617" s="31"/>
      <c r="I1617" s="1">
        <f>COUNTA(ProductInfo[[#This Row],[P1]:[P15]])</f>
        <v>0</v>
      </c>
      <c r="J16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s="1" customFormat="1">
      <c r="A1618" s="8" t="s">
        <v>1721</v>
      </c>
      <c r="B1618" s="8" t="s">
        <v>1721</v>
      </c>
      <c r="C1618" s="1" t="str">
        <f>RIGHT(ProductInfo[[#This Row],[Drawing No]],1)</f>
        <v>3</v>
      </c>
      <c r="D1618" s="176" t="s">
        <v>2672</v>
      </c>
      <c r="E1618" s="16"/>
      <c r="F16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8" s="31"/>
      <c r="H1618" s="31"/>
      <c r="I1618" s="1">
        <f>COUNTA(ProductInfo[[#This Row],[P1]:[P15]])</f>
        <v>0</v>
      </c>
      <c r="J16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s="1" customFormat="1">
      <c r="A1619" s="8" t="s">
        <v>1722</v>
      </c>
      <c r="B1619" s="8" t="s">
        <v>1722</v>
      </c>
      <c r="C1619" s="1" t="str">
        <f>RIGHT(ProductInfo[[#This Row],[Drawing No]],1)</f>
        <v>3</v>
      </c>
      <c r="D1619" s="176" t="s">
        <v>2947</v>
      </c>
      <c r="E1619" s="16"/>
      <c r="F16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19" s="31"/>
      <c r="H1619" s="31"/>
      <c r="I1619" s="1">
        <f>COUNTA(ProductInfo[[#This Row],[P1]:[P15]])</f>
        <v>0</v>
      </c>
      <c r="J16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s="1" customFormat="1">
      <c r="A1620" s="8" t="s">
        <v>1723</v>
      </c>
      <c r="B1620" s="8" t="s">
        <v>1723</v>
      </c>
      <c r="C1620" s="1" t="str">
        <f>RIGHT(ProductInfo[[#This Row],[Drawing No]],1)</f>
        <v>4</v>
      </c>
      <c r="D1620" s="176" t="s">
        <v>1724</v>
      </c>
      <c r="E1620" s="16"/>
      <c r="F16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0" s="31"/>
      <c r="H1620" s="31"/>
      <c r="I1620" s="1">
        <f>COUNTA(ProductInfo[[#This Row],[P1]:[P15]])</f>
        <v>0</v>
      </c>
      <c r="J16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s="1" customFormat="1">
      <c r="A1621" s="8" t="s">
        <v>1725</v>
      </c>
      <c r="B1621" s="8" t="s">
        <v>1725</v>
      </c>
      <c r="C1621" s="1" t="str">
        <f>RIGHT(ProductInfo[[#This Row],[Drawing No]],1)</f>
        <v>1</v>
      </c>
      <c r="D1621" s="176" t="s">
        <v>3194</v>
      </c>
      <c r="E1621" s="16"/>
      <c r="F16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1" s="31"/>
      <c r="H1621" s="31"/>
      <c r="I1621" s="1">
        <f>COUNTA(ProductInfo[[#This Row],[P1]:[P15]])</f>
        <v>0</v>
      </c>
      <c r="J16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s="1" customFormat="1">
      <c r="A1622" s="8" t="s">
        <v>1726</v>
      </c>
      <c r="B1622" s="8" t="s">
        <v>1726</v>
      </c>
      <c r="C1622" s="1" t="str">
        <f>RIGHT(ProductInfo[[#This Row],[Drawing No]],1)</f>
        <v>2</v>
      </c>
      <c r="D1622" s="176" t="s">
        <v>3194</v>
      </c>
      <c r="E1622" s="16"/>
      <c r="F16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2" s="31"/>
      <c r="H1622" s="31"/>
      <c r="I1622" s="1">
        <f>COUNTA(ProductInfo[[#This Row],[P1]:[P15]])</f>
        <v>0</v>
      </c>
      <c r="J16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s="1" customFormat="1">
      <c r="A1623" s="8" t="s">
        <v>1727</v>
      </c>
      <c r="B1623" s="8" t="s">
        <v>1727</v>
      </c>
      <c r="C1623" s="1" t="str">
        <f>RIGHT(ProductInfo[[#This Row],[Drawing No]],1)</f>
        <v>0</v>
      </c>
      <c r="D1623" s="176" t="s">
        <v>1728</v>
      </c>
      <c r="E1623" s="16"/>
      <c r="F16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3" s="31"/>
      <c r="H1623" s="31"/>
      <c r="I1623" s="1">
        <f>COUNTA(ProductInfo[[#This Row],[P1]:[P15]])</f>
        <v>0</v>
      </c>
      <c r="J16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s="1" customFormat="1">
      <c r="A1624" s="8" t="s">
        <v>1729</v>
      </c>
      <c r="B1624" s="8" t="s">
        <v>1729</v>
      </c>
      <c r="C1624" s="1" t="str">
        <f>RIGHT(ProductInfo[[#This Row],[Drawing No]],1)</f>
        <v>3</v>
      </c>
      <c r="D1624" s="176" t="s">
        <v>2673</v>
      </c>
      <c r="E1624" s="16"/>
      <c r="F16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4" s="31"/>
      <c r="H1624" s="31"/>
      <c r="I1624" s="1">
        <f>COUNTA(ProductInfo[[#This Row],[P1]:[P15]])</f>
        <v>0</v>
      </c>
      <c r="J16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s="1" customFormat="1">
      <c r="A1625" s="8" t="s">
        <v>1730</v>
      </c>
      <c r="B1625" s="8" t="s">
        <v>1730</v>
      </c>
      <c r="C1625" s="1" t="str">
        <f>RIGHT(ProductInfo[[#This Row],[Drawing No]],1)</f>
        <v>1</v>
      </c>
      <c r="D1625" s="176" t="s">
        <v>2948</v>
      </c>
      <c r="E1625" s="16"/>
      <c r="F16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5" s="31"/>
      <c r="H1625" s="31"/>
      <c r="I1625" s="1">
        <f>COUNTA(ProductInfo[[#This Row],[P1]:[P15]])</f>
        <v>0</v>
      </c>
      <c r="J16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s="1" customFormat="1">
      <c r="A1626" s="8" t="s">
        <v>1731</v>
      </c>
      <c r="B1626" s="8" t="s">
        <v>1731</v>
      </c>
      <c r="C1626" s="1" t="str">
        <f>RIGHT(ProductInfo[[#This Row],[Drawing No]],1)</f>
        <v>0</v>
      </c>
      <c r="D1626" s="176" t="s">
        <v>2674</v>
      </c>
      <c r="E1626" s="16"/>
      <c r="F16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6" s="31"/>
      <c r="H1626" s="31"/>
      <c r="I1626" s="1">
        <f>COUNTA(ProductInfo[[#This Row],[P1]:[P15]])</f>
        <v>0</v>
      </c>
      <c r="J16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s="1" customFormat="1">
      <c r="A1627" s="8" t="s">
        <v>1732</v>
      </c>
      <c r="B1627" s="8" t="s">
        <v>1732</v>
      </c>
      <c r="C1627" s="1" t="str">
        <f>RIGHT(ProductInfo[[#This Row],[Drawing No]],1)</f>
        <v>2</v>
      </c>
      <c r="D1627" s="176" t="s">
        <v>5979</v>
      </c>
      <c r="E1627" s="16"/>
      <c r="F16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7" s="31"/>
      <c r="H1627" s="31"/>
      <c r="I1627" s="1">
        <f>COUNTA(ProductInfo[[#This Row],[P1]:[P15]])</f>
        <v>0</v>
      </c>
      <c r="J16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s="1" customFormat="1">
      <c r="A1628" s="8" t="s">
        <v>1733</v>
      </c>
      <c r="B1628" s="8" t="s">
        <v>1733</v>
      </c>
      <c r="C1628" s="1" t="str">
        <f>RIGHT(ProductInfo[[#This Row],[Drawing No]],1)</f>
        <v>2</v>
      </c>
      <c r="D1628" s="176" t="s">
        <v>2675</v>
      </c>
      <c r="E1628" s="16"/>
      <c r="F16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28" s="31"/>
      <c r="H1628" s="31"/>
      <c r="I1628" s="1">
        <f>COUNTA(ProductInfo[[#This Row],[P1]:[P15]])</f>
        <v>0</v>
      </c>
      <c r="J16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s="1" customFormat="1">
      <c r="A1629" s="8" t="s">
        <v>1734</v>
      </c>
      <c r="B1629" s="8" t="s">
        <v>3342</v>
      </c>
      <c r="C1629" s="1" t="str">
        <f>RIGHT(ProductInfo[[#This Row],[Drawing No]],1)</f>
        <v>0</v>
      </c>
      <c r="D1629" s="176" t="s">
        <v>2676</v>
      </c>
      <c r="E1629" s="16" t="s">
        <v>3529</v>
      </c>
      <c r="F1629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629" s="31"/>
      <c r="H1629" s="31"/>
      <c r="I1629" s="1">
        <f>COUNTA(ProductInfo[[#This Row],[P1]:[P15]])</f>
        <v>2</v>
      </c>
      <c r="J16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29" s="7" t="s">
        <v>12</v>
      </c>
      <c r="M1629" s="7" t="s">
        <v>15</v>
      </c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s="1" customFormat="1">
      <c r="A1630" s="8" t="s">
        <v>1735</v>
      </c>
      <c r="B1630" s="8" t="s">
        <v>1735</v>
      </c>
      <c r="C1630" s="1" t="str">
        <f>RIGHT(ProductInfo[[#This Row],[Drawing No]],1)</f>
        <v>0</v>
      </c>
      <c r="D1630" s="176" t="s">
        <v>2677</v>
      </c>
      <c r="E1630" s="16"/>
      <c r="F16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0" s="31"/>
      <c r="H1630" s="31"/>
      <c r="I1630" s="1">
        <f>COUNTA(ProductInfo[[#This Row],[P1]:[P15]])</f>
        <v>0</v>
      </c>
      <c r="J16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s="1" customFormat="1">
      <c r="A1631" s="8" t="s">
        <v>1736</v>
      </c>
      <c r="B1631" s="8" t="s">
        <v>4870</v>
      </c>
      <c r="C1631" s="1" t="str">
        <f>RIGHT(ProductInfo[[#This Row],[Drawing No]],1)</f>
        <v>1</v>
      </c>
      <c r="D1631" s="179" t="s">
        <v>2853</v>
      </c>
      <c r="E1631" s="18" t="s">
        <v>6529</v>
      </c>
      <c r="F1631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631" s="3">
        <v>30</v>
      </c>
      <c r="H1631" s="3">
        <v>100</v>
      </c>
      <c r="I1631" s="1">
        <f>COUNTA(ProductInfo[[#This Row],[P1]:[P15]])</f>
        <v>2</v>
      </c>
      <c r="J16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1" s="7" t="s">
        <v>12</v>
      </c>
      <c r="M1631" s="7" t="s">
        <v>13</v>
      </c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s="1" customFormat="1">
      <c r="A1632" s="8" t="s">
        <v>1737</v>
      </c>
      <c r="B1632" s="8" t="s">
        <v>1737</v>
      </c>
      <c r="C1632" s="1" t="str">
        <f>RIGHT(ProductInfo[[#This Row],[Drawing No]],1)</f>
        <v>2</v>
      </c>
      <c r="D1632" s="176" t="s">
        <v>2949</v>
      </c>
      <c r="E1632" s="16"/>
      <c r="F16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2" s="31"/>
      <c r="H1632" s="31"/>
      <c r="I1632" s="1">
        <f>COUNTA(ProductInfo[[#This Row],[P1]:[P15]])</f>
        <v>0</v>
      </c>
      <c r="J16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s="1" customFormat="1">
      <c r="A1633" s="8" t="s">
        <v>1738</v>
      </c>
      <c r="B1633" s="8" t="s">
        <v>1738</v>
      </c>
      <c r="C1633" s="1" t="str">
        <f>RIGHT(ProductInfo[[#This Row],[Drawing No]],1)</f>
        <v>3</v>
      </c>
      <c r="D1633" s="176" t="s">
        <v>2949</v>
      </c>
      <c r="E1633" s="16"/>
      <c r="F16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3" s="31"/>
      <c r="H1633" s="31"/>
      <c r="I1633" s="1">
        <f>COUNTA(ProductInfo[[#This Row],[P1]:[P15]])</f>
        <v>0</v>
      </c>
      <c r="J16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s="1" customFormat="1">
      <c r="A1634" s="8" t="s">
        <v>1739</v>
      </c>
      <c r="B1634" s="8" t="s">
        <v>1739</v>
      </c>
      <c r="C1634" s="1" t="str">
        <f>RIGHT(ProductInfo[[#This Row],[Drawing No]],1)</f>
        <v>4</v>
      </c>
      <c r="D1634" s="176" t="s">
        <v>2949</v>
      </c>
      <c r="E1634" s="16"/>
      <c r="F16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4" s="31"/>
      <c r="H1634" s="31"/>
      <c r="I1634" s="1">
        <f>COUNTA(ProductInfo[[#This Row],[P1]:[P15]])</f>
        <v>0</v>
      </c>
      <c r="J16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s="1" customFormat="1">
      <c r="A1635" s="8" t="s">
        <v>1740</v>
      </c>
      <c r="B1635" s="8" t="s">
        <v>1740</v>
      </c>
      <c r="C1635" s="1" t="str">
        <f>RIGHT(ProductInfo[[#This Row],[Drawing No]],1)</f>
        <v>1</v>
      </c>
      <c r="D1635" s="176" t="s">
        <v>2678</v>
      </c>
      <c r="E1635" s="16"/>
      <c r="F16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5" s="31"/>
      <c r="H1635" s="31"/>
      <c r="I1635" s="1">
        <f>COUNTA(ProductInfo[[#This Row],[P1]:[P15]])</f>
        <v>0</v>
      </c>
      <c r="J16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s="1" customFormat="1">
      <c r="A1636" s="8" t="s">
        <v>1741</v>
      </c>
      <c r="B1636" s="8" t="s">
        <v>1741</v>
      </c>
      <c r="C1636" s="1" t="str">
        <f>RIGHT(ProductInfo[[#This Row],[Drawing No]],1)</f>
        <v>2</v>
      </c>
      <c r="D1636" s="176" t="s">
        <v>2679</v>
      </c>
      <c r="E1636" s="16"/>
      <c r="F16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36" s="31"/>
      <c r="H1636" s="31"/>
      <c r="I1636" s="1">
        <f>COUNTA(ProductInfo[[#This Row],[P1]:[P15]])</f>
        <v>0</v>
      </c>
      <c r="J16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s="1" customFormat="1">
      <c r="A1637" s="8" t="s">
        <v>4961</v>
      </c>
      <c r="B1637" s="8" t="s">
        <v>4960</v>
      </c>
      <c r="C1637" s="2" t="str">
        <f>RIGHT(ProductInfo[[#This Row],[Drawing No]],1)</f>
        <v>1</v>
      </c>
      <c r="D1637" s="176" t="s">
        <v>4962</v>
      </c>
      <c r="E1637" s="16" t="s">
        <v>6529</v>
      </c>
      <c r="F163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637" s="59">
        <v>56</v>
      </c>
      <c r="H1637" s="59">
        <v>100</v>
      </c>
      <c r="I1637" s="1">
        <f>COUNTA(ProductInfo[[#This Row],[P1]:[P15]])</f>
        <v>2</v>
      </c>
      <c r="J16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37" s="4" t="s">
        <v>13</v>
      </c>
      <c r="M1637" s="4"/>
      <c r="N1637" s="4" t="s">
        <v>15</v>
      </c>
      <c r="O1637" s="7"/>
      <c r="P1637" s="7"/>
      <c r="Q1637" s="7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s="1" customFormat="1">
      <c r="A1638" s="8" t="s">
        <v>1742</v>
      </c>
      <c r="B1638" s="8" t="s">
        <v>3320</v>
      </c>
      <c r="C1638" s="1" t="str">
        <f>RIGHT(ProductInfo[[#This Row],[Drawing No]],1)</f>
        <v>0</v>
      </c>
      <c r="D1638" s="179" t="s">
        <v>3112</v>
      </c>
      <c r="E1638" s="18" t="s">
        <v>6529</v>
      </c>
      <c r="F1638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638" s="3">
        <v>52</v>
      </c>
      <c r="H1638" s="3">
        <v>100</v>
      </c>
      <c r="I1638" s="1">
        <f>COUNTA(ProductInfo[[#This Row],[P1]:[P15]])</f>
        <v>3</v>
      </c>
      <c r="J16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38" s="4" t="s">
        <v>13</v>
      </c>
      <c r="M1638" s="7" t="s">
        <v>16</v>
      </c>
      <c r="N1638" s="7" t="s">
        <v>15</v>
      </c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s="1" customFormat="1">
      <c r="A1639" s="8" t="s">
        <v>5324</v>
      </c>
      <c r="B1639" s="8" t="s">
        <v>5323</v>
      </c>
      <c r="C1639" s="2" t="str">
        <f>RIGHT(ProductInfo[[#This Row],[Drawing No]],1)</f>
        <v>0</v>
      </c>
      <c r="D1639" s="176" t="s">
        <v>4979</v>
      </c>
      <c r="E1639" s="16" t="s">
        <v>3559</v>
      </c>
      <c r="F1639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639" s="59">
        <v>51</v>
      </c>
      <c r="H1639" s="59">
        <v>100</v>
      </c>
      <c r="I1639" s="1">
        <f>COUNTA(ProductInfo[[#This Row],[P1]:[P15]])</f>
        <v>4</v>
      </c>
      <c r="J16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6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39" s="4" t="s">
        <v>12</v>
      </c>
      <c r="M1639" s="4" t="s">
        <v>13</v>
      </c>
      <c r="N1639" s="4" t="s">
        <v>15</v>
      </c>
      <c r="O1639" s="7" t="s">
        <v>14</v>
      </c>
      <c r="P1639" s="7"/>
      <c r="Q1639" s="7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s="1" customFormat="1">
      <c r="A1640" s="8" t="s">
        <v>1743</v>
      </c>
      <c r="B1640" s="8" t="s">
        <v>1743</v>
      </c>
      <c r="C1640" s="1" t="str">
        <f>RIGHT(ProductInfo[[#This Row],[Drawing No]],1)</f>
        <v>2</v>
      </c>
      <c r="D1640" s="176" t="s">
        <v>3195</v>
      </c>
      <c r="E1640" s="16"/>
      <c r="F16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0" s="31"/>
      <c r="H1640" s="31"/>
      <c r="I1640" s="1">
        <f>COUNTA(ProductInfo[[#This Row],[P1]:[P15]])</f>
        <v>0</v>
      </c>
      <c r="J16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s="1" customFormat="1">
      <c r="A1641" s="8" t="s">
        <v>1744</v>
      </c>
      <c r="B1641" s="8" t="s">
        <v>1744</v>
      </c>
      <c r="C1641" s="1" t="str">
        <f>RIGHT(ProductInfo[[#This Row],[Drawing No]],1)</f>
        <v>3</v>
      </c>
      <c r="D1641" s="176" t="s">
        <v>3196</v>
      </c>
      <c r="E1641" s="16"/>
      <c r="F16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1" s="31"/>
      <c r="H1641" s="31"/>
      <c r="I1641" s="1">
        <f>COUNTA(ProductInfo[[#This Row],[P1]:[P15]])</f>
        <v>0</v>
      </c>
      <c r="J16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s="1" customFormat="1">
      <c r="A1642" s="8" t="s">
        <v>1745</v>
      </c>
      <c r="B1642" s="8" t="s">
        <v>1745</v>
      </c>
      <c r="C1642" s="1" t="str">
        <f>RIGHT(ProductInfo[[#This Row],[Drawing No]],1)</f>
        <v>4</v>
      </c>
      <c r="D1642" s="176" t="s">
        <v>3197</v>
      </c>
      <c r="E1642" s="16"/>
      <c r="F16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2" s="31"/>
      <c r="H1642" s="31"/>
      <c r="I1642" s="1">
        <f>COUNTA(ProductInfo[[#This Row],[P1]:[P15]])</f>
        <v>0</v>
      </c>
      <c r="J16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s="1" customFormat="1">
      <c r="A1643" s="8" t="s">
        <v>1746</v>
      </c>
      <c r="B1643" s="8" t="s">
        <v>1746</v>
      </c>
      <c r="C1643" s="1" t="str">
        <f>RIGHT(ProductInfo[[#This Row],[Drawing No]],1)</f>
        <v>5</v>
      </c>
      <c r="D1643" s="176" t="s">
        <v>3197</v>
      </c>
      <c r="E1643" s="16"/>
      <c r="F16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3" s="31"/>
      <c r="H1643" s="31"/>
      <c r="I1643" s="1">
        <f>COUNTA(ProductInfo[[#This Row],[P1]:[P15]])</f>
        <v>0</v>
      </c>
      <c r="J16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s="1" customFormat="1">
      <c r="A1644" s="8" t="s">
        <v>1747</v>
      </c>
      <c r="B1644" s="8" t="s">
        <v>1747</v>
      </c>
      <c r="C1644" s="1" t="str">
        <f>RIGHT(ProductInfo[[#This Row],[Drawing No]],1)</f>
        <v>0</v>
      </c>
      <c r="D1644" s="176" t="s">
        <v>2950</v>
      </c>
      <c r="E1644" s="16"/>
      <c r="F16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4" s="31"/>
      <c r="H1644" s="31"/>
      <c r="I1644" s="1">
        <f>COUNTA(ProductInfo[[#This Row],[P1]:[P15]])</f>
        <v>0</v>
      </c>
      <c r="J16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s="1" customFormat="1">
      <c r="A1645" s="8" t="s">
        <v>1748</v>
      </c>
      <c r="B1645" s="8" t="s">
        <v>1748</v>
      </c>
      <c r="C1645" s="1" t="str">
        <f>RIGHT(ProductInfo[[#This Row],[Drawing No]],1)</f>
        <v>0</v>
      </c>
      <c r="D1645" s="176" t="s">
        <v>2951</v>
      </c>
      <c r="E1645" s="16"/>
      <c r="F16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5" s="31"/>
      <c r="H1645" s="31"/>
      <c r="I1645" s="1">
        <f>COUNTA(ProductInfo[[#This Row],[P1]:[P15]])</f>
        <v>0</v>
      </c>
      <c r="J16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>
      <c r="A1646" s="8" t="s">
        <v>1749</v>
      </c>
      <c r="B1646" s="8" t="s">
        <v>4767</v>
      </c>
      <c r="C1646" s="1" t="str">
        <f>RIGHT(ProductInfo[[#This Row],[Drawing No]],1)</f>
        <v>1</v>
      </c>
      <c r="D1646" s="176" t="s">
        <v>2680</v>
      </c>
      <c r="E1646" s="16" t="s">
        <v>7030</v>
      </c>
      <c r="F1646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1646" s="59">
        <v>52</v>
      </c>
      <c r="H1646" s="59">
        <v>100</v>
      </c>
      <c r="I1646" s="1">
        <f>COUNTA(ProductInfo[[#This Row],[P1]:[P15]])</f>
        <v>2</v>
      </c>
      <c r="J16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6" s="7" t="s">
        <v>12</v>
      </c>
      <c r="M1646" s="7" t="s">
        <v>13</v>
      </c>
      <c r="N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s="1" customFormat="1">
      <c r="A1647" s="8" t="s">
        <v>1750</v>
      </c>
      <c r="B1647" s="8" t="s">
        <v>1750</v>
      </c>
      <c r="C1647" s="1" t="str">
        <f>RIGHT(ProductInfo[[#This Row],[Drawing No]],1)</f>
        <v>0</v>
      </c>
      <c r="D1647" s="176" t="s">
        <v>2681</v>
      </c>
      <c r="E1647" s="16" t="s">
        <v>7030</v>
      </c>
      <c r="F1647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1647" s="31" t="s">
        <v>5998</v>
      </c>
      <c r="H1647" s="31" t="s">
        <v>5999</v>
      </c>
      <c r="I1647" s="1">
        <f>COUNTA(ProductInfo[[#This Row],[P1]:[P15]])</f>
        <v>3</v>
      </c>
      <c r="J16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47" s="7" t="s">
        <v>12</v>
      </c>
      <c r="M1647" s="7" t="s">
        <v>13</v>
      </c>
      <c r="N1647" s="7" t="s">
        <v>15</v>
      </c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25.8">
      <c r="A1648" s="8" t="s">
        <v>1751</v>
      </c>
      <c r="B1648" s="8" t="s">
        <v>3580</v>
      </c>
      <c r="C1648" s="1" t="str">
        <f>RIGHT(ProductInfo[[#This Row],[Drawing No]],1)</f>
        <v>0</v>
      </c>
      <c r="D1648" s="176" t="s">
        <v>3198</v>
      </c>
      <c r="E1648" s="258" t="s">
        <v>7037</v>
      </c>
      <c r="F1648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1648" s="59">
        <v>19</v>
      </c>
      <c r="H1648" s="59">
        <v>110</v>
      </c>
      <c r="I1648" s="1">
        <f>COUNTA(ProductInfo[[#This Row],[P1]:[P15]])</f>
        <v>1</v>
      </c>
      <c r="J16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8" s="7" t="s">
        <v>13</v>
      </c>
      <c r="M1648" s="7"/>
      <c r="N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s="1" customFormat="1">
      <c r="A1649" s="8" t="s">
        <v>1752</v>
      </c>
      <c r="B1649" s="8" t="s">
        <v>3582</v>
      </c>
      <c r="C1649" s="1" t="str">
        <f>RIGHT(ProductInfo[[#This Row],[Drawing No]],1)</f>
        <v>0</v>
      </c>
      <c r="D1649" s="179" t="s">
        <v>3073</v>
      </c>
      <c r="E1649" s="18" t="s">
        <v>3581</v>
      </c>
      <c r="F164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49" s="3">
        <v>19</v>
      </c>
      <c r="H1649" s="3"/>
      <c r="I1649" s="1">
        <f>COUNTA(ProductInfo[[#This Row],[P1]:[P15]])</f>
        <v>1</v>
      </c>
      <c r="J16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49" s="7" t="s">
        <v>13</v>
      </c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s="1" customFormat="1">
      <c r="A1650" s="8" t="s">
        <v>1753</v>
      </c>
      <c r="B1650" s="8" t="s">
        <v>1753</v>
      </c>
      <c r="C1650" s="1" t="str">
        <f>RIGHT(ProductInfo[[#This Row],[Drawing No]],1)</f>
        <v>0</v>
      </c>
      <c r="D1650" s="179" t="s">
        <v>2983</v>
      </c>
      <c r="E1650" s="18"/>
      <c r="F165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0" s="32"/>
      <c r="H1650" s="32"/>
      <c r="I1650" s="1">
        <f>COUNTA(ProductInfo[[#This Row],[P1]:[P15]])</f>
        <v>0</v>
      </c>
      <c r="J16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s="1" customFormat="1" ht="19.8">
      <c r="A1651" s="8" t="s">
        <v>1754</v>
      </c>
      <c r="B1651" s="8" t="s">
        <v>3583</v>
      </c>
      <c r="C1651" s="1" t="str">
        <f>RIGHT(ProductInfo[[#This Row],[Drawing No]],1)</f>
        <v>0</v>
      </c>
      <c r="D1651" s="176" t="s">
        <v>2682</v>
      </c>
      <c r="E1651" s="121" t="s">
        <v>6530</v>
      </c>
      <c r="F165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1651" s="59">
        <v>15.5</v>
      </c>
      <c r="H1651" s="59"/>
      <c r="I1651" s="1">
        <f>COUNTA(ProductInfo[[#This Row],[P1]:[P15]])</f>
        <v>1</v>
      </c>
      <c r="J16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1" s="7" t="s">
        <v>13</v>
      </c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s="1" customFormat="1">
      <c r="A1652" s="8" t="s">
        <v>1755</v>
      </c>
      <c r="B1652" s="8" t="s">
        <v>3584</v>
      </c>
      <c r="C1652" s="1" t="str">
        <f>RIGHT(ProductInfo[[#This Row],[Drawing No]],1)</f>
        <v>1</v>
      </c>
      <c r="D1652" s="179" t="s">
        <v>1756</v>
      </c>
      <c r="E1652" s="18"/>
      <c r="F165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2" s="32"/>
      <c r="H1652" s="32"/>
      <c r="I1652" s="1">
        <f>COUNTA(ProductInfo[[#This Row],[P1]:[P15]])</f>
        <v>1</v>
      </c>
      <c r="J16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2" s="7" t="s">
        <v>13</v>
      </c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s="1" customFormat="1">
      <c r="A1653" s="8" t="s">
        <v>1757</v>
      </c>
      <c r="B1653" s="8" t="s">
        <v>1757</v>
      </c>
      <c r="C1653" s="1" t="str">
        <f>RIGHT(ProductInfo[[#This Row],[Drawing No]],1)</f>
        <v>0</v>
      </c>
      <c r="D1653" s="176" t="s">
        <v>1758</v>
      </c>
      <c r="E1653" s="16"/>
      <c r="F16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3" s="31"/>
      <c r="H1653" s="31"/>
      <c r="I1653" s="1">
        <f>COUNTA(ProductInfo[[#This Row],[P1]:[P15]])</f>
        <v>0</v>
      </c>
      <c r="J16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s="1" customFormat="1">
      <c r="A1654" s="8" t="s">
        <v>1759</v>
      </c>
      <c r="B1654" s="8" t="s">
        <v>1759</v>
      </c>
      <c r="C1654" s="1" t="str">
        <f>RIGHT(ProductInfo[[#This Row],[Drawing No]],1)</f>
        <v>0</v>
      </c>
      <c r="D1654" s="179" t="s">
        <v>2854</v>
      </c>
      <c r="E1654" s="18"/>
      <c r="F165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4" s="31" t="s">
        <v>3585</v>
      </c>
      <c r="H1654" s="31"/>
      <c r="I1654" s="1">
        <f>COUNTA(ProductInfo[[#This Row],[P1]:[P15]])</f>
        <v>2</v>
      </c>
      <c r="J16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4" s="7" t="s">
        <v>12</v>
      </c>
      <c r="M1654" s="7" t="s">
        <v>13</v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s="1" customFormat="1">
      <c r="A1655" s="8" t="s">
        <v>1760</v>
      </c>
      <c r="B1655" s="8" t="s">
        <v>1760</v>
      </c>
      <c r="C1655" s="1" t="str">
        <f>RIGHT(ProductInfo[[#This Row],[Drawing No]],1)</f>
        <v>2</v>
      </c>
      <c r="D1655" s="176" t="s">
        <v>2683</v>
      </c>
      <c r="E1655" s="16"/>
      <c r="F16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5" s="31"/>
      <c r="H1655" s="31"/>
      <c r="I1655" s="1">
        <f>COUNTA(ProductInfo[[#This Row],[P1]:[P15]])</f>
        <v>0</v>
      </c>
      <c r="J16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s="1" customFormat="1">
      <c r="A1656" s="8" t="s">
        <v>1761</v>
      </c>
      <c r="B1656" s="8" t="s">
        <v>1761</v>
      </c>
      <c r="C1656" s="1" t="str">
        <f>RIGHT(ProductInfo[[#This Row],[Drawing No]],1)</f>
        <v>1</v>
      </c>
      <c r="D1656" s="176" t="s">
        <v>2684</v>
      </c>
      <c r="E1656" s="16"/>
      <c r="F16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6" s="31"/>
      <c r="H1656" s="31"/>
      <c r="I1656" s="1">
        <f>COUNTA(ProductInfo[[#This Row],[P1]:[P15]])</f>
        <v>0</v>
      </c>
      <c r="J16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s="1" customFormat="1">
      <c r="A1657" s="8" t="s">
        <v>1762</v>
      </c>
      <c r="B1657" s="8" t="s">
        <v>1762</v>
      </c>
      <c r="C1657" s="1" t="str">
        <f>RIGHT(ProductInfo[[#This Row],[Drawing No]],1)</f>
        <v>1</v>
      </c>
      <c r="D1657" s="176" t="s">
        <v>2685</v>
      </c>
      <c r="E1657" s="16"/>
      <c r="F16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7" s="31"/>
      <c r="H1657" s="31"/>
      <c r="I1657" s="1">
        <f>COUNTA(ProductInfo[[#This Row],[P1]:[P15]])</f>
        <v>0</v>
      </c>
      <c r="J16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s="1" customFormat="1">
      <c r="A1658" s="8" t="s">
        <v>1763</v>
      </c>
      <c r="B1658" s="8" t="s">
        <v>1763</v>
      </c>
      <c r="C1658" s="1" t="str">
        <f>RIGHT(ProductInfo[[#This Row],[Drawing No]],1)</f>
        <v>2</v>
      </c>
      <c r="D1658" s="176" t="s">
        <v>2686</v>
      </c>
      <c r="E1658" s="16"/>
      <c r="F16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8" s="31"/>
      <c r="H1658" s="31"/>
      <c r="I1658" s="1">
        <f>COUNTA(ProductInfo[[#This Row],[P1]:[P15]])</f>
        <v>0</v>
      </c>
      <c r="J16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s="1" customFormat="1">
      <c r="A1659" s="8" t="s">
        <v>1764</v>
      </c>
      <c r="B1659" s="8" t="s">
        <v>1764</v>
      </c>
      <c r="C1659" s="1" t="str">
        <f>RIGHT(ProductInfo[[#This Row],[Drawing No]],1)</f>
        <v>2</v>
      </c>
      <c r="D1659" s="176" t="s">
        <v>2687</v>
      </c>
      <c r="E1659" s="16"/>
      <c r="F16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59" s="31"/>
      <c r="H1659" s="31"/>
      <c r="I1659" s="1">
        <f>COUNTA(ProductInfo[[#This Row],[P1]:[P15]])</f>
        <v>0</v>
      </c>
      <c r="J16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s="1" customFormat="1">
      <c r="A1660" s="8" t="s">
        <v>1765</v>
      </c>
      <c r="B1660" s="8" t="s">
        <v>3758</v>
      </c>
      <c r="C1660" s="1" t="str">
        <f>RIGHT(ProductInfo[[#This Row],[Drawing No]],1)</f>
        <v>1</v>
      </c>
      <c r="D1660" s="179" t="s">
        <v>2855</v>
      </c>
      <c r="E1660" s="18" t="s">
        <v>5150</v>
      </c>
      <c r="F1660" s="26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660" s="3">
        <v>22</v>
      </c>
      <c r="H1660" s="3">
        <v>100</v>
      </c>
      <c r="I1660" s="1">
        <f>COUNTA(ProductInfo[[#This Row],[P1]:[P15]])</f>
        <v>2</v>
      </c>
      <c r="J16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60" s="4" t="s">
        <v>12</v>
      </c>
      <c r="M1660" s="4" t="s">
        <v>13</v>
      </c>
      <c r="N1660" s="4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s="1" customFormat="1">
      <c r="A1661" s="8" t="s">
        <v>1766</v>
      </c>
      <c r="B1661" s="8" t="s">
        <v>1766</v>
      </c>
      <c r="C1661" s="1" t="str">
        <f>RIGHT(ProductInfo[[#This Row],[Drawing No]],1)</f>
        <v>0</v>
      </c>
      <c r="D1661" s="176" t="s">
        <v>2688</v>
      </c>
      <c r="E1661" s="16"/>
      <c r="F16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61" s="31"/>
      <c r="H1661" s="31"/>
      <c r="I1661" s="1">
        <f>COUNTA(ProductInfo[[#This Row],[P1]:[P15]])</f>
        <v>0</v>
      </c>
      <c r="J16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s="1" customFormat="1" ht="28.8">
      <c r="A1662" s="8" t="s">
        <v>1767</v>
      </c>
      <c r="B1662" s="8" t="s">
        <v>3566</v>
      </c>
      <c r="C1662" s="1" t="str">
        <f>RIGHT(ProductInfo[[#This Row],[Drawing No]],1)</f>
        <v>0</v>
      </c>
      <c r="D1662" s="179" t="s">
        <v>3074</v>
      </c>
      <c r="E1662" s="32" t="s">
        <v>3536</v>
      </c>
      <c r="F1662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2" s="3">
        <v>47</v>
      </c>
      <c r="H1662" s="59">
        <v>100</v>
      </c>
      <c r="I1662" s="1">
        <f>COUNTA(ProductInfo[[#This Row],[P1]:[P15]])</f>
        <v>3</v>
      </c>
      <c r="J16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2" s="7" t="s">
        <v>12</v>
      </c>
      <c r="M1662" s="7" t="s">
        <v>15</v>
      </c>
      <c r="N1662" s="4" t="s">
        <v>16</v>
      </c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s="1" customFormat="1" ht="28.8">
      <c r="A1663" s="8" t="s">
        <v>4411</v>
      </c>
      <c r="B1663" s="8" t="s">
        <v>4410</v>
      </c>
      <c r="C1663" s="1" t="str">
        <f>RIGHT(ProductInfo[[#This Row],[Drawing No]],1)</f>
        <v>0</v>
      </c>
      <c r="D1663" s="179" t="s">
        <v>3074</v>
      </c>
      <c r="E1663" s="32" t="s">
        <v>3536</v>
      </c>
      <c r="F1663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3" s="3">
        <v>51</v>
      </c>
      <c r="H1663" s="59">
        <v>100</v>
      </c>
      <c r="I1663" s="1">
        <f>COUNTA(ProductInfo[[#This Row],[P1]:[P15]])</f>
        <v>3</v>
      </c>
      <c r="J16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3" s="7" t="s">
        <v>12</v>
      </c>
      <c r="M1663" s="7" t="s">
        <v>15</v>
      </c>
      <c r="N1663" s="4" t="s">
        <v>16</v>
      </c>
      <c r="O1663" s="7"/>
      <c r="P1663" s="7"/>
      <c r="Q1663" s="7"/>
      <c r="R1663" s="7"/>
      <c r="S1663" s="7"/>
      <c r="T1663" s="4"/>
      <c r="U1663" s="4"/>
      <c r="V1663" s="4"/>
      <c r="W1663" s="4"/>
      <c r="X1663" s="4"/>
      <c r="Y1663" s="4"/>
      <c r="Z1663" s="4"/>
    </row>
    <row r="1664" spans="1:26" s="1" customFormat="1">
      <c r="A1664" s="8" t="s">
        <v>5575</v>
      </c>
      <c r="B1664" s="8" t="s">
        <v>5574</v>
      </c>
      <c r="C1664" s="2" t="str">
        <f>RIGHT(ProductInfo[[#This Row],[Drawing No]],1)</f>
        <v>0</v>
      </c>
      <c r="D1664" s="179" t="s">
        <v>5599</v>
      </c>
      <c r="E1664" s="32" t="s">
        <v>3536</v>
      </c>
      <c r="F1664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4" s="3">
        <v>51</v>
      </c>
      <c r="H1664" s="59">
        <v>100</v>
      </c>
      <c r="I1664" s="1">
        <f>COUNTA(ProductInfo[[#This Row],[P1]:[P15]])</f>
        <v>3</v>
      </c>
      <c r="J16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4" s="7" t="s">
        <v>12</v>
      </c>
      <c r="M1664" s="7" t="s">
        <v>15</v>
      </c>
      <c r="N1664" s="4" t="s">
        <v>16</v>
      </c>
      <c r="O1664" s="7"/>
      <c r="P1664" s="7"/>
      <c r="Q1664" s="7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s="1" customFormat="1" ht="28.8">
      <c r="A1665" s="8" t="s">
        <v>1768</v>
      </c>
      <c r="B1665" s="8" t="s">
        <v>3567</v>
      </c>
      <c r="C1665" s="1" t="str">
        <f>RIGHT(ProductInfo[[#This Row],[Drawing No]],1)</f>
        <v>0</v>
      </c>
      <c r="D1665" s="179" t="s">
        <v>2984</v>
      </c>
      <c r="E1665" s="32" t="s">
        <v>3536</v>
      </c>
      <c r="F1665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5" s="3">
        <v>47</v>
      </c>
      <c r="H1665" s="3"/>
      <c r="I1665" s="1">
        <f>COUNTA(ProductInfo[[#This Row],[P1]:[P15]])</f>
        <v>3</v>
      </c>
      <c r="J16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5" s="7" t="s">
        <v>12</v>
      </c>
      <c r="M1665" s="7" t="s">
        <v>15</v>
      </c>
      <c r="N1665" s="4" t="s">
        <v>16</v>
      </c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>
      <c r="A1666" s="8" t="s">
        <v>4407</v>
      </c>
      <c r="B1666" s="8" t="s">
        <v>4406</v>
      </c>
      <c r="C1666" s="2" t="str">
        <f>RIGHT(ProductInfo[[#This Row],[Drawing No]],1)</f>
        <v>1</v>
      </c>
      <c r="D1666" s="176" t="s">
        <v>4405</v>
      </c>
      <c r="E1666" s="32" t="s">
        <v>3536</v>
      </c>
      <c r="F1666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6" s="59">
        <v>51</v>
      </c>
      <c r="H1666" s="59">
        <v>100</v>
      </c>
      <c r="I1666" s="1">
        <f>COUNTA(ProductInfo[[#This Row],[P1]:[P15]])</f>
        <v>3</v>
      </c>
      <c r="J16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6" s="7" t="s">
        <v>12</v>
      </c>
      <c r="M1666" s="7" t="s">
        <v>15</v>
      </c>
      <c r="N1666" s="4" t="s">
        <v>16</v>
      </c>
    </row>
    <row r="1667" spans="1:26" s="1" customFormat="1">
      <c r="A1667" s="8" t="s">
        <v>5560</v>
      </c>
      <c r="B1667" s="8" t="s">
        <v>5559</v>
      </c>
      <c r="C1667" s="2" t="str">
        <f>RIGHT(ProductInfo[[#This Row],[Drawing No]],1)</f>
        <v>0</v>
      </c>
      <c r="D1667" s="176" t="s">
        <v>5600</v>
      </c>
      <c r="E1667" s="32" t="s">
        <v>3536</v>
      </c>
      <c r="F1667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7" s="59">
        <v>51</v>
      </c>
      <c r="H1667" s="59">
        <v>100</v>
      </c>
      <c r="I1667" s="1">
        <f>COUNTA(ProductInfo[[#This Row],[P1]:[P15]])</f>
        <v>3</v>
      </c>
      <c r="J16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67" s="7" t="s">
        <v>12</v>
      </c>
      <c r="M1667" s="7" t="s">
        <v>15</v>
      </c>
      <c r="N1667" s="4" t="s">
        <v>16</v>
      </c>
      <c r="O1667" s="7"/>
      <c r="P1667" s="7"/>
      <c r="Q1667" s="7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s="1" customFormat="1" ht="28.8">
      <c r="A1668" s="8" t="s">
        <v>1769</v>
      </c>
      <c r="B1668" s="8" t="s">
        <v>3568</v>
      </c>
      <c r="C1668" s="1" t="str">
        <f>RIGHT(ProductInfo[[#This Row],[Drawing No]],1)</f>
        <v>0</v>
      </c>
      <c r="D1668" s="179" t="s">
        <v>3075</v>
      </c>
      <c r="E1668" s="32" t="s">
        <v>3536</v>
      </c>
      <c r="F1668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8" s="32"/>
      <c r="H1668" s="32"/>
      <c r="I1668" s="1">
        <f>COUNTA(ProductInfo[[#This Row],[P1]:[P15]])</f>
        <v>1</v>
      </c>
      <c r="J16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68" s="7" t="s">
        <v>12</v>
      </c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s="1" customFormat="1">
      <c r="A1669" s="8" t="s">
        <v>1770</v>
      </c>
      <c r="B1669" s="8" t="s">
        <v>3569</v>
      </c>
      <c r="C1669" s="1" t="str">
        <f>RIGHT(ProductInfo[[#This Row],[Drawing No]],1)</f>
        <v>0</v>
      </c>
      <c r="D1669" s="176" t="s">
        <v>3199</v>
      </c>
      <c r="E1669" s="32" t="s">
        <v>3536</v>
      </c>
      <c r="F1669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69" s="59" t="s">
        <v>4376</v>
      </c>
      <c r="H1669" s="59"/>
      <c r="I1669" s="1">
        <f>COUNTA(ProductInfo[[#This Row],[P1]:[P15]])</f>
        <v>0</v>
      </c>
      <c r="J16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s="1" customFormat="1" ht="28.8">
      <c r="A1670" s="8" t="s">
        <v>1771</v>
      </c>
      <c r="B1670" s="8" t="s">
        <v>3570</v>
      </c>
      <c r="C1670" s="1" t="str">
        <f>RIGHT(ProductInfo[[#This Row],[Drawing No]],1)</f>
        <v>1</v>
      </c>
      <c r="D1670" s="179" t="s">
        <v>1772</v>
      </c>
      <c r="E1670" s="32" t="s">
        <v>3536</v>
      </c>
      <c r="F1670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70" s="3">
        <v>60.5</v>
      </c>
      <c r="H1670" s="3"/>
      <c r="I1670" s="1">
        <f>COUNTA(ProductInfo[[#This Row],[P1]:[P15]])</f>
        <v>2</v>
      </c>
      <c r="J16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0" s="7" t="s">
        <v>12</v>
      </c>
      <c r="M1670" s="7" t="s">
        <v>15</v>
      </c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s="1" customFormat="1" ht="28.8">
      <c r="A1671" s="8" t="s">
        <v>4576</v>
      </c>
      <c r="B1671" s="8" t="s">
        <v>4575</v>
      </c>
      <c r="C1671" s="1" t="str">
        <f>RIGHT(ProductInfo[[#This Row],[Drawing No]],1)</f>
        <v>0</v>
      </c>
      <c r="D1671" s="179" t="s">
        <v>1772</v>
      </c>
      <c r="E1671" s="32" t="s">
        <v>3536</v>
      </c>
      <c r="F1671" s="26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71" s="3">
        <v>62.5</v>
      </c>
      <c r="H1671" s="3"/>
      <c r="I1671" s="1">
        <f>COUNTA(ProductInfo[[#This Row],[P1]:[P15]])</f>
        <v>2</v>
      </c>
      <c r="J16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1" s="7" t="s">
        <v>12</v>
      </c>
      <c r="M1671" s="7" t="s">
        <v>15</v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s="1" customFormat="1">
      <c r="A1672" s="8" t="s">
        <v>1773</v>
      </c>
      <c r="B1672" s="8" t="s">
        <v>3571</v>
      </c>
      <c r="C1672" s="1" t="str">
        <f>RIGHT(ProductInfo[[#This Row],[Drawing No]],1)</f>
        <v>0</v>
      </c>
      <c r="D1672" s="176" t="s">
        <v>2689</v>
      </c>
      <c r="E1672" s="31" t="s">
        <v>3406</v>
      </c>
      <c r="F1672" s="23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1672" s="59">
        <v>47.5</v>
      </c>
      <c r="H1672" s="59">
        <v>50</v>
      </c>
      <c r="I1672" s="1">
        <f>COUNTA(ProductInfo[[#This Row],[P1]:[P15]])</f>
        <v>2</v>
      </c>
      <c r="J16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2" s="7" t="s">
        <v>12</v>
      </c>
      <c r="M1672" s="7" t="s">
        <v>15</v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s="1" customFormat="1">
      <c r="A1673" s="8" t="s">
        <v>5591</v>
      </c>
      <c r="B1673" s="8" t="s">
        <v>5590</v>
      </c>
      <c r="C1673" s="2" t="str">
        <f>RIGHT(ProductInfo[[#This Row],[Drawing No]],1)</f>
        <v>0</v>
      </c>
      <c r="D1673" s="176" t="s">
        <v>2689</v>
      </c>
      <c r="E1673" s="31" t="s">
        <v>3406</v>
      </c>
      <c r="F1673" s="23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1673" s="59">
        <v>47.5</v>
      </c>
      <c r="H1673" s="59">
        <v>50</v>
      </c>
      <c r="I1673" s="1">
        <f>COUNTA(ProductInfo[[#This Row],[P1]:[P15]])</f>
        <v>2</v>
      </c>
      <c r="J16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3" s="7" t="s">
        <v>12</v>
      </c>
      <c r="M1673" s="7" t="s">
        <v>15</v>
      </c>
      <c r="N1673" s="4"/>
      <c r="O1673" s="7"/>
      <c r="P1673" s="7"/>
      <c r="Q1673" s="7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s="1" customFormat="1">
      <c r="A1674" s="8" t="s">
        <v>1774</v>
      </c>
      <c r="B1674" s="8" t="s">
        <v>1774</v>
      </c>
      <c r="C1674" s="1" t="str">
        <f>RIGHT(ProductInfo[[#This Row],[Drawing No]],1)</f>
        <v>2</v>
      </c>
      <c r="D1674" s="176" t="s">
        <v>2690</v>
      </c>
      <c r="E1674" s="31"/>
      <c r="F16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74" s="31" t="s">
        <v>3572</v>
      </c>
      <c r="H1674" s="31"/>
      <c r="I1674" s="1">
        <f>COUNTA(ProductInfo[[#This Row],[P1]:[P15]])</f>
        <v>3</v>
      </c>
      <c r="J16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74" s="7" t="s">
        <v>12</v>
      </c>
      <c r="M1674" s="7" t="s">
        <v>15</v>
      </c>
      <c r="N1674" s="7" t="s">
        <v>25</v>
      </c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s="1" customFormat="1">
      <c r="A1675" s="8" t="s">
        <v>1775</v>
      </c>
      <c r="B1675" s="8" t="s">
        <v>3319</v>
      </c>
      <c r="C1675" s="1" t="str">
        <f>RIGHT(ProductInfo[[#This Row],[Drawing No]],1)</f>
        <v>0</v>
      </c>
      <c r="D1675" s="179" t="s">
        <v>1776</v>
      </c>
      <c r="E1675" s="32" t="s">
        <v>4522</v>
      </c>
      <c r="F1675" s="26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1675" s="3">
        <v>46</v>
      </c>
      <c r="H1675" s="3">
        <v>40</v>
      </c>
      <c r="I1675" s="1">
        <f>COUNTA(ProductInfo[[#This Row],[P1]:[P15]])</f>
        <v>5</v>
      </c>
      <c r="J16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1675" s="7" t="s">
        <v>15</v>
      </c>
      <c r="M1675" s="7" t="s">
        <v>12</v>
      </c>
      <c r="N1675" s="4" t="s">
        <v>13</v>
      </c>
      <c r="O1675" s="7" t="s">
        <v>16</v>
      </c>
      <c r="P1675" s="4" t="s">
        <v>19</v>
      </c>
      <c r="Q1675" s="7"/>
      <c r="R1675" s="4"/>
      <c r="S1675" s="7"/>
      <c r="T1675" s="7"/>
      <c r="U1675" s="7"/>
      <c r="V1675" s="7"/>
      <c r="W1675" s="7"/>
      <c r="X1675" s="7"/>
      <c r="Y1675" s="7"/>
      <c r="Z1675" s="7"/>
    </row>
    <row r="1676" spans="1:26" s="1" customFormat="1">
      <c r="A1676" s="8" t="s">
        <v>1777</v>
      </c>
      <c r="B1676" s="8" t="s">
        <v>3573</v>
      </c>
      <c r="C1676" s="1" t="str">
        <f>RIGHT(ProductInfo[[#This Row],[Drawing No]],1)</f>
        <v>1</v>
      </c>
      <c r="D1676" s="179" t="s">
        <v>2691</v>
      </c>
      <c r="E1676" s="32" t="s">
        <v>4524</v>
      </c>
      <c r="F1676" s="26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1676" s="33">
        <v>82</v>
      </c>
      <c r="H1676" s="33">
        <v>40</v>
      </c>
      <c r="I1676" s="1">
        <f>COUNTA(ProductInfo[[#This Row],[P1]:[P15]])</f>
        <v>2</v>
      </c>
      <c r="J16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6" s="7" t="s">
        <v>15</v>
      </c>
      <c r="M1676" s="7" t="s">
        <v>12</v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s="1" customFormat="1">
      <c r="A1677" s="8" t="s">
        <v>6118</v>
      </c>
      <c r="B1677" s="8" t="s">
        <v>6119</v>
      </c>
      <c r="C1677" s="1" t="str">
        <f>RIGHT(ProductInfo[[#This Row],[Drawing No]],1)</f>
        <v>0</v>
      </c>
      <c r="D1677" s="176" t="s">
        <v>2692</v>
      </c>
      <c r="E1677" s="32" t="s">
        <v>3536</v>
      </c>
      <c r="F1677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77" s="59">
        <v>60.5</v>
      </c>
      <c r="H1677" s="62">
        <v>100</v>
      </c>
      <c r="I1677" s="1">
        <f>COUNTA(ProductInfo[[#This Row],[P1]:[P15]])</f>
        <v>2</v>
      </c>
      <c r="J16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7" s="7" t="s">
        <v>12</v>
      </c>
      <c r="M1677" s="7" t="s">
        <v>15</v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s="1" customFormat="1">
      <c r="A1678" s="8" t="s">
        <v>1779</v>
      </c>
      <c r="B1678" s="8" t="s">
        <v>3575</v>
      </c>
      <c r="C1678" s="1" t="str">
        <f>RIGHT(ProductInfo[[#This Row],[Drawing No]],1)</f>
        <v>1</v>
      </c>
      <c r="D1678" s="176" t="s">
        <v>2952</v>
      </c>
      <c r="E1678" s="32" t="s">
        <v>3536</v>
      </c>
      <c r="F1678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78" s="59">
        <v>50.5</v>
      </c>
      <c r="H1678" s="59"/>
      <c r="I1678" s="1">
        <f>COUNTA(ProductInfo[[#This Row],[P1]:[P15]])</f>
        <v>1</v>
      </c>
      <c r="J16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78" s="7" t="s">
        <v>12</v>
      </c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s="1" customFormat="1">
      <c r="A1679" s="8" t="s">
        <v>1780</v>
      </c>
      <c r="B1679" s="8" t="s">
        <v>3576</v>
      </c>
      <c r="C1679" s="1" t="str">
        <f>RIGHT(ProductInfo[[#This Row],[Drawing No]],1)</f>
        <v>0</v>
      </c>
      <c r="D1679" s="176" t="s">
        <v>4745</v>
      </c>
      <c r="E1679" s="16" t="s">
        <v>5150</v>
      </c>
      <c r="F1679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1679" s="59">
        <v>38.5</v>
      </c>
      <c r="H1679" s="59">
        <v>100</v>
      </c>
      <c r="I1679" s="1">
        <f>COUNTA(ProductInfo[[#This Row],[P1]:[P15]])</f>
        <v>3</v>
      </c>
      <c r="J16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79" s="7" t="s">
        <v>12</v>
      </c>
      <c r="M1679" s="7" t="s">
        <v>13</v>
      </c>
      <c r="N1679" s="7" t="s">
        <v>15</v>
      </c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s="1" customFormat="1">
      <c r="A1680" s="8" t="s">
        <v>1781</v>
      </c>
      <c r="B1680" s="8" t="s">
        <v>3577</v>
      </c>
      <c r="C1680" s="1" t="str">
        <f>RIGHT(ProductInfo[[#This Row],[Drawing No]],1)</f>
        <v>0</v>
      </c>
      <c r="D1680" s="176" t="s">
        <v>2693</v>
      </c>
      <c r="E1680" s="32" t="s">
        <v>3536</v>
      </c>
      <c r="F1680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80" s="59">
        <v>80</v>
      </c>
      <c r="H1680" s="59">
        <v>100</v>
      </c>
      <c r="I1680" s="1">
        <f>COUNTA(ProductInfo[[#This Row],[P1]:[P15]])</f>
        <v>2</v>
      </c>
      <c r="J16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680" s="7" t="s">
        <v>12</v>
      </c>
      <c r="M1680" s="7" t="s">
        <v>15</v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s="1" customFormat="1">
      <c r="A1681" s="8" t="s">
        <v>1782</v>
      </c>
      <c r="B1681" s="8" t="s">
        <v>3578</v>
      </c>
      <c r="C1681" s="1" t="str">
        <f>RIGHT(ProductInfo[[#This Row],[Drawing No]],1)</f>
        <v>1</v>
      </c>
      <c r="D1681" s="176" t="s">
        <v>2694</v>
      </c>
      <c r="E1681" s="32" t="s">
        <v>3536</v>
      </c>
      <c r="F1681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81" s="59">
        <v>65</v>
      </c>
      <c r="H1681" s="59">
        <v>100</v>
      </c>
      <c r="I1681" s="1">
        <f>COUNTA(ProductInfo[[#This Row],[P1]:[P15]])</f>
        <v>1</v>
      </c>
      <c r="J16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6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1" s="7" t="s">
        <v>12</v>
      </c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s="1" customFormat="1">
      <c r="A1682" s="8" t="s">
        <v>4547</v>
      </c>
      <c r="B1682" s="8" t="s">
        <v>4548</v>
      </c>
      <c r="C1682" s="1" t="str">
        <f>RIGHT(ProductInfo[[#This Row],[Drawing No]],1)</f>
        <v>0</v>
      </c>
      <c r="D1682" s="176" t="s">
        <v>2694</v>
      </c>
      <c r="E1682" s="32" t="s">
        <v>3536</v>
      </c>
      <c r="F1682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1682" s="59">
        <v>65</v>
      </c>
      <c r="H1682" s="59">
        <v>100</v>
      </c>
      <c r="I1682" s="1">
        <f>COUNTA(ProductInfo[[#This Row],[P1]:[P15]])</f>
        <v>4</v>
      </c>
      <c r="J16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6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682" s="7" t="s">
        <v>12</v>
      </c>
      <c r="M1682" s="7" t="s">
        <v>13</v>
      </c>
      <c r="N1682" s="7" t="s">
        <v>15</v>
      </c>
      <c r="O1682" s="7" t="s">
        <v>16</v>
      </c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s="1" customFormat="1">
      <c r="A1683" s="8" t="s">
        <v>1783</v>
      </c>
      <c r="B1683" s="8" t="s">
        <v>1783</v>
      </c>
      <c r="C1683" s="1" t="str">
        <f>RIGHT(ProductInfo[[#This Row],[Drawing No]],1)</f>
        <v>1</v>
      </c>
      <c r="D1683" s="176" t="s">
        <v>2695</v>
      </c>
      <c r="E1683" s="16"/>
      <c r="F16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3" s="31"/>
      <c r="H1683" s="31"/>
      <c r="I1683" s="1">
        <f>COUNTA(ProductInfo[[#This Row],[P1]:[P15]])</f>
        <v>0</v>
      </c>
      <c r="J16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s="1" customFormat="1">
      <c r="A1684" s="8" t="s">
        <v>1784</v>
      </c>
      <c r="B1684" s="8" t="s">
        <v>1784</v>
      </c>
      <c r="C1684" s="1" t="str">
        <f>RIGHT(ProductInfo[[#This Row],[Drawing No]],1)</f>
        <v>1</v>
      </c>
      <c r="D1684" s="176" t="s">
        <v>1785</v>
      </c>
      <c r="E1684" s="16"/>
      <c r="F16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4" s="31"/>
      <c r="H1684" s="31"/>
      <c r="I1684" s="1">
        <f>COUNTA(ProductInfo[[#This Row],[P1]:[P15]])</f>
        <v>0</v>
      </c>
      <c r="J16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s="1" customFormat="1">
      <c r="A1685" s="8" t="s">
        <v>1786</v>
      </c>
      <c r="B1685" s="8" t="s">
        <v>1786</v>
      </c>
      <c r="C1685" s="1" t="str">
        <f>RIGHT(ProductInfo[[#This Row],[Drawing No]],1)</f>
        <v>0</v>
      </c>
      <c r="D1685" s="176" t="s">
        <v>2696</v>
      </c>
      <c r="E1685" s="16"/>
      <c r="F16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5" s="31"/>
      <c r="H1685" s="31"/>
      <c r="I1685" s="1">
        <f>COUNTA(ProductInfo[[#This Row],[P1]:[P15]])</f>
        <v>0</v>
      </c>
      <c r="J16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s="1" customFormat="1" ht="16.5" customHeight="1">
      <c r="A1686" s="8" t="s">
        <v>1787</v>
      </c>
      <c r="B1686" s="8" t="s">
        <v>1787</v>
      </c>
      <c r="C1686" s="1" t="str">
        <f>RIGHT(ProductInfo[[#This Row],[Drawing No]],1)</f>
        <v>1</v>
      </c>
      <c r="D1686" s="176" t="s">
        <v>2696</v>
      </c>
      <c r="E1686" s="16"/>
      <c r="F16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6" s="31"/>
      <c r="H1686" s="31"/>
      <c r="I1686" s="1">
        <f>COUNTA(ProductInfo[[#This Row],[P1]:[P15]])</f>
        <v>0</v>
      </c>
      <c r="J16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s="1" customFormat="1">
      <c r="A1687" s="8" t="s">
        <v>1788</v>
      </c>
      <c r="B1687" s="8" t="s">
        <v>1788</v>
      </c>
      <c r="C1687" s="1" t="str">
        <f>RIGHT(ProductInfo[[#This Row],[Drawing No]],1)</f>
        <v>2</v>
      </c>
      <c r="D1687" s="176" t="s">
        <v>2697</v>
      </c>
      <c r="E1687" s="16"/>
      <c r="F16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7" s="31"/>
      <c r="H1687" s="31"/>
      <c r="I1687" s="1">
        <f>COUNTA(ProductInfo[[#This Row],[P1]:[P15]])</f>
        <v>0</v>
      </c>
      <c r="J16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s="1" customFormat="1">
      <c r="A1688" s="8" t="s">
        <v>1789</v>
      </c>
      <c r="B1688" s="8" t="s">
        <v>1789</v>
      </c>
      <c r="C1688" s="1" t="str">
        <f>RIGHT(ProductInfo[[#This Row],[Drawing No]],1)</f>
        <v>3</v>
      </c>
      <c r="D1688" s="176" t="s">
        <v>1790</v>
      </c>
      <c r="E1688" s="16"/>
      <c r="F16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8" s="31"/>
      <c r="H1688" s="31"/>
      <c r="I1688" s="1">
        <f>COUNTA(ProductInfo[[#This Row],[P1]:[P15]])</f>
        <v>0</v>
      </c>
      <c r="J16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s="1" customFormat="1">
      <c r="A1689" s="8" t="s">
        <v>1791</v>
      </c>
      <c r="B1689" s="8" t="s">
        <v>1791</v>
      </c>
      <c r="C1689" s="1" t="str">
        <f>RIGHT(ProductInfo[[#This Row],[Drawing No]],1)</f>
        <v>0</v>
      </c>
      <c r="D1689" s="176" t="s">
        <v>1792</v>
      </c>
      <c r="E1689" s="16"/>
      <c r="F16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89" s="31"/>
      <c r="H1689" s="31"/>
      <c r="I1689" s="1">
        <f>COUNTA(ProductInfo[[#This Row],[P1]:[P15]])</f>
        <v>0</v>
      </c>
      <c r="J16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>
      <c r="A1690" s="8" t="s">
        <v>1793</v>
      </c>
      <c r="B1690" s="8" t="s">
        <v>1793</v>
      </c>
      <c r="C1690" s="1" t="str">
        <f>RIGHT(ProductInfo[[#This Row],[Drawing No]],1)</f>
        <v>1</v>
      </c>
      <c r="D1690" s="176" t="s">
        <v>2953</v>
      </c>
      <c r="E1690" s="16"/>
      <c r="F16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0" s="31"/>
      <c r="H1690" s="31"/>
      <c r="I1690" s="1">
        <f>COUNTA(ProductInfo[[#This Row],[P1]:[P15]])</f>
        <v>0</v>
      </c>
      <c r="J16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0" s="7"/>
      <c r="M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>
      <c r="A1691" s="15" t="s">
        <v>1794</v>
      </c>
      <c r="B1691" s="21" t="s">
        <v>1794</v>
      </c>
      <c r="C1691" s="1" t="str">
        <f>RIGHT(ProductInfo[[#This Row],[Drawing No]],1)</f>
        <v>1</v>
      </c>
      <c r="D1691" s="191" t="s">
        <v>1795</v>
      </c>
      <c r="E1691" s="16"/>
      <c r="F16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1" s="31"/>
      <c r="H1691" s="31"/>
      <c r="I1691" s="1">
        <f>COUNTA(ProductInfo[[#This Row],[P1]:[P15]])</f>
        <v>0</v>
      </c>
      <c r="J16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1" s="7"/>
      <c r="M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>
      <c r="A1692" s="15" t="s">
        <v>1796</v>
      </c>
      <c r="B1692" s="4" t="s">
        <v>1796</v>
      </c>
      <c r="C1692" s="1" t="str">
        <f>RIGHT(ProductInfo[[#This Row],[Drawing No]],1)</f>
        <v>2</v>
      </c>
      <c r="D1692" s="192" t="s">
        <v>1795</v>
      </c>
      <c r="E1692" s="16"/>
      <c r="F16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2" s="31"/>
      <c r="H1692" s="31"/>
      <c r="I1692" s="1">
        <f>COUNTA(ProductInfo[[#This Row],[P1]:[P15]])</f>
        <v>0</v>
      </c>
      <c r="J16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2" s="7"/>
      <c r="M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>
      <c r="A1693" s="15" t="s">
        <v>1797</v>
      </c>
      <c r="B1693" s="15" t="s">
        <v>1797</v>
      </c>
      <c r="C1693" s="1" t="str">
        <f>RIGHT(ProductInfo[[#This Row],[Drawing No]],1)</f>
        <v>0</v>
      </c>
      <c r="D1693" s="192" t="s">
        <v>3249</v>
      </c>
      <c r="E1693" s="16"/>
      <c r="F16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3" s="31"/>
      <c r="H1693" s="31"/>
      <c r="I1693" s="1">
        <f>COUNTA(ProductInfo[[#This Row],[P1]:[P15]])</f>
        <v>0</v>
      </c>
      <c r="J16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3" s="7"/>
      <c r="M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>
      <c r="A1694" s="15" t="s">
        <v>1798</v>
      </c>
      <c r="B1694" s="21" t="s">
        <v>1798</v>
      </c>
      <c r="C1694" s="2" t="str">
        <f>RIGHT(ProductInfo[[#This Row],[Drawing No]],1)</f>
        <v>0</v>
      </c>
      <c r="D1694" s="193" t="s">
        <v>3260</v>
      </c>
      <c r="E1694" s="18"/>
      <c r="F169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4" s="32"/>
      <c r="H1694" s="32"/>
      <c r="I1694" s="2">
        <f>COUNTA(ProductInfo[[#This Row],[P1]:[P15]])</f>
        <v>0</v>
      </c>
      <c r="J1694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4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4" s="7"/>
      <c r="T1694" s="7"/>
      <c r="U1694" s="7"/>
      <c r="V1694" s="7"/>
      <c r="W1694" s="7"/>
      <c r="X1694" s="7"/>
      <c r="Y1694" s="7"/>
      <c r="Z1694" s="7"/>
    </row>
    <row r="1695" spans="1:26">
      <c r="A1695" s="15" t="s">
        <v>1799</v>
      </c>
      <c r="B1695" s="21" t="s">
        <v>1799</v>
      </c>
      <c r="C1695" s="1" t="str">
        <f>RIGHT(ProductInfo[[#This Row],[Drawing No]],1)</f>
        <v>0</v>
      </c>
      <c r="D1695" s="191" t="s">
        <v>1800</v>
      </c>
      <c r="E1695" s="16"/>
      <c r="F16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5" s="31"/>
      <c r="H1695" s="31"/>
      <c r="I1695" s="1">
        <f>COUNTA(ProductInfo[[#This Row],[P1]:[P15]])</f>
        <v>0</v>
      </c>
      <c r="J16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5" s="7"/>
      <c r="M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>
      <c r="A1696" s="15" t="s">
        <v>1801</v>
      </c>
      <c r="B1696" s="21" t="s">
        <v>1801</v>
      </c>
      <c r="C1696" s="1" t="str">
        <f>RIGHT(ProductInfo[[#This Row],[Drawing No]],1)</f>
        <v>1</v>
      </c>
      <c r="D1696" s="191" t="s">
        <v>1802</v>
      </c>
      <c r="E1696" s="16"/>
      <c r="F16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6" s="31"/>
      <c r="H1696" s="31"/>
      <c r="I1696" s="1">
        <f>COUNTA(ProductInfo[[#This Row],[P1]:[P15]])</f>
        <v>0</v>
      </c>
      <c r="J16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6" s="7"/>
      <c r="M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>
      <c r="A1697" s="15" t="s">
        <v>1803</v>
      </c>
      <c r="B1697" s="21" t="s">
        <v>1803</v>
      </c>
      <c r="C1697" s="2" t="str">
        <f>RIGHT(ProductInfo[[#This Row],[Drawing No]],1)</f>
        <v>1</v>
      </c>
      <c r="D1697" s="191" t="s">
        <v>3261</v>
      </c>
      <c r="E1697" s="16"/>
      <c r="F16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7" s="31"/>
      <c r="H1697" s="31"/>
      <c r="I1697" s="2">
        <f>COUNTA(ProductInfo[[#This Row],[P1]:[P15]])</f>
        <v>0</v>
      </c>
      <c r="J1697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7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7" s="7"/>
      <c r="T1697" s="7"/>
      <c r="U1697" s="7"/>
      <c r="V1697" s="7"/>
      <c r="W1697" s="7"/>
      <c r="X1697" s="7"/>
      <c r="Y1697" s="7"/>
      <c r="Z1697" s="7"/>
    </row>
    <row r="1698" spans="1:26">
      <c r="A1698" s="15" t="s">
        <v>1804</v>
      </c>
      <c r="B1698" s="21" t="s">
        <v>1804</v>
      </c>
      <c r="C1698" s="2" t="str">
        <f>RIGHT(ProductInfo[[#This Row],[Drawing No]],1)</f>
        <v>2</v>
      </c>
      <c r="D1698" s="191" t="s">
        <v>3261</v>
      </c>
      <c r="E1698" s="16"/>
      <c r="F16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8" s="31"/>
      <c r="H1698" s="31"/>
      <c r="I1698" s="2">
        <f>COUNTA(ProductInfo[[#This Row],[P1]:[P15]])</f>
        <v>0</v>
      </c>
      <c r="J169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8" s="7"/>
      <c r="T1698" s="7"/>
      <c r="U1698" s="7"/>
      <c r="V1698" s="7"/>
      <c r="W1698" s="7"/>
      <c r="X1698" s="7"/>
      <c r="Y1698" s="7"/>
      <c r="Z1698" s="7"/>
    </row>
    <row r="1699" spans="1:26">
      <c r="A1699" s="15" t="s">
        <v>1805</v>
      </c>
      <c r="B1699" s="21" t="s">
        <v>1805</v>
      </c>
      <c r="C1699" s="1" t="str">
        <f>RIGHT(ProductInfo[[#This Row],[Drawing No]],1)</f>
        <v>0</v>
      </c>
      <c r="D1699" s="191" t="s">
        <v>3200</v>
      </c>
      <c r="E1699" s="16"/>
      <c r="F16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699" s="31"/>
      <c r="H1699" s="31"/>
      <c r="I1699" s="1">
        <f>COUNTA(ProductInfo[[#This Row],[P1]:[P15]])</f>
        <v>0</v>
      </c>
      <c r="J16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6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699" s="7"/>
      <c r="M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>
      <c r="A1700" s="15" t="s">
        <v>1806</v>
      </c>
      <c r="B1700" s="21" t="s">
        <v>3324</v>
      </c>
      <c r="C1700" s="1" t="str">
        <f>RIGHT(ProductInfo[[#This Row],[Drawing No]],1)</f>
        <v>0</v>
      </c>
      <c r="D1700" s="191" t="s">
        <v>2698</v>
      </c>
      <c r="E1700" t="s">
        <v>3459</v>
      </c>
      <c r="F1700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700" s="59">
        <v>83.5</v>
      </c>
      <c r="H1700" s="59">
        <v>100</v>
      </c>
      <c r="I1700" s="1">
        <f>COUNTA(ProductInfo[[#This Row],[P1]:[P15]])</f>
        <v>3</v>
      </c>
      <c r="J17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7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0" s="7" t="s">
        <v>12</v>
      </c>
      <c r="M1700" s="7" t="s">
        <v>13</v>
      </c>
      <c r="N1700" s="4" t="s">
        <v>14</v>
      </c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>
      <c r="A1701" s="34" t="s">
        <v>1807</v>
      </c>
      <c r="B1701" s="34" t="s">
        <v>3759</v>
      </c>
      <c r="C1701" s="1" t="str">
        <f>RIGHT(ProductInfo[[#This Row],[Drawing No]],1)</f>
        <v>0</v>
      </c>
      <c r="D1701" s="194" t="s">
        <v>2699</v>
      </c>
      <c r="E1701" s="18" t="s">
        <v>3459</v>
      </c>
      <c r="F1701" s="26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701" s="3">
        <v>57</v>
      </c>
      <c r="H1701" s="3">
        <v>100</v>
      </c>
      <c r="I1701" s="1">
        <f>COUNTA(ProductInfo[[#This Row],[P1]:[P15]])</f>
        <v>2</v>
      </c>
      <c r="J17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7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1" s="7" t="s">
        <v>12</v>
      </c>
      <c r="M1701" s="7" t="s">
        <v>13</v>
      </c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>
      <c r="A1702" s="15" t="s">
        <v>1808</v>
      </c>
      <c r="B1702" s="21" t="s">
        <v>1808</v>
      </c>
      <c r="C1702" s="1" t="str">
        <f>RIGHT(ProductInfo[[#This Row],[Drawing No]],1)</f>
        <v>0</v>
      </c>
      <c r="D1702" s="191" t="s">
        <v>2700</v>
      </c>
      <c r="E1702" s="16"/>
      <c r="F17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2" s="31"/>
      <c r="H1702" s="31"/>
      <c r="I1702" s="1">
        <f>COUNTA(ProductInfo[[#This Row],[P1]:[P15]])</f>
        <v>0</v>
      </c>
      <c r="J17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2" s="7"/>
      <c r="M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>
      <c r="A1703" s="15" t="s">
        <v>1809</v>
      </c>
      <c r="B1703" s="21" t="s">
        <v>1809</v>
      </c>
      <c r="C1703" s="1" t="str">
        <f>RIGHT(ProductInfo[[#This Row],[Drawing No]],1)</f>
        <v>2</v>
      </c>
      <c r="D1703" s="192" t="s">
        <v>2701</v>
      </c>
      <c r="E1703" s="16"/>
      <c r="F17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3" s="31"/>
      <c r="H1703" s="31"/>
      <c r="I1703" s="1">
        <f>COUNTA(ProductInfo[[#This Row],[P1]:[P15]])</f>
        <v>0</v>
      </c>
      <c r="J17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3" s="7"/>
      <c r="M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>
      <c r="A1704" s="15" t="s">
        <v>1810</v>
      </c>
      <c r="B1704" s="15" t="s">
        <v>1810</v>
      </c>
      <c r="C1704" s="1" t="str">
        <f>RIGHT(ProductInfo[[#This Row],[Drawing No]],1)</f>
        <v>3</v>
      </c>
      <c r="D1704" s="193" t="s">
        <v>3076</v>
      </c>
      <c r="E1704" s="18"/>
      <c r="F170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4" s="32"/>
      <c r="H1704" s="32"/>
      <c r="I1704" s="1">
        <f>COUNTA(ProductInfo[[#This Row],[P1]:[P15]])</f>
        <v>0</v>
      </c>
      <c r="J17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4" s="7"/>
      <c r="M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>
      <c r="A1705" s="15" t="s">
        <v>1811</v>
      </c>
      <c r="B1705" s="21" t="s">
        <v>5102</v>
      </c>
      <c r="C1705" s="1" t="str">
        <f>RIGHT(ProductInfo[[#This Row],[Drawing No]],1)</f>
        <v>0</v>
      </c>
      <c r="D1705" s="193" t="s">
        <v>2856</v>
      </c>
      <c r="E1705" s="18" t="s">
        <v>3529</v>
      </c>
      <c r="F1705" s="26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1705" s="3">
        <v>69</v>
      </c>
      <c r="H1705" s="3">
        <v>60</v>
      </c>
      <c r="I1705" s="1">
        <f>COUNTA(ProductInfo[[#This Row],[P1]:[P15]])</f>
        <v>2</v>
      </c>
      <c r="J17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7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5" s="7" t="s">
        <v>12</v>
      </c>
      <c r="M1705" s="7" t="s">
        <v>13</v>
      </c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>
      <c r="A1706" s="15" t="s">
        <v>1812</v>
      </c>
      <c r="B1706" s="8" t="s">
        <v>1812</v>
      </c>
      <c r="C1706" s="1" t="str">
        <f>RIGHT(ProductInfo[[#This Row],[Drawing No]],1)</f>
        <v>0</v>
      </c>
      <c r="D1706" s="176" t="s">
        <v>2702</v>
      </c>
      <c r="E1706" s="16"/>
      <c r="F17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6" s="31"/>
      <c r="H1706" s="31"/>
      <c r="I1706" s="1">
        <f>COUNTA(ProductInfo[[#This Row],[P1]:[P15]])</f>
        <v>0</v>
      </c>
      <c r="J17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6" s="7"/>
      <c r="M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>
      <c r="A1707" s="15" t="s">
        <v>1813</v>
      </c>
      <c r="B1707" s="8" t="s">
        <v>1813</v>
      </c>
      <c r="C1707" s="1" t="str">
        <f>RIGHT(ProductInfo[[#This Row],[Drawing No]],1)</f>
        <v>0</v>
      </c>
      <c r="D1707" s="179" t="s">
        <v>3077</v>
      </c>
      <c r="E1707" s="18"/>
      <c r="F170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7" s="32"/>
      <c r="H1707" s="32"/>
      <c r="I1707" s="1">
        <f>COUNTA(ProductInfo[[#This Row],[P1]:[P15]])</f>
        <v>0</v>
      </c>
      <c r="J17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7" s="7"/>
      <c r="M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>
      <c r="A1708" s="15" t="s">
        <v>1814</v>
      </c>
      <c r="B1708" s="8" t="s">
        <v>1814</v>
      </c>
      <c r="C1708" s="1" t="str">
        <f>RIGHT(ProductInfo[[#This Row],[Drawing No]],1)</f>
        <v>0</v>
      </c>
      <c r="D1708" s="176" t="s">
        <v>2703</v>
      </c>
      <c r="E1708" s="16"/>
      <c r="F17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8" s="31"/>
      <c r="H1708" s="31"/>
      <c r="I1708" s="1">
        <f>COUNTA(ProductInfo[[#This Row],[P1]:[P15]])</f>
        <v>0</v>
      </c>
      <c r="J17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8" s="7"/>
      <c r="M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>
      <c r="A1709" s="15" t="s">
        <v>1815</v>
      </c>
      <c r="B1709" s="21" t="s">
        <v>1815</v>
      </c>
      <c r="C1709" s="1" t="str">
        <f>RIGHT(ProductInfo[[#This Row],[Drawing No]],1)</f>
        <v>0</v>
      </c>
      <c r="D1709" s="191" t="s">
        <v>1816</v>
      </c>
      <c r="E1709" s="16"/>
      <c r="F17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09" s="31"/>
      <c r="H1709" s="31"/>
      <c r="I1709" s="1">
        <f>COUNTA(ProductInfo[[#This Row],[P1]:[P15]])</f>
        <v>0</v>
      </c>
      <c r="J17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09" s="7"/>
      <c r="M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s="1" customFormat="1">
      <c r="A1710" s="15" t="s">
        <v>1817</v>
      </c>
      <c r="B1710" s="21" t="s">
        <v>1817</v>
      </c>
      <c r="C1710" s="1" t="str">
        <f>RIGHT(ProductInfo[[#This Row],[Drawing No]],1)</f>
        <v>0</v>
      </c>
      <c r="D1710" s="193" t="s">
        <v>1818</v>
      </c>
      <c r="E1710" s="18"/>
      <c r="F171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0" s="32"/>
      <c r="H1710" s="32"/>
      <c r="I1710" s="1">
        <f>COUNTA(ProductInfo[[#This Row],[P1]:[P15]])</f>
        <v>0</v>
      </c>
      <c r="J17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s="1" customFormat="1">
      <c r="A1711" s="15" t="s">
        <v>1819</v>
      </c>
      <c r="B1711" s="21" t="s">
        <v>1819</v>
      </c>
      <c r="C1711" s="1" t="str">
        <f>RIGHT(ProductInfo[[#This Row],[Drawing No]],1)</f>
        <v>0</v>
      </c>
      <c r="D1711" s="191" t="s">
        <v>1820</v>
      </c>
      <c r="E1711" s="16"/>
      <c r="F17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1" s="31"/>
      <c r="H1711" s="31"/>
      <c r="I1711" s="1">
        <f>COUNTA(ProductInfo[[#This Row],[P1]:[P15]])</f>
        <v>0</v>
      </c>
      <c r="J17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>
      <c r="A1712" s="15" t="s">
        <v>4669</v>
      </c>
      <c r="B1712" s="8" t="s">
        <v>4668</v>
      </c>
      <c r="C1712" s="2" t="str">
        <f>RIGHT(ProductInfo[[#This Row],[Drawing No]],1)</f>
        <v>0</v>
      </c>
      <c r="D1712" s="176" t="s">
        <v>4670</v>
      </c>
      <c r="E1712" s="16" t="s">
        <v>3459</v>
      </c>
      <c r="F1712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712" s="59">
        <v>25</v>
      </c>
      <c r="H1712" s="59">
        <v>100</v>
      </c>
      <c r="I1712" s="1">
        <f>COUNTA(ProductInfo[[#This Row],[P1]:[P15]])</f>
        <v>2</v>
      </c>
      <c r="J17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7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2" s="7" t="s">
        <v>12</v>
      </c>
      <c r="M1712" s="7" t="s">
        <v>13</v>
      </c>
    </row>
    <row r="1713" spans="1:26">
      <c r="A1713" s="15" t="s">
        <v>1821</v>
      </c>
      <c r="B1713" s="21" t="s">
        <v>1821</v>
      </c>
      <c r="C1713" s="1" t="str">
        <f>RIGHT(ProductInfo[[#This Row],[Drawing No]],1)</f>
        <v>3</v>
      </c>
      <c r="D1713" s="191" t="s">
        <v>1822</v>
      </c>
      <c r="E1713" s="16"/>
      <c r="F17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3" s="31"/>
      <c r="H1713" s="31"/>
      <c r="I1713" s="1">
        <f>COUNTA(ProductInfo[[#This Row],[P1]:[P15]])</f>
        <v>0</v>
      </c>
      <c r="J17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3" s="7"/>
      <c r="M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>
      <c r="A1714" s="15" t="s">
        <v>1823</v>
      </c>
      <c r="B1714" s="8" t="s">
        <v>1823</v>
      </c>
      <c r="C1714" s="1" t="str">
        <f>RIGHT(ProductInfo[[#This Row],[Drawing No]],1)</f>
        <v>3</v>
      </c>
      <c r="D1714" s="176" t="s">
        <v>1824</v>
      </c>
      <c r="E1714" s="16"/>
      <c r="F17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4" s="31"/>
      <c r="H1714" s="31"/>
      <c r="I1714" s="1">
        <f>COUNTA(ProductInfo[[#This Row],[P1]:[P15]])</f>
        <v>0</v>
      </c>
      <c r="J17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4" s="7"/>
      <c r="M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>
      <c r="A1715" s="15" t="s">
        <v>1825</v>
      </c>
      <c r="B1715" s="8" t="s">
        <v>1825</v>
      </c>
      <c r="C1715" s="1" t="str">
        <f>RIGHT(ProductInfo[[#This Row],[Drawing No]],1)</f>
        <v>1</v>
      </c>
      <c r="D1715" s="176" t="s">
        <v>1826</v>
      </c>
      <c r="E1715" s="16"/>
      <c r="F17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5" s="31"/>
      <c r="H1715" s="31"/>
      <c r="I1715" s="1">
        <f>COUNTA(ProductInfo[[#This Row],[P1]:[P15]])</f>
        <v>0</v>
      </c>
      <c r="J17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5" s="7"/>
      <c r="M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>
      <c r="A1716" s="15" t="s">
        <v>1827</v>
      </c>
      <c r="B1716" s="8" t="s">
        <v>1827</v>
      </c>
      <c r="C1716" s="1" t="str">
        <f>RIGHT(ProductInfo[[#This Row],[Drawing No]],1)</f>
        <v>3</v>
      </c>
      <c r="D1716" s="176" t="s">
        <v>1828</v>
      </c>
      <c r="E1716" s="16"/>
      <c r="F17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6" s="31"/>
      <c r="H1716" s="31"/>
      <c r="I1716" s="1">
        <f>COUNTA(ProductInfo[[#This Row],[P1]:[P15]])</f>
        <v>0</v>
      </c>
      <c r="J17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6" s="7"/>
      <c r="M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>
      <c r="A1717" s="15" t="s">
        <v>1829</v>
      </c>
      <c r="B1717" s="8" t="s">
        <v>1829</v>
      </c>
      <c r="C1717" s="1" t="str">
        <f>RIGHT(ProductInfo[[#This Row],[Drawing No]],1)</f>
        <v>3</v>
      </c>
      <c r="D1717" s="176" t="s">
        <v>1830</v>
      </c>
      <c r="E1717" s="16"/>
      <c r="F17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7" s="31"/>
      <c r="H1717" s="31"/>
      <c r="I1717" s="1">
        <f>COUNTA(ProductInfo[[#This Row],[P1]:[P15]])</f>
        <v>0</v>
      </c>
      <c r="J17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7" s="7"/>
      <c r="M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>
      <c r="A1718" s="15" t="s">
        <v>1831</v>
      </c>
      <c r="B1718" s="8" t="s">
        <v>1831</v>
      </c>
      <c r="C1718" s="1" t="str">
        <f>RIGHT(ProductInfo[[#This Row],[Drawing No]],1)</f>
        <v>3</v>
      </c>
      <c r="D1718" s="176" t="s">
        <v>1832</v>
      </c>
      <c r="E1718" s="16"/>
      <c r="F17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8" s="31"/>
      <c r="H1718" s="31"/>
      <c r="I1718" s="1">
        <f>COUNTA(ProductInfo[[#This Row],[P1]:[P15]])</f>
        <v>0</v>
      </c>
      <c r="J17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8" s="7"/>
      <c r="M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>
      <c r="A1719" s="15" t="s">
        <v>1833</v>
      </c>
      <c r="B1719" s="8" t="s">
        <v>1833</v>
      </c>
      <c r="C1719" s="1" t="str">
        <f>RIGHT(ProductInfo[[#This Row],[Drawing No]],1)</f>
        <v>3</v>
      </c>
      <c r="D1719" s="176" t="s">
        <v>1834</v>
      </c>
      <c r="E1719" s="16"/>
      <c r="F17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19" s="31"/>
      <c r="H1719" s="31"/>
      <c r="I1719" s="1">
        <f>COUNTA(ProductInfo[[#This Row],[P1]:[P15]])</f>
        <v>0</v>
      </c>
      <c r="J17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19" s="7"/>
      <c r="M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>
      <c r="A1720" s="8" t="s">
        <v>1835</v>
      </c>
      <c r="B1720" s="8" t="s">
        <v>1835</v>
      </c>
      <c r="C1720" s="1" t="str">
        <f>RIGHT(ProductInfo[[#This Row],[Drawing No]],1)</f>
        <v>3</v>
      </c>
      <c r="D1720" s="176" t="s">
        <v>1836</v>
      </c>
      <c r="E1720" s="16"/>
      <c r="F17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0" s="31"/>
      <c r="H1720" s="31"/>
      <c r="I1720" s="1">
        <f>COUNTA(ProductInfo[[#This Row],[P1]:[P15]])</f>
        <v>0</v>
      </c>
      <c r="J17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0" s="7"/>
      <c r="M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>
      <c r="A1721" s="15" t="s">
        <v>1837</v>
      </c>
      <c r="B1721" s="21" t="s">
        <v>1837</v>
      </c>
      <c r="C1721" s="1" t="str">
        <f>RIGHT(ProductInfo[[#This Row],[Drawing No]],1)</f>
        <v>3</v>
      </c>
      <c r="D1721" s="191" t="s">
        <v>1838</v>
      </c>
      <c r="E1721" s="16"/>
      <c r="F17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1" s="31"/>
      <c r="H1721" s="31"/>
      <c r="I1721" s="1">
        <f>COUNTA(ProductInfo[[#This Row],[P1]:[P15]])</f>
        <v>0</v>
      </c>
      <c r="J17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1" s="4"/>
      <c r="M1721" s="7"/>
      <c r="R1721" s="7"/>
      <c r="S1721" s="7"/>
    </row>
    <row r="1722" spans="1:26">
      <c r="A1722" s="15" t="s">
        <v>1839</v>
      </c>
      <c r="B1722" s="21" t="s">
        <v>1839</v>
      </c>
      <c r="C1722" s="1" t="str">
        <f>RIGHT(ProductInfo[[#This Row],[Drawing No]],1)</f>
        <v>3</v>
      </c>
      <c r="D1722" s="191" t="s">
        <v>1840</v>
      </c>
      <c r="E1722" s="16"/>
      <c r="F17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2" s="31"/>
      <c r="H1722" s="31"/>
      <c r="I1722" s="1">
        <f>COUNTA(ProductInfo[[#This Row],[P1]:[P15]])</f>
        <v>0</v>
      </c>
      <c r="J17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2" s="4"/>
      <c r="M1722" s="7"/>
      <c r="R1722" s="7"/>
      <c r="S1722" s="7"/>
    </row>
    <row r="1723" spans="1:26">
      <c r="A1723" s="15" t="s">
        <v>1841</v>
      </c>
      <c r="B1723" s="21" t="s">
        <v>1841</v>
      </c>
      <c r="C1723" s="1" t="str">
        <f>RIGHT(ProductInfo[[#This Row],[Drawing No]],1)</f>
        <v>3</v>
      </c>
      <c r="D1723" s="191" t="s">
        <v>1842</v>
      </c>
      <c r="E1723" s="16"/>
      <c r="F17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3" s="31"/>
      <c r="H1723" s="31"/>
      <c r="I1723" s="1">
        <f>COUNTA(ProductInfo[[#This Row],[P1]:[P15]])</f>
        <v>0</v>
      </c>
      <c r="J17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3" s="7"/>
      <c r="M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>
      <c r="A1724" s="15" t="s">
        <v>1843</v>
      </c>
      <c r="B1724" s="21" t="s">
        <v>1843</v>
      </c>
      <c r="C1724" s="1" t="str">
        <f>RIGHT(ProductInfo[[#This Row],[Drawing No]],1)</f>
        <v>3</v>
      </c>
      <c r="D1724" s="191" t="s">
        <v>1844</v>
      </c>
      <c r="E1724" s="16"/>
      <c r="F17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4" s="31"/>
      <c r="H1724" s="31"/>
      <c r="I1724" s="1">
        <f>COUNTA(ProductInfo[[#This Row],[P1]:[P15]])</f>
        <v>0</v>
      </c>
      <c r="J17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4" s="7"/>
      <c r="M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>
      <c r="A1725" s="15" t="s">
        <v>1845</v>
      </c>
      <c r="B1725" s="21" t="s">
        <v>1845</v>
      </c>
      <c r="C1725" s="1" t="str">
        <f>RIGHT(ProductInfo[[#This Row],[Drawing No]],1)</f>
        <v>3</v>
      </c>
      <c r="D1725" s="191" t="s">
        <v>1846</v>
      </c>
      <c r="E1725" s="16"/>
      <c r="F17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5" s="31"/>
      <c r="H1725" s="31"/>
      <c r="I1725" s="1">
        <f>COUNTA(ProductInfo[[#This Row],[P1]:[P15]])</f>
        <v>0</v>
      </c>
      <c r="J17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5" s="7"/>
      <c r="M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>
      <c r="A1726" s="15" t="s">
        <v>1847</v>
      </c>
      <c r="B1726" s="21" t="s">
        <v>1847</v>
      </c>
      <c r="C1726" s="1" t="str">
        <f>RIGHT(ProductInfo[[#This Row],[Drawing No]],1)</f>
        <v>3</v>
      </c>
      <c r="D1726" s="191" t="s">
        <v>1848</v>
      </c>
      <c r="E1726" s="16"/>
      <c r="F17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6" s="31"/>
      <c r="H1726" s="31"/>
      <c r="I1726" s="1">
        <f>COUNTA(ProductInfo[[#This Row],[P1]:[P15]])</f>
        <v>0</v>
      </c>
      <c r="J17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6" s="7"/>
      <c r="M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>
      <c r="A1727" s="15" t="s">
        <v>1849</v>
      </c>
      <c r="B1727" s="21" t="s">
        <v>1849</v>
      </c>
      <c r="C1727" s="1" t="str">
        <f>RIGHT(ProductInfo[[#This Row],[Drawing No]],1)</f>
        <v>3</v>
      </c>
      <c r="D1727" s="191" t="s">
        <v>1850</v>
      </c>
      <c r="E1727" s="16"/>
      <c r="F17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7" s="31"/>
      <c r="H1727" s="31"/>
      <c r="I1727" s="1">
        <f>COUNTA(ProductInfo[[#This Row],[P1]:[P15]])</f>
        <v>0</v>
      </c>
      <c r="J17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7" s="7"/>
      <c r="M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>
      <c r="A1728" s="15" t="s">
        <v>1851</v>
      </c>
      <c r="B1728" s="21" t="s">
        <v>1851</v>
      </c>
      <c r="C1728" s="1" t="str">
        <f>RIGHT(ProductInfo[[#This Row],[Drawing No]],1)</f>
        <v>1</v>
      </c>
      <c r="D1728" s="191" t="s">
        <v>1852</v>
      </c>
      <c r="E1728" s="16"/>
      <c r="F17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8" s="31"/>
      <c r="H1728" s="31"/>
      <c r="I1728" s="1">
        <f>COUNTA(ProductInfo[[#This Row],[P1]:[P15]])</f>
        <v>0</v>
      </c>
      <c r="J17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8" s="7"/>
      <c r="M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>
      <c r="A1729" s="15" t="s">
        <v>1853</v>
      </c>
      <c r="B1729" s="21" t="s">
        <v>1853</v>
      </c>
      <c r="C1729" s="1" t="str">
        <f>RIGHT(ProductInfo[[#This Row],[Drawing No]],1)</f>
        <v>1</v>
      </c>
      <c r="D1729" s="191" t="s">
        <v>1854</v>
      </c>
      <c r="E1729" s="16"/>
      <c r="F17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29" s="31"/>
      <c r="H1729" s="31"/>
      <c r="I1729" s="1">
        <f>COUNTA(ProductInfo[[#This Row],[P1]:[P15]])</f>
        <v>0</v>
      </c>
      <c r="J17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29" s="7"/>
      <c r="M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>
      <c r="A1730" s="15" t="s">
        <v>1855</v>
      </c>
      <c r="B1730" s="21" t="s">
        <v>1855</v>
      </c>
      <c r="C1730" s="1" t="str">
        <f>RIGHT(ProductInfo[[#This Row],[Drawing No]],1)</f>
        <v>1</v>
      </c>
      <c r="D1730" s="191" t="s">
        <v>1856</v>
      </c>
      <c r="E1730" s="16"/>
      <c r="F17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0" s="31"/>
      <c r="H1730" s="31"/>
      <c r="I1730" s="1">
        <f>COUNTA(ProductInfo[[#This Row],[P1]:[P15]])</f>
        <v>0</v>
      </c>
      <c r="J17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0" s="7"/>
      <c r="M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>
      <c r="A1731" s="15" t="s">
        <v>1857</v>
      </c>
      <c r="B1731" s="21" t="s">
        <v>1857</v>
      </c>
      <c r="C1731" s="1" t="str">
        <f>RIGHT(ProductInfo[[#This Row],[Drawing No]],1)</f>
        <v>3</v>
      </c>
      <c r="D1731" s="191" t="s">
        <v>1858</v>
      </c>
      <c r="E1731" s="16"/>
      <c r="F17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1" s="31"/>
      <c r="H1731" s="31"/>
      <c r="I1731" s="1">
        <f>COUNTA(ProductInfo[[#This Row],[P1]:[P15]])</f>
        <v>0</v>
      </c>
      <c r="J17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1" s="7"/>
      <c r="M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>
      <c r="A1732" s="15" t="s">
        <v>1859</v>
      </c>
      <c r="B1732" s="21" t="s">
        <v>1859</v>
      </c>
      <c r="C1732" s="1" t="str">
        <f>RIGHT(ProductInfo[[#This Row],[Drawing No]],1)</f>
        <v>3</v>
      </c>
      <c r="D1732" s="191" t="s">
        <v>1860</v>
      </c>
      <c r="E1732" s="16"/>
      <c r="F17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2" s="31"/>
      <c r="H1732" s="31"/>
      <c r="I1732" s="1">
        <f>COUNTA(ProductInfo[[#This Row],[P1]:[P15]])</f>
        <v>0</v>
      </c>
      <c r="J17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2" s="7"/>
      <c r="M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>
      <c r="A1733" s="15" t="s">
        <v>1861</v>
      </c>
      <c r="B1733" s="21" t="s">
        <v>1861</v>
      </c>
      <c r="C1733" s="1" t="str">
        <f>RIGHT(ProductInfo[[#This Row],[Drawing No]],1)</f>
        <v>3</v>
      </c>
      <c r="D1733" s="191" t="s">
        <v>1862</v>
      </c>
      <c r="E1733" s="16"/>
      <c r="F17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3" s="31"/>
      <c r="H1733" s="31"/>
      <c r="I1733" s="1">
        <f>COUNTA(ProductInfo[[#This Row],[P1]:[P15]])</f>
        <v>0</v>
      </c>
      <c r="J17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3" s="7"/>
      <c r="M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>
      <c r="A1734" s="15" t="s">
        <v>1863</v>
      </c>
      <c r="B1734" s="21" t="s">
        <v>1863</v>
      </c>
      <c r="C1734" s="1" t="str">
        <f>RIGHT(ProductInfo[[#This Row],[Drawing No]],1)</f>
        <v>3</v>
      </c>
      <c r="D1734" s="191" t="s">
        <v>1864</v>
      </c>
      <c r="E1734" s="16"/>
      <c r="F17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4" s="31"/>
      <c r="H1734" s="31"/>
      <c r="I1734" s="1">
        <f>COUNTA(ProductInfo[[#This Row],[P1]:[P15]])</f>
        <v>0</v>
      </c>
      <c r="J17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4" s="7"/>
      <c r="M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>
      <c r="A1735" s="15" t="s">
        <v>1865</v>
      </c>
      <c r="B1735" s="21" t="s">
        <v>1865</v>
      </c>
      <c r="C1735" s="1" t="str">
        <f>RIGHT(ProductInfo[[#This Row],[Drawing No]],1)</f>
        <v>3</v>
      </c>
      <c r="D1735" s="191" t="s">
        <v>1866</v>
      </c>
      <c r="E1735" s="16"/>
      <c r="F17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5" s="31"/>
      <c r="H1735" s="31"/>
      <c r="I1735" s="1">
        <f>COUNTA(ProductInfo[[#This Row],[P1]:[P15]])</f>
        <v>0</v>
      </c>
      <c r="J17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5" s="7"/>
      <c r="M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>
      <c r="A1736" s="15" t="s">
        <v>1867</v>
      </c>
      <c r="B1736" s="21" t="s">
        <v>1867</v>
      </c>
      <c r="C1736" s="1" t="str">
        <f>RIGHT(ProductInfo[[#This Row],[Drawing No]],1)</f>
        <v>3</v>
      </c>
      <c r="D1736" s="191" t="s">
        <v>1868</v>
      </c>
      <c r="E1736" s="16"/>
      <c r="F17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6" s="31"/>
      <c r="H1736" s="31"/>
      <c r="I1736" s="1">
        <f>COUNTA(ProductInfo[[#This Row],[P1]:[P15]])</f>
        <v>0</v>
      </c>
      <c r="J17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6" s="7"/>
      <c r="M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>
      <c r="A1737" s="15" t="s">
        <v>1869</v>
      </c>
      <c r="B1737" s="8" t="s">
        <v>1869</v>
      </c>
      <c r="C1737" s="1" t="str">
        <f>RIGHT(ProductInfo[[#This Row],[Drawing No]],1)</f>
        <v>3</v>
      </c>
      <c r="D1737" s="176" t="s">
        <v>1870</v>
      </c>
      <c r="E1737" s="16"/>
      <c r="F17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7" s="31"/>
      <c r="H1737" s="31"/>
      <c r="I1737" s="1">
        <f>COUNTA(ProductInfo[[#This Row],[P1]:[P15]])</f>
        <v>0</v>
      </c>
      <c r="J17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7" s="7"/>
      <c r="M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>
      <c r="A1738" s="15" t="s">
        <v>1871</v>
      </c>
      <c r="B1738" s="21" t="s">
        <v>1871</v>
      </c>
      <c r="C1738" s="1" t="str">
        <f>RIGHT(ProductInfo[[#This Row],[Drawing No]],1)</f>
        <v>3</v>
      </c>
      <c r="D1738" s="191" t="s">
        <v>1872</v>
      </c>
      <c r="E1738" s="16"/>
      <c r="F17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8" s="31"/>
      <c r="H1738" s="31"/>
      <c r="I1738" s="1">
        <f>COUNTA(ProductInfo[[#This Row],[P1]:[P15]])</f>
        <v>0</v>
      </c>
      <c r="J17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8" s="7"/>
      <c r="M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>
      <c r="A1739" s="15" t="s">
        <v>1873</v>
      </c>
      <c r="B1739" s="21" t="s">
        <v>1873</v>
      </c>
      <c r="C1739" s="1" t="str">
        <f>RIGHT(ProductInfo[[#This Row],[Drawing No]],1)</f>
        <v>3</v>
      </c>
      <c r="D1739" s="191" t="s">
        <v>1874</v>
      </c>
      <c r="E1739" s="16"/>
      <c r="F17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39" s="31"/>
      <c r="H1739" s="31"/>
      <c r="I1739" s="1">
        <f>COUNTA(ProductInfo[[#This Row],[P1]:[P15]])</f>
        <v>0</v>
      </c>
      <c r="J17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39" s="7"/>
      <c r="M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>
      <c r="A1740" s="15" t="s">
        <v>1875</v>
      </c>
      <c r="B1740" s="21" t="s">
        <v>1875</v>
      </c>
      <c r="C1740" s="1" t="str">
        <f>RIGHT(ProductInfo[[#This Row],[Drawing No]],1)</f>
        <v>3</v>
      </c>
      <c r="D1740" s="191" t="s">
        <v>1876</v>
      </c>
      <c r="E1740" s="16"/>
      <c r="F17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0" s="31"/>
      <c r="H1740" s="31"/>
      <c r="I1740" s="1">
        <f>COUNTA(ProductInfo[[#This Row],[P1]:[P15]])</f>
        <v>0</v>
      </c>
      <c r="J17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0" s="7"/>
      <c r="M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>
      <c r="A1741" s="15" t="s">
        <v>1877</v>
      </c>
      <c r="B1741" s="21" t="s">
        <v>1877</v>
      </c>
      <c r="C1741" s="1" t="str">
        <f>RIGHT(ProductInfo[[#This Row],[Drawing No]],1)</f>
        <v>3</v>
      </c>
      <c r="D1741" s="191" t="s">
        <v>1878</v>
      </c>
      <c r="E1741" s="16"/>
      <c r="F17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1" s="31"/>
      <c r="H1741" s="31"/>
      <c r="I1741" s="1">
        <f>COUNTA(ProductInfo[[#This Row],[P1]:[P15]])</f>
        <v>0</v>
      </c>
      <c r="J17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1" s="7"/>
      <c r="M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>
      <c r="A1742" s="15" t="s">
        <v>1879</v>
      </c>
      <c r="B1742" s="21" t="s">
        <v>1879</v>
      </c>
      <c r="C1742" s="1" t="str">
        <f>RIGHT(ProductInfo[[#This Row],[Drawing No]],1)</f>
        <v>3</v>
      </c>
      <c r="D1742" s="191" t="s">
        <v>1880</v>
      </c>
      <c r="E1742" s="16"/>
      <c r="F17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2" s="31"/>
      <c r="H1742" s="31"/>
      <c r="I1742" s="1">
        <f>COUNTA(ProductInfo[[#This Row],[P1]:[P15]])</f>
        <v>0</v>
      </c>
      <c r="J17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2" s="7"/>
      <c r="M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>
      <c r="A1743" s="15" t="s">
        <v>1881</v>
      </c>
      <c r="B1743" s="21" t="s">
        <v>1881</v>
      </c>
      <c r="C1743" s="1" t="str">
        <f>RIGHT(ProductInfo[[#This Row],[Drawing No]],1)</f>
        <v>3</v>
      </c>
      <c r="D1743" s="191" t="s">
        <v>1882</v>
      </c>
      <c r="E1743" s="16"/>
      <c r="F17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3" s="31"/>
      <c r="H1743" s="31"/>
      <c r="I1743" s="1">
        <f>COUNTA(ProductInfo[[#This Row],[P1]:[P15]])</f>
        <v>0</v>
      </c>
      <c r="J17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3" s="7"/>
      <c r="M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>
      <c r="A1744" s="54" t="s">
        <v>1883</v>
      </c>
      <c r="B1744" s="8" t="s">
        <v>1883</v>
      </c>
      <c r="C1744" s="1" t="str">
        <f>RIGHT(ProductInfo[[#This Row],[Drawing No]],1)</f>
        <v>3</v>
      </c>
      <c r="D1744" s="174" t="s">
        <v>1884</v>
      </c>
      <c r="E1744" s="16"/>
      <c r="F17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4" s="31"/>
      <c r="H1744" s="31"/>
      <c r="I1744" s="1">
        <f>COUNTA(ProductInfo[[#This Row],[P1]:[P15]])</f>
        <v>0</v>
      </c>
      <c r="J17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4" s="7"/>
      <c r="M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>
      <c r="A1745" s="54" t="s">
        <v>1885</v>
      </c>
      <c r="B1745" s="8" t="s">
        <v>1885</v>
      </c>
      <c r="C1745" s="1" t="str">
        <f>RIGHT(ProductInfo[[#This Row],[Drawing No]],1)</f>
        <v>1</v>
      </c>
      <c r="D1745" s="174" t="s">
        <v>1886</v>
      </c>
      <c r="E1745" s="16"/>
      <c r="F17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5" s="31"/>
      <c r="H1745" s="31"/>
      <c r="I1745" s="1">
        <f>COUNTA(ProductInfo[[#This Row],[P1]:[P15]])</f>
        <v>0</v>
      </c>
      <c r="J17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5" s="7"/>
      <c r="M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>
      <c r="A1746" s="54" t="s">
        <v>1887</v>
      </c>
      <c r="B1746" s="8" t="s">
        <v>1887</v>
      </c>
      <c r="C1746" s="1" t="str">
        <f>RIGHT(ProductInfo[[#This Row],[Drawing No]],1)</f>
        <v>1</v>
      </c>
      <c r="D1746" s="174" t="s">
        <v>1888</v>
      </c>
      <c r="E1746" s="16"/>
      <c r="F17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6" s="31"/>
      <c r="H1746" s="31"/>
      <c r="I1746" s="1">
        <f>COUNTA(ProductInfo[[#This Row],[P1]:[P15]])</f>
        <v>0</v>
      </c>
      <c r="J17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6" s="7"/>
      <c r="M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>
      <c r="A1747" s="54" t="s">
        <v>1889</v>
      </c>
      <c r="B1747" s="8" t="s">
        <v>1889</v>
      </c>
      <c r="C1747" s="1" t="str">
        <f>RIGHT(ProductInfo[[#This Row],[Drawing No]],1)</f>
        <v>1</v>
      </c>
      <c r="D1747" s="174" t="s">
        <v>1890</v>
      </c>
      <c r="E1747" s="16"/>
      <c r="F17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7" s="31"/>
      <c r="H1747" s="31"/>
      <c r="I1747" s="1">
        <f>COUNTA(ProductInfo[[#This Row],[P1]:[P15]])</f>
        <v>0</v>
      </c>
      <c r="J17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7" s="7"/>
      <c r="M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>
      <c r="A1748" s="54" t="s">
        <v>1891</v>
      </c>
      <c r="B1748" s="8" t="s">
        <v>1891</v>
      </c>
      <c r="C1748" s="1" t="str">
        <f>RIGHT(ProductInfo[[#This Row],[Drawing No]],1)</f>
        <v>3</v>
      </c>
      <c r="D1748" s="174" t="s">
        <v>1892</v>
      </c>
      <c r="E1748" s="16"/>
      <c r="F17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8" s="31"/>
      <c r="H1748" s="31"/>
      <c r="I1748" s="1">
        <f>COUNTA(ProductInfo[[#This Row],[P1]:[P15]])</f>
        <v>0</v>
      </c>
      <c r="J17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8" s="7"/>
      <c r="M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>
      <c r="A1749" s="54" t="s">
        <v>1893</v>
      </c>
      <c r="B1749" s="8" t="s">
        <v>1893</v>
      </c>
      <c r="C1749" s="1" t="str">
        <f>RIGHT(ProductInfo[[#This Row],[Drawing No]],1)</f>
        <v>3</v>
      </c>
      <c r="D1749" s="174" t="s">
        <v>1894</v>
      </c>
      <c r="E1749" s="16"/>
      <c r="F17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49" s="31"/>
      <c r="H1749" s="31"/>
      <c r="I1749" s="1">
        <f>COUNTA(ProductInfo[[#This Row],[P1]:[P15]])</f>
        <v>0</v>
      </c>
      <c r="J17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49" s="7"/>
      <c r="M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>
      <c r="A1750" s="54" t="s">
        <v>1895</v>
      </c>
      <c r="B1750" s="8" t="s">
        <v>1895</v>
      </c>
      <c r="C1750" s="1" t="str">
        <f>RIGHT(ProductInfo[[#This Row],[Drawing No]],1)</f>
        <v>3</v>
      </c>
      <c r="D1750" s="174" t="s">
        <v>1896</v>
      </c>
      <c r="E1750" s="16"/>
      <c r="F17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0" s="31"/>
      <c r="H1750" s="31"/>
      <c r="I1750" s="1">
        <f>COUNTA(ProductInfo[[#This Row],[P1]:[P15]])</f>
        <v>0</v>
      </c>
      <c r="J17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0" s="7"/>
      <c r="M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>
      <c r="A1751" s="54" t="s">
        <v>1897</v>
      </c>
      <c r="B1751" s="8" t="s">
        <v>1897</v>
      </c>
      <c r="C1751" s="1" t="str">
        <f>RIGHT(ProductInfo[[#This Row],[Drawing No]],1)</f>
        <v>3</v>
      </c>
      <c r="D1751" s="174" t="s">
        <v>1898</v>
      </c>
      <c r="E1751" s="16"/>
      <c r="F17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1" s="31"/>
      <c r="H1751" s="31"/>
      <c r="I1751" s="1">
        <f>COUNTA(ProductInfo[[#This Row],[P1]:[P15]])</f>
        <v>0</v>
      </c>
      <c r="J17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1" s="7"/>
      <c r="M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>
      <c r="A1752" s="54" t="s">
        <v>1899</v>
      </c>
      <c r="B1752" s="8" t="s">
        <v>1899</v>
      </c>
      <c r="C1752" s="1" t="str">
        <f>RIGHT(ProductInfo[[#This Row],[Drawing No]],1)</f>
        <v>3</v>
      </c>
      <c r="D1752" s="174" t="s">
        <v>1900</v>
      </c>
      <c r="E1752" s="16"/>
      <c r="F17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2" s="31"/>
      <c r="H1752" s="31"/>
      <c r="I1752" s="1">
        <f>COUNTA(ProductInfo[[#This Row],[P1]:[P15]])</f>
        <v>0</v>
      </c>
      <c r="J17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2" s="7"/>
      <c r="M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>
      <c r="A1753" s="15" t="s">
        <v>1901</v>
      </c>
      <c r="B1753" s="21" t="s">
        <v>1901</v>
      </c>
      <c r="C1753" s="1" t="str">
        <f>RIGHT(ProductInfo[[#This Row],[Drawing No]],1)</f>
        <v>3</v>
      </c>
      <c r="D1753" s="191" t="s">
        <v>1902</v>
      </c>
      <c r="E1753" s="16"/>
      <c r="F17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3" s="31"/>
      <c r="H1753" s="31"/>
      <c r="I1753" s="1">
        <f>COUNTA(ProductInfo[[#This Row],[P1]:[P15]])</f>
        <v>0</v>
      </c>
      <c r="J17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3" s="7"/>
      <c r="M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>
      <c r="A1754" s="15" t="s">
        <v>1903</v>
      </c>
      <c r="B1754" s="21" t="s">
        <v>1903</v>
      </c>
      <c r="C1754" s="1" t="str">
        <f>RIGHT(ProductInfo[[#This Row],[Drawing No]],1)</f>
        <v>3</v>
      </c>
      <c r="D1754" s="174" t="s">
        <v>1904</v>
      </c>
      <c r="E1754" s="16"/>
      <c r="F17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4" s="31"/>
      <c r="H1754" s="31"/>
      <c r="I1754" s="1">
        <f>COUNTA(ProductInfo[[#This Row],[P1]:[P15]])</f>
        <v>0</v>
      </c>
      <c r="J17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4" s="7"/>
      <c r="M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>
      <c r="A1755" s="54" t="s">
        <v>1905</v>
      </c>
      <c r="B1755" s="8" t="s">
        <v>1905</v>
      </c>
      <c r="C1755" s="1" t="str">
        <f>RIGHT(ProductInfo[[#This Row],[Drawing No]],1)</f>
        <v>1</v>
      </c>
      <c r="D1755" s="174" t="s">
        <v>1906</v>
      </c>
      <c r="E1755" s="16"/>
      <c r="F17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5" s="31"/>
      <c r="H1755" s="31"/>
      <c r="I1755" s="1">
        <f>COUNTA(ProductInfo[[#This Row],[P1]:[P15]])</f>
        <v>0</v>
      </c>
      <c r="J17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5" s="7"/>
      <c r="M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>
      <c r="A1756" s="54" t="s">
        <v>1907</v>
      </c>
      <c r="B1756" s="8" t="s">
        <v>1907</v>
      </c>
      <c r="C1756" s="1" t="str">
        <f>RIGHT(ProductInfo[[#This Row],[Drawing No]],1)</f>
        <v>1</v>
      </c>
      <c r="D1756" s="174" t="s">
        <v>1908</v>
      </c>
      <c r="E1756" s="16"/>
      <c r="F17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6" s="31"/>
      <c r="H1756" s="31"/>
      <c r="I1756" s="1">
        <f>COUNTA(ProductInfo[[#This Row],[P1]:[P15]])</f>
        <v>0</v>
      </c>
      <c r="J17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6" s="7"/>
      <c r="M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>
      <c r="A1757" s="54" t="s">
        <v>1909</v>
      </c>
      <c r="B1757" s="8" t="s">
        <v>1909</v>
      </c>
      <c r="C1757" s="1" t="str">
        <f>RIGHT(ProductInfo[[#This Row],[Drawing No]],1)</f>
        <v>1</v>
      </c>
      <c r="D1757" s="174" t="s">
        <v>1910</v>
      </c>
      <c r="E1757" s="16"/>
      <c r="F17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7" s="31"/>
      <c r="H1757" s="31"/>
      <c r="I1757" s="1">
        <f>COUNTA(ProductInfo[[#This Row],[P1]:[P15]])</f>
        <v>0</v>
      </c>
      <c r="J17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7" s="7"/>
      <c r="M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>
      <c r="A1758" s="54" t="s">
        <v>1911</v>
      </c>
      <c r="B1758" s="8" t="s">
        <v>1911</v>
      </c>
      <c r="C1758" s="1" t="str">
        <f>RIGHT(ProductInfo[[#This Row],[Drawing No]],1)</f>
        <v>0</v>
      </c>
      <c r="D1758" s="174" t="s">
        <v>1912</v>
      </c>
      <c r="E1758" s="16"/>
      <c r="F17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8" s="31"/>
      <c r="H1758" s="31"/>
      <c r="I1758" s="1">
        <f>COUNTA(ProductInfo[[#This Row],[P1]:[P15]])</f>
        <v>0</v>
      </c>
      <c r="J17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8" s="7"/>
      <c r="M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>
      <c r="A1759" s="54" t="s">
        <v>1913</v>
      </c>
      <c r="B1759" s="8" t="s">
        <v>1913</v>
      </c>
      <c r="C1759" s="1" t="str">
        <f>RIGHT(ProductInfo[[#This Row],[Drawing No]],1)</f>
        <v>1</v>
      </c>
      <c r="D1759" s="174" t="s">
        <v>1914</v>
      </c>
      <c r="E1759" s="16"/>
      <c r="F17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59" s="31"/>
      <c r="H1759" s="31"/>
      <c r="I1759" s="1">
        <f>COUNTA(ProductInfo[[#This Row],[P1]:[P15]])</f>
        <v>0</v>
      </c>
      <c r="J17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59" s="7"/>
      <c r="M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>
      <c r="A1760" s="54" t="s">
        <v>1915</v>
      </c>
      <c r="B1760" s="8" t="s">
        <v>1915</v>
      </c>
      <c r="C1760" s="1" t="str">
        <f>RIGHT(ProductInfo[[#This Row],[Drawing No]],1)</f>
        <v>1</v>
      </c>
      <c r="D1760" s="174" t="s">
        <v>1916</v>
      </c>
      <c r="E1760" s="16"/>
      <c r="F17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0" s="31"/>
      <c r="H1760" s="31"/>
      <c r="I1760" s="1">
        <f>COUNTA(ProductInfo[[#This Row],[P1]:[P15]])</f>
        <v>0</v>
      </c>
      <c r="J17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0" s="7"/>
      <c r="M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>
      <c r="A1761" s="54" t="s">
        <v>1917</v>
      </c>
      <c r="B1761" s="8" t="s">
        <v>1917</v>
      </c>
      <c r="C1761" s="1" t="str">
        <f>RIGHT(ProductInfo[[#This Row],[Drawing No]],1)</f>
        <v>1</v>
      </c>
      <c r="D1761" s="174" t="s">
        <v>1918</v>
      </c>
      <c r="E1761" s="16"/>
      <c r="F17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1" s="31"/>
      <c r="H1761" s="31"/>
      <c r="I1761" s="1">
        <f>COUNTA(ProductInfo[[#This Row],[P1]:[P15]])</f>
        <v>0</v>
      </c>
      <c r="J17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1" s="7"/>
      <c r="M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>
      <c r="A1762" s="54" t="s">
        <v>1919</v>
      </c>
      <c r="B1762" s="8" t="s">
        <v>1919</v>
      </c>
      <c r="C1762" s="1" t="str">
        <f>RIGHT(ProductInfo[[#This Row],[Drawing No]],1)</f>
        <v>1</v>
      </c>
      <c r="D1762" s="174" t="s">
        <v>1920</v>
      </c>
      <c r="E1762" s="16"/>
      <c r="F17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2" s="31"/>
      <c r="H1762" s="31"/>
      <c r="I1762" s="1">
        <f>COUNTA(ProductInfo[[#This Row],[P1]:[P15]])</f>
        <v>0</v>
      </c>
      <c r="J17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2" s="7"/>
      <c r="M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>
      <c r="A1763" s="54" t="s">
        <v>1921</v>
      </c>
      <c r="B1763" s="8" t="s">
        <v>1921</v>
      </c>
      <c r="C1763" s="1" t="str">
        <f>RIGHT(ProductInfo[[#This Row],[Drawing No]],1)</f>
        <v>1</v>
      </c>
      <c r="D1763" s="174" t="s">
        <v>1922</v>
      </c>
      <c r="E1763" s="16"/>
      <c r="F17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3" s="31"/>
      <c r="H1763" s="31"/>
      <c r="I1763" s="1">
        <f>COUNTA(ProductInfo[[#This Row],[P1]:[P15]])</f>
        <v>0</v>
      </c>
      <c r="J17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3" s="7"/>
      <c r="M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>
      <c r="A1764" s="15" t="s">
        <v>1923</v>
      </c>
      <c r="B1764" s="8" t="s">
        <v>1923</v>
      </c>
      <c r="C1764" s="1" t="str">
        <f>RIGHT(ProductInfo[[#This Row],[Drawing No]],1)</f>
        <v>1</v>
      </c>
      <c r="D1764" s="191" t="s">
        <v>1924</v>
      </c>
      <c r="E1764" s="16"/>
      <c r="F17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4" s="31"/>
      <c r="H1764" s="31"/>
      <c r="I1764" s="1">
        <f>COUNTA(ProductInfo[[#This Row],[P1]:[P15]])</f>
        <v>0</v>
      </c>
      <c r="J17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4" s="7"/>
      <c r="M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>
      <c r="A1765" s="15" t="s">
        <v>1925</v>
      </c>
      <c r="B1765" s="21" t="s">
        <v>1925</v>
      </c>
      <c r="C1765" s="1" t="str">
        <f>RIGHT(ProductInfo[[#This Row],[Drawing No]],1)</f>
        <v>0</v>
      </c>
      <c r="D1765" s="191" t="s">
        <v>1926</v>
      </c>
      <c r="E1765" s="16"/>
      <c r="F17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5" s="31"/>
      <c r="H1765" s="31"/>
      <c r="I1765" s="1">
        <f>COUNTA(ProductInfo[[#This Row],[P1]:[P15]])</f>
        <v>0</v>
      </c>
      <c r="J17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5" s="7"/>
      <c r="M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>
      <c r="A1766" s="15" t="s">
        <v>1927</v>
      </c>
      <c r="B1766" s="21" t="s">
        <v>1927</v>
      </c>
      <c r="C1766" s="1" t="str">
        <f>RIGHT(ProductInfo[[#This Row],[Drawing No]],1)</f>
        <v>1</v>
      </c>
      <c r="D1766" s="191" t="s">
        <v>1928</v>
      </c>
      <c r="E1766" s="16"/>
      <c r="F17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6" s="31"/>
      <c r="H1766" s="31"/>
      <c r="I1766" s="1">
        <f>COUNTA(ProductInfo[[#This Row],[P1]:[P15]])</f>
        <v>0</v>
      </c>
      <c r="J17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6" s="7"/>
      <c r="M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>
      <c r="A1767" s="15" t="s">
        <v>1929</v>
      </c>
      <c r="B1767" s="21" t="s">
        <v>1929</v>
      </c>
      <c r="C1767" s="1" t="str">
        <f>RIGHT(ProductInfo[[#This Row],[Drawing No]],1)</f>
        <v>1</v>
      </c>
      <c r="D1767" s="191" t="s">
        <v>1930</v>
      </c>
      <c r="E1767" s="16"/>
      <c r="F17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7" s="31"/>
      <c r="H1767" s="31"/>
      <c r="I1767" s="1">
        <f>COUNTA(ProductInfo[[#This Row],[P1]:[P15]])</f>
        <v>0</v>
      </c>
      <c r="J17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7" s="7"/>
      <c r="M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>
      <c r="A1768" s="54" t="s">
        <v>1931</v>
      </c>
      <c r="B1768" s="8" t="s">
        <v>1931</v>
      </c>
      <c r="C1768" s="1" t="str">
        <f>RIGHT(ProductInfo[[#This Row],[Drawing No]],1)</f>
        <v>1</v>
      </c>
      <c r="D1768" s="174" t="s">
        <v>1932</v>
      </c>
      <c r="E1768" s="16"/>
      <c r="F17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8" s="31"/>
      <c r="H1768" s="31"/>
      <c r="I1768" s="1">
        <f>COUNTA(ProductInfo[[#This Row],[P1]:[P15]])</f>
        <v>0</v>
      </c>
      <c r="J17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8" s="7"/>
      <c r="M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>
      <c r="A1769" s="54" t="s">
        <v>1933</v>
      </c>
      <c r="B1769" s="8" t="s">
        <v>1933</v>
      </c>
      <c r="C1769" s="1" t="str">
        <f>RIGHT(ProductInfo[[#This Row],[Drawing No]],1)</f>
        <v>1</v>
      </c>
      <c r="D1769" s="174" t="s">
        <v>1934</v>
      </c>
      <c r="E1769" s="16"/>
      <c r="F17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69" s="31"/>
      <c r="H1769" s="31"/>
      <c r="I1769" s="1">
        <f>COUNTA(ProductInfo[[#This Row],[P1]:[P15]])</f>
        <v>0</v>
      </c>
      <c r="J17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69" s="7"/>
      <c r="M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>
      <c r="A1770" s="54" t="s">
        <v>1935</v>
      </c>
      <c r="B1770" s="8" t="s">
        <v>1935</v>
      </c>
      <c r="C1770" s="1" t="str">
        <f>RIGHT(ProductInfo[[#This Row],[Drawing No]],1)</f>
        <v>1</v>
      </c>
      <c r="D1770" s="174" t="s">
        <v>1936</v>
      </c>
      <c r="E1770" s="16"/>
      <c r="F17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0" s="31"/>
      <c r="H1770" s="31"/>
      <c r="I1770" s="1">
        <f>COUNTA(ProductInfo[[#This Row],[P1]:[P15]])</f>
        <v>0</v>
      </c>
      <c r="J17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0" s="7"/>
      <c r="M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>
      <c r="A1771" s="54" t="s">
        <v>1937</v>
      </c>
      <c r="B1771" s="8" t="s">
        <v>1937</v>
      </c>
      <c r="C1771" s="1" t="str">
        <f>RIGHT(ProductInfo[[#This Row],[Drawing No]],1)</f>
        <v>1</v>
      </c>
      <c r="D1771" s="174" t="s">
        <v>1938</v>
      </c>
      <c r="E1771" s="16"/>
      <c r="F17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1" s="31"/>
      <c r="H1771" s="31"/>
      <c r="I1771" s="1">
        <f>COUNTA(ProductInfo[[#This Row],[P1]:[P15]])</f>
        <v>0</v>
      </c>
      <c r="J17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1" s="7"/>
      <c r="M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>
      <c r="A1772" s="54" t="s">
        <v>1939</v>
      </c>
      <c r="B1772" s="8" t="s">
        <v>1939</v>
      </c>
      <c r="C1772" s="1" t="str">
        <f>RIGHT(ProductInfo[[#This Row],[Drawing No]],1)</f>
        <v>1</v>
      </c>
      <c r="D1772" s="174" t="s">
        <v>1940</v>
      </c>
      <c r="E1772" s="16"/>
      <c r="F17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2" s="31"/>
      <c r="H1772" s="31"/>
      <c r="I1772" s="1">
        <f>COUNTA(ProductInfo[[#This Row],[P1]:[P15]])</f>
        <v>0</v>
      </c>
      <c r="J17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2" s="7"/>
      <c r="M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>
      <c r="A1773" s="54" t="s">
        <v>1941</v>
      </c>
      <c r="B1773" s="8" t="s">
        <v>1941</v>
      </c>
      <c r="C1773" s="1" t="str">
        <f>RIGHT(ProductInfo[[#This Row],[Drawing No]],1)</f>
        <v>1</v>
      </c>
      <c r="D1773" s="174" t="s">
        <v>1942</v>
      </c>
      <c r="E1773" s="16"/>
      <c r="F177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3" s="31"/>
      <c r="H1773" s="31"/>
      <c r="I1773" s="1">
        <f>COUNTA(ProductInfo[[#This Row],[P1]:[P15]])</f>
        <v>0</v>
      </c>
      <c r="J17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3" s="7"/>
      <c r="M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>
      <c r="A1774" s="54" t="s">
        <v>1943</v>
      </c>
      <c r="B1774" s="8" t="s">
        <v>1943</v>
      </c>
      <c r="C1774" s="1" t="str">
        <f>RIGHT(ProductInfo[[#This Row],[Drawing No]],1)</f>
        <v>1</v>
      </c>
      <c r="D1774" s="174" t="s">
        <v>1944</v>
      </c>
      <c r="E1774" s="16"/>
      <c r="F17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4" s="31"/>
      <c r="H1774" s="31"/>
      <c r="I1774" s="1">
        <f>COUNTA(ProductInfo[[#This Row],[P1]:[P15]])</f>
        <v>0</v>
      </c>
      <c r="J17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4" s="7"/>
      <c r="M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>
      <c r="A1775" s="54" t="s">
        <v>1945</v>
      </c>
      <c r="B1775" s="8" t="s">
        <v>1945</v>
      </c>
      <c r="C1775" s="1" t="str">
        <f>RIGHT(ProductInfo[[#This Row],[Drawing No]],1)</f>
        <v>1</v>
      </c>
      <c r="D1775" s="174" t="s">
        <v>1946</v>
      </c>
      <c r="E1775" s="16"/>
      <c r="F17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5" s="31"/>
      <c r="H1775" s="31"/>
      <c r="I1775" s="1">
        <f>COUNTA(ProductInfo[[#This Row],[P1]:[P15]])</f>
        <v>0</v>
      </c>
      <c r="J17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5" s="7"/>
      <c r="M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>
      <c r="A1776" s="54" t="s">
        <v>1947</v>
      </c>
      <c r="B1776" s="8" t="s">
        <v>1947</v>
      </c>
      <c r="C1776" s="1" t="str">
        <f>RIGHT(ProductInfo[[#This Row],[Drawing No]],1)</f>
        <v>1</v>
      </c>
      <c r="D1776" s="174" t="s">
        <v>1948</v>
      </c>
      <c r="E1776" s="16"/>
      <c r="F17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6" s="31"/>
      <c r="H1776" s="31"/>
      <c r="I1776" s="1">
        <f>COUNTA(ProductInfo[[#This Row],[P1]:[P15]])</f>
        <v>0</v>
      </c>
      <c r="J17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6" s="7"/>
      <c r="M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>
      <c r="A1777" s="54" t="s">
        <v>1949</v>
      </c>
      <c r="B1777" s="8" t="s">
        <v>1949</v>
      </c>
      <c r="C1777" s="1" t="str">
        <f>RIGHT(ProductInfo[[#This Row],[Drawing No]],1)</f>
        <v>1</v>
      </c>
      <c r="D1777" s="174" t="s">
        <v>1948</v>
      </c>
      <c r="E1777" s="16"/>
      <c r="F17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7" s="31"/>
      <c r="H1777" s="31"/>
      <c r="I1777" s="1">
        <f>COUNTA(ProductInfo[[#This Row],[P1]:[P15]])</f>
        <v>0</v>
      </c>
      <c r="J17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7" s="7"/>
      <c r="M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>
      <c r="A1778" s="54" t="s">
        <v>1950</v>
      </c>
      <c r="B1778" s="8" t="s">
        <v>1950</v>
      </c>
      <c r="C1778" s="1" t="str">
        <f>RIGHT(ProductInfo[[#This Row],[Drawing No]],1)</f>
        <v>1</v>
      </c>
      <c r="D1778" s="174" t="s">
        <v>1951</v>
      </c>
      <c r="E1778" s="16"/>
      <c r="F17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8" s="31"/>
      <c r="H1778" s="31"/>
      <c r="I1778" s="1">
        <f>COUNTA(ProductInfo[[#This Row],[P1]:[P15]])</f>
        <v>0</v>
      </c>
      <c r="J17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8" s="7"/>
      <c r="M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>
      <c r="A1779" s="54" t="s">
        <v>1952</v>
      </c>
      <c r="B1779" s="8" t="s">
        <v>1952</v>
      </c>
      <c r="C1779" s="1" t="str">
        <f>RIGHT(ProductInfo[[#This Row],[Drawing No]],1)</f>
        <v>1</v>
      </c>
      <c r="D1779" s="174" t="s">
        <v>1953</v>
      </c>
      <c r="E1779" s="16"/>
      <c r="F17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79" s="31"/>
      <c r="H1779" s="31"/>
      <c r="I1779" s="1">
        <f>COUNTA(ProductInfo[[#This Row],[P1]:[P15]])</f>
        <v>0</v>
      </c>
      <c r="J17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79" s="7"/>
      <c r="M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>
      <c r="A1780" s="15" t="s">
        <v>1954</v>
      </c>
      <c r="B1780" s="8" t="s">
        <v>1954</v>
      </c>
      <c r="C1780" s="1" t="str">
        <f>RIGHT(ProductInfo[[#This Row],[Drawing No]],1)</f>
        <v>1</v>
      </c>
      <c r="D1780" s="191" t="s">
        <v>1955</v>
      </c>
      <c r="E1780" s="16"/>
      <c r="F17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0" s="31"/>
      <c r="H1780" s="31"/>
      <c r="I1780" s="1">
        <f>COUNTA(ProductInfo[[#This Row],[P1]:[P15]])</f>
        <v>0</v>
      </c>
      <c r="J17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0" s="7"/>
      <c r="M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>
      <c r="A1781" s="15" t="s">
        <v>1956</v>
      </c>
      <c r="B1781" s="8" t="s">
        <v>1956</v>
      </c>
      <c r="C1781" s="1" t="str">
        <f>RIGHT(ProductInfo[[#This Row],[Drawing No]],1)</f>
        <v>1</v>
      </c>
      <c r="D1781" s="191" t="s">
        <v>1957</v>
      </c>
      <c r="E1781" s="16" t="s">
        <v>3480</v>
      </c>
      <c r="F1781" s="23" t="str">
        <f>IFERROR(INDEX(MaterialCode[รายละเอียด],MATCH(ProductInfo[[#This Row],[Material Code]],MaterialCode[Material Code],0)),"ไม่พบวัตถุดิบ")</f>
        <v>ท่อเฟืองอลูมีเนียม โต 71 มม.*รูใน 48 มม.(NEW 23/9/63)</v>
      </c>
      <c r="G1781" s="31"/>
      <c r="H1781" s="31"/>
      <c r="I1781" s="1">
        <f>COUNTA(ProductInfo[[#This Row],[P1]:[P15]])</f>
        <v>2</v>
      </c>
      <c r="J17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7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1" s="7" t="s">
        <v>12</v>
      </c>
      <c r="M1781" s="7" t="s">
        <v>13</v>
      </c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>
      <c r="A1782" s="15" t="s">
        <v>1958</v>
      </c>
      <c r="B1782" s="8" t="s">
        <v>1958</v>
      </c>
      <c r="C1782" s="1" t="str">
        <f>RIGHT(ProductInfo[[#This Row],[Drawing No]],1)</f>
        <v>1</v>
      </c>
      <c r="D1782" s="176" t="s">
        <v>1959</v>
      </c>
      <c r="E1782" s="16"/>
      <c r="F17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2" s="31"/>
      <c r="H1782" s="31"/>
      <c r="I1782" s="1">
        <f>COUNTA(ProductInfo[[#This Row],[P1]:[P15]])</f>
        <v>0</v>
      </c>
      <c r="J17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2" s="7"/>
      <c r="M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>
      <c r="A1783" s="8" t="s">
        <v>1960</v>
      </c>
      <c r="B1783" s="8" t="s">
        <v>1960</v>
      </c>
      <c r="C1783" s="1" t="str">
        <f>RIGHT(ProductInfo[[#This Row],[Drawing No]],1)</f>
        <v>1</v>
      </c>
      <c r="D1783" s="176" t="s">
        <v>1961</v>
      </c>
      <c r="E1783" s="16"/>
      <c r="F17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3" s="31"/>
      <c r="H1783" s="31"/>
      <c r="I1783" s="1">
        <f>COUNTA(ProductInfo[[#This Row],[P1]:[P15]])</f>
        <v>0</v>
      </c>
      <c r="J17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3" s="7"/>
      <c r="M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>
      <c r="A1784" s="15" t="s">
        <v>1962</v>
      </c>
      <c r="B1784" s="21" t="s">
        <v>1962</v>
      </c>
      <c r="C1784" s="1" t="str">
        <f>RIGHT(ProductInfo[[#This Row],[Drawing No]],1)</f>
        <v>1</v>
      </c>
      <c r="D1784" s="191" t="s">
        <v>1963</v>
      </c>
      <c r="E1784" s="16"/>
      <c r="F17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4" s="31"/>
      <c r="H1784" s="31"/>
      <c r="I1784" s="1">
        <f>COUNTA(ProductInfo[[#This Row],[P1]:[P15]])</f>
        <v>0</v>
      </c>
      <c r="J17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4" s="7"/>
      <c r="M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>
      <c r="A1785" s="15" t="s">
        <v>1964</v>
      </c>
      <c r="B1785" s="21" t="s">
        <v>1964</v>
      </c>
      <c r="C1785" s="1" t="str">
        <f>RIGHT(ProductInfo[[#This Row],[Drawing No]],1)</f>
        <v>0</v>
      </c>
      <c r="D1785" s="191" t="s">
        <v>1965</v>
      </c>
      <c r="E1785" s="16"/>
      <c r="F17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5" s="31"/>
      <c r="H1785" s="31"/>
      <c r="I1785" s="1">
        <f>COUNTA(ProductInfo[[#This Row],[P1]:[P15]])</f>
        <v>0</v>
      </c>
      <c r="J17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5" s="7"/>
      <c r="M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>
      <c r="A1786" s="15" t="s">
        <v>1966</v>
      </c>
      <c r="B1786" s="21" t="s">
        <v>1966</v>
      </c>
      <c r="C1786" s="1" t="str">
        <f>RIGHT(ProductInfo[[#This Row],[Drawing No]],1)</f>
        <v>0</v>
      </c>
      <c r="D1786" s="191" t="s">
        <v>1967</v>
      </c>
      <c r="E1786" s="16"/>
      <c r="F17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6" s="31"/>
      <c r="H1786" s="31"/>
      <c r="I1786" s="1">
        <f>COUNTA(ProductInfo[[#This Row],[P1]:[P15]])</f>
        <v>0</v>
      </c>
      <c r="J17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6" s="7"/>
      <c r="M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>
      <c r="A1787" s="15" t="s">
        <v>1968</v>
      </c>
      <c r="B1787" s="21" t="s">
        <v>1968</v>
      </c>
      <c r="C1787" s="1" t="str">
        <f>RIGHT(ProductInfo[[#This Row],[Drawing No]],1)</f>
        <v>0</v>
      </c>
      <c r="D1787" s="176" t="s">
        <v>2704</v>
      </c>
      <c r="E1787" s="16"/>
      <c r="F17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7" s="31"/>
      <c r="H1787" s="31"/>
      <c r="I1787" s="1">
        <f>COUNTA(ProductInfo[[#This Row],[P1]:[P15]])</f>
        <v>0</v>
      </c>
      <c r="J17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7" s="7"/>
      <c r="M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>
      <c r="A1788" s="15" t="s">
        <v>1969</v>
      </c>
      <c r="B1788" s="8" t="s">
        <v>1969</v>
      </c>
      <c r="C1788" s="1" t="str">
        <f>RIGHT(ProductInfo[[#This Row],[Drawing No]],1)</f>
        <v>0</v>
      </c>
      <c r="D1788" s="179" t="s">
        <v>1970</v>
      </c>
      <c r="E1788" s="18"/>
      <c r="F178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8" s="32"/>
      <c r="H1788" s="32"/>
      <c r="I1788" s="1">
        <f>COUNTA(ProductInfo[[#This Row],[P1]:[P15]])</f>
        <v>0</v>
      </c>
      <c r="J17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8" s="7"/>
      <c r="M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>
      <c r="A1789" s="15" t="s">
        <v>1971</v>
      </c>
      <c r="B1789" s="8" t="s">
        <v>1971</v>
      </c>
      <c r="C1789" s="1" t="str">
        <f>RIGHT(ProductInfo[[#This Row],[Drawing No]],1)</f>
        <v>0</v>
      </c>
      <c r="D1789" s="176" t="s">
        <v>1972</v>
      </c>
      <c r="E1789" s="16"/>
      <c r="F17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89" s="31"/>
      <c r="H1789" s="31"/>
      <c r="I1789" s="1">
        <f>COUNTA(ProductInfo[[#This Row],[P1]:[P15]])</f>
        <v>0</v>
      </c>
      <c r="J17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89" s="7"/>
      <c r="M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>
      <c r="A1790" s="15" t="s">
        <v>1973</v>
      </c>
      <c r="B1790" s="21" t="s">
        <v>1973</v>
      </c>
      <c r="C1790" s="1" t="str">
        <f>RIGHT(ProductInfo[[#This Row],[Drawing No]],1)</f>
        <v>0</v>
      </c>
      <c r="D1790" s="176" t="s">
        <v>2705</v>
      </c>
      <c r="E1790" s="16"/>
      <c r="F17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0" s="31"/>
      <c r="H1790" s="31"/>
      <c r="I1790" s="1">
        <f>COUNTA(ProductInfo[[#This Row],[P1]:[P15]])</f>
        <v>0</v>
      </c>
      <c r="J17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0" s="7"/>
      <c r="M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>
      <c r="A1791" s="15" t="s">
        <v>1974</v>
      </c>
      <c r="B1791" s="21" t="s">
        <v>1974</v>
      </c>
      <c r="C1791" s="1" t="str">
        <f>RIGHT(ProductInfo[[#This Row],[Drawing No]],1)</f>
        <v>1</v>
      </c>
      <c r="D1791" s="193" t="s">
        <v>3078</v>
      </c>
      <c r="E1791" s="18"/>
      <c r="F179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1" s="32"/>
      <c r="H1791" s="32"/>
      <c r="I1791" s="1">
        <f>COUNTA(ProductInfo[[#This Row],[P1]:[P15]])</f>
        <v>0</v>
      </c>
      <c r="J17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1" s="7"/>
      <c r="M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>
      <c r="A1792" s="15" t="s">
        <v>1975</v>
      </c>
      <c r="B1792" s="21" t="s">
        <v>1975</v>
      </c>
      <c r="C1792" s="1" t="str">
        <f>RIGHT(ProductInfo[[#This Row],[Drawing No]],1)</f>
        <v>0</v>
      </c>
      <c r="D1792" s="191" t="s">
        <v>2706</v>
      </c>
      <c r="E1792" s="16"/>
      <c r="F179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2" s="31"/>
      <c r="H1792" s="31"/>
      <c r="I1792" s="1">
        <f>COUNTA(ProductInfo[[#This Row],[P1]:[P15]])</f>
        <v>0</v>
      </c>
      <c r="J17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2" s="7"/>
      <c r="M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>
      <c r="A1793" s="15" t="s">
        <v>1976</v>
      </c>
      <c r="B1793" s="21" t="s">
        <v>1976</v>
      </c>
      <c r="C1793" s="1" t="str">
        <f>RIGHT(ProductInfo[[#This Row],[Drawing No]],1)</f>
        <v>0</v>
      </c>
      <c r="D1793" s="191" t="s">
        <v>2707</v>
      </c>
      <c r="E1793" s="16"/>
      <c r="F17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3" s="31"/>
      <c r="H1793" s="31"/>
      <c r="I1793" s="1">
        <f>COUNTA(ProductInfo[[#This Row],[P1]:[P15]])</f>
        <v>0</v>
      </c>
      <c r="J17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3" s="7"/>
      <c r="M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>
      <c r="A1794" s="15" t="s">
        <v>1977</v>
      </c>
      <c r="B1794" s="21" t="s">
        <v>1977</v>
      </c>
      <c r="C1794" s="1" t="str">
        <f>RIGHT(ProductInfo[[#This Row],[Drawing No]],1)</f>
        <v>0</v>
      </c>
      <c r="D1794" s="176" t="s">
        <v>1978</v>
      </c>
      <c r="E1794" s="16"/>
      <c r="F17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4" s="31"/>
      <c r="H1794" s="31"/>
      <c r="I1794" s="1">
        <f>COUNTA(ProductInfo[[#This Row],[P1]:[P15]])</f>
        <v>0</v>
      </c>
      <c r="J17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4" s="7"/>
      <c r="M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>
      <c r="A1795" s="15" t="s">
        <v>1979</v>
      </c>
      <c r="B1795" s="21" t="s">
        <v>1979</v>
      </c>
      <c r="C1795" s="1" t="str">
        <f>RIGHT(ProductInfo[[#This Row],[Drawing No]],1)</f>
        <v>0</v>
      </c>
      <c r="D1795" s="191" t="s">
        <v>1980</v>
      </c>
      <c r="E1795" s="16"/>
      <c r="F17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5" s="31"/>
      <c r="H1795" s="31"/>
      <c r="I1795" s="1">
        <f>COUNTA(ProductInfo[[#This Row],[P1]:[P15]])</f>
        <v>0</v>
      </c>
      <c r="J17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5" s="7"/>
      <c r="M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>
      <c r="A1796" s="4" t="s">
        <v>1981</v>
      </c>
      <c r="B1796" s="21" t="s">
        <v>1981</v>
      </c>
      <c r="C1796" s="1" t="str">
        <f>RIGHT(ProductInfo[[#This Row],[Drawing No]],1)</f>
        <v>0</v>
      </c>
      <c r="D1796" s="191" t="s">
        <v>1982</v>
      </c>
      <c r="E1796" s="16"/>
      <c r="F17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6" s="31"/>
      <c r="H1796" s="31"/>
      <c r="I1796" s="1">
        <f>COUNTA(ProductInfo[[#This Row],[P1]:[P15]])</f>
        <v>0</v>
      </c>
      <c r="J17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6" s="7"/>
      <c r="M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>
      <c r="A1797" s="15" t="s">
        <v>1983</v>
      </c>
      <c r="B1797" s="21" t="s">
        <v>1983</v>
      </c>
      <c r="C1797" s="1" t="str">
        <f>RIGHT(ProductInfo[[#This Row],[Drawing No]],1)</f>
        <v>0</v>
      </c>
      <c r="D1797" s="191" t="s">
        <v>1984</v>
      </c>
      <c r="E1797" s="16"/>
      <c r="F17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7" s="31"/>
      <c r="H1797" s="31"/>
      <c r="I1797" s="1">
        <f>COUNTA(ProductInfo[[#This Row],[P1]:[P15]])</f>
        <v>0</v>
      </c>
      <c r="J17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7" s="7"/>
      <c r="M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>
      <c r="A1798" s="15" t="s">
        <v>1985</v>
      </c>
      <c r="B1798" s="21" t="s">
        <v>1985</v>
      </c>
      <c r="C1798" s="1" t="str">
        <f>RIGHT(ProductInfo[[#This Row],[Drawing No]],1)</f>
        <v>0</v>
      </c>
      <c r="D1798" s="191" t="s">
        <v>1986</v>
      </c>
      <c r="E1798" s="16"/>
      <c r="F17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8" s="31"/>
      <c r="H1798" s="31"/>
      <c r="I1798" s="1">
        <f>COUNTA(ProductInfo[[#This Row],[P1]:[P15]])</f>
        <v>0</v>
      </c>
      <c r="J17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8" s="7"/>
      <c r="M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>
      <c r="A1799" s="8" t="s">
        <v>1987</v>
      </c>
      <c r="B1799" s="8" t="s">
        <v>1987</v>
      </c>
      <c r="C1799" s="1" t="str">
        <f>RIGHT(ProductInfo[[#This Row],[Drawing No]],1)</f>
        <v>0</v>
      </c>
      <c r="D1799" s="191" t="s">
        <v>1988</v>
      </c>
      <c r="E1799" s="16"/>
      <c r="F17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799" s="31"/>
      <c r="H1799" s="31"/>
      <c r="I1799" s="1">
        <f>COUNTA(ProductInfo[[#This Row],[P1]:[P15]])</f>
        <v>0</v>
      </c>
      <c r="J17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7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799" s="7"/>
      <c r="M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>
      <c r="A1800" s="15" t="s">
        <v>1989</v>
      </c>
      <c r="B1800" s="21" t="s">
        <v>1989</v>
      </c>
      <c r="C1800" s="1" t="str">
        <f>RIGHT(ProductInfo[[#This Row],[Drawing No]],1)</f>
        <v>0</v>
      </c>
      <c r="D1800" s="191" t="s">
        <v>1990</v>
      </c>
      <c r="E1800" s="16"/>
      <c r="F18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0" s="31"/>
      <c r="H1800" s="31"/>
      <c r="I1800" s="1">
        <f>COUNTA(ProductInfo[[#This Row],[P1]:[P15]])</f>
        <v>0</v>
      </c>
      <c r="J18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0" s="7"/>
      <c r="M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>
      <c r="A1801" s="15" t="s">
        <v>1991</v>
      </c>
      <c r="B1801" s="8" t="s">
        <v>1991</v>
      </c>
      <c r="C1801" s="1" t="str">
        <f>RIGHT(ProductInfo[[#This Row],[Drawing No]],1)</f>
        <v>1</v>
      </c>
      <c r="D1801" s="176" t="s">
        <v>2708</v>
      </c>
      <c r="E1801" s="16"/>
      <c r="F18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1" s="31"/>
      <c r="H1801" s="31"/>
      <c r="I1801" s="1">
        <f>COUNTA(ProductInfo[[#This Row],[P1]:[P15]])</f>
        <v>0</v>
      </c>
      <c r="J18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1" s="7"/>
      <c r="M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>
      <c r="A1802" s="15" t="s">
        <v>1992</v>
      </c>
      <c r="B1802" s="4" t="s">
        <v>1992</v>
      </c>
      <c r="C1802" s="1" t="str">
        <f>RIGHT(ProductInfo[[#This Row],[Drawing No]],1)</f>
        <v>0</v>
      </c>
      <c r="D1802" s="193" t="s">
        <v>1993</v>
      </c>
      <c r="E1802" s="18"/>
      <c r="F180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2" s="32"/>
      <c r="H1802" s="32"/>
      <c r="I1802" s="1">
        <f>COUNTA(ProductInfo[[#This Row],[P1]:[P15]])</f>
        <v>0</v>
      </c>
      <c r="J18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2" s="7"/>
      <c r="M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>
      <c r="A1803" s="15" t="s">
        <v>1994</v>
      </c>
      <c r="B1803" s="21" t="s">
        <v>1994</v>
      </c>
      <c r="C1803" s="1" t="str">
        <f>RIGHT(ProductInfo[[#This Row],[Drawing No]],1)</f>
        <v>0</v>
      </c>
      <c r="D1803" s="193" t="s">
        <v>1995</v>
      </c>
      <c r="E1803" s="18"/>
      <c r="F180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3" s="32"/>
      <c r="H1803" s="32"/>
      <c r="I1803" s="1">
        <f>COUNTA(ProductInfo[[#This Row],[P1]:[P15]])</f>
        <v>0</v>
      </c>
      <c r="J18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3" s="7"/>
      <c r="M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>
      <c r="A1804" s="15" t="s">
        <v>1996</v>
      </c>
      <c r="B1804" s="8" t="s">
        <v>1996</v>
      </c>
      <c r="C1804" s="1" t="str">
        <f>RIGHT(ProductInfo[[#This Row],[Drawing No]],1)</f>
        <v>0</v>
      </c>
      <c r="D1804" s="176" t="s">
        <v>1997</v>
      </c>
      <c r="E1804" s="16"/>
      <c r="F18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4" s="31"/>
      <c r="H1804" s="31"/>
      <c r="I1804" s="1">
        <f>COUNTA(ProductInfo[[#This Row],[P1]:[P15]])</f>
        <v>0</v>
      </c>
      <c r="J18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4" s="7"/>
      <c r="M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>
      <c r="A1805" s="15" t="s">
        <v>1998</v>
      </c>
      <c r="B1805" s="21" t="s">
        <v>1998</v>
      </c>
      <c r="C1805" s="1" t="str">
        <f>RIGHT(ProductInfo[[#This Row],[Drawing No]],1)</f>
        <v>1</v>
      </c>
      <c r="D1805" s="191" t="s">
        <v>2709</v>
      </c>
      <c r="E1805" s="16"/>
      <c r="F18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5" s="31"/>
      <c r="H1805" s="31"/>
      <c r="I1805" s="1">
        <f>COUNTA(ProductInfo[[#This Row],[P1]:[P15]])</f>
        <v>0</v>
      </c>
      <c r="J18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5" s="7"/>
      <c r="M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>
      <c r="A1806" s="15" t="s">
        <v>1999</v>
      </c>
      <c r="B1806" s="21" t="s">
        <v>1999</v>
      </c>
      <c r="C1806" s="1" t="str">
        <f>RIGHT(ProductInfo[[#This Row],[Drawing No]],1)</f>
        <v>0</v>
      </c>
      <c r="D1806" s="191" t="s">
        <v>2710</v>
      </c>
      <c r="E1806" s="16"/>
      <c r="F18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6" s="31"/>
      <c r="H1806" s="31"/>
      <c r="I1806" s="1">
        <f>COUNTA(ProductInfo[[#This Row],[P1]:[P15]])</f>
        <v>0</v>
      </c>
      <c r="J18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6" s="7"/>
      <c r="M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>
      <c r="A1807" s="15" t="s">
        <v>2000</v>
      </c>
      <c r="B1807" s="21" t="s">
        <v>2000</v>
      </c>
      <c r="C1807" s="1" t="str">
        <f>RIGHT(ProductInfo[[#This Row],[Drawing No]],1)</f>
        <v>1</v>
      </c>
      <c r="D1807" s="191" t="s">
        <v>2710</v>
      </c>
      <c r="E1807" s="16"/>
      <c r="F18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7" s="31"/>
      <c r="H1807" s="31"/>
      <c r="I1807" s="1">
        <f>COUNTA(ProductInfo[[#This Row],[P1]:[P15]])</f>
        <v>0</v>
      </c>
      <c r="J18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7" s="7"/>
      <c r="M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>
      <c r="A1808" s="15" t="s">
        <v>2001</v>
      </c>
      <c r="B1808" s="21" t="s">
        <v>2001</v>
      </c>
      <c r="C1808" s="1" t="str">
        <f>RIGHT(ProductInfo[[#This Row],[Drawing No]],1)</f>
        <v>0</v>
      </c>
      <c r="D1808" s="191" t="s">
        <v>2002</v>
      </c>
      <c r="E1808" s="16"/>
      <c r="F18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8" s="31"/>
      <c r="H1808" s="31"/>
      <c r="I1808" s="1">
        <f>COUNTA(ProductInfo[[#This Row],[P1]:[P15]])</f>
        <v>0</v>
      </c>
      <c r="J18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8" s="7"/>
      <c r="M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>
      <c r="A1809" s="15" t="s">
        <v>2003</v>
      </c>
      <c r="B1809" s="15" t="s">
        <v>2003</v>
      </c>
      <c r="C1809" s="1" t="str">
        <f>RIGHT(ProductInfo[[#This Row],[Drawing No]],1)</f>
        <v>0</v>
      </c>
      <c r="D1809" s="191" t="s">
        <v>2004</v>
      </c>
      <c r="E1809" s="16"/>
      <c r="F18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09" s="31"/>
      <c r="H1809" s="31"/>
      <c r="I1809" s="1">
        <f>COUNTA(ProductInfo[[#This Row],[P1]:[P15]])</f>
        <v>0</v>
      </c>
      <c r="J18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09" s="7"/>
      <c r="M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>
      <c r="A1810" s="15" t="s">
        <v>2005</v>
      </c>
      <c r="B1810" s="15" t="s">
        <v>2005</v>
      </c>
      <c r="C1810" s="1" t="str">
        <f>RIGHT(ProductInfo[[#This Row],[Drawing No]],1)</f>
        <v>1</v>
      </c>
      <c r="D1810" s="191" t="s">
        <v>2006</v>
      </c>
      <c r="E1810" s="16"/>
      <c r="F18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0" s="31"/>
      <c r="H1810" s="31"/>
      <c r="I1810" s="1">
        <f>COUNTA(ProductInfo[[#This Row],[P1]:[P15]])</f>
        <v>0</v>
      </c>
      <c r="J18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0" s="7"/>
      <c r="M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>
      <c r="A1811" s="54" t="s">
        <v>2007</v>
      </c>
      <c r="B1811" s="8" t="s">
        <v>2007</v>
      </c>
      <c r="C1811" s="1" t="str">
        <f>RIGHT(ProductInfo[[#This Row],[Drawing No]],1)</f>
        <v>1</v>
      </c>
      <c r="D1811" s="174" t="s">
        <v>2954</v>
      </c>
      <c r="E1811" s="16"/>
      <c r="F18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1" s="31"/>
      <c r="H1811" s="31"/>
      <c r="I1811" s="1">
        <f>COUNTA(ProductInfo[[#This Row],[P1]:[P15]])</f>
        <v>0</v>
      </c>
      <c r="J18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1" s="7"/>
      <c r="M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>
      <c r="A1812" s="54" t="s">
        <v>2008</v>
      </c>
      <c r="B1812" s="8" t="s">
        <v>2008</v>
      </c>
      <c r="C1812" s="1" t="str">
        <f>RIGHT(ProductInfo[[#This Row],[Drawing No]],1)</f>
        <v>1</v>
      </c>
      <c r="D1812" s="174" t="s">
        <v>2955</v>
      </c>
      <c r="E1812" s="16"/>
      <c r="F18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2" s="31"/>
      <c r="H1812" s="31"/>
      <c r="I1812" s="1">
        <f>COUNTA(ProductInfo[[#This Row],[P1]:[P15]])</f>
        <v>0</v>
      </c>
      <c r="J18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2" s="7"/>
      <c r="M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>
      <c r="A1813" s="54" t="s">
        <v>2009</v>
      </c>
      <c r="B1813" s="8" t="s">
        <v>2009</v>
      </c>
      <c r="C1813" s="1" t="str">
        <f>RIGHT(ProductInfo[[#This Row],[Drawing No]],1)</f>
        <v>1</v>
      </c>
      <c r="D1813" s="174" t="s">
        <v>2010</v>
      </c>
      <c r="E1813" s="16"/>
      <c r="F18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3" s="31"/>
      <c r="H1813" s="31"/>
      <c r="I1813" s="1">
        <f>COUNTA(ProductInfo[[#This Row],[P1]:[P15]])</f>
        <v>0</v>
      </c>
      <c r="J18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3" s="7"/>
      <c r="M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>
      <c r="A1814" s="54" t="s">
        <v>2011</v>
      </c>
      <c r="B1814" s="8" t="s">
        <v>2011</v>
      </c>
      <c r="C1814" s="1" t="str">
        <f>RIGHT(ProductInfo[[#This Row],[Drawing No]],1)</f>
        <v>0</v>
      </c>
      <c r="D1814" s="174" t="s">
        <v>2711</v>
      </c>
      <c r="E1814" s="16"/>
      <c r="F18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4" s="31"/>
      <c r="H1814" s="31"/>
      <c r="I1814" s="1">
        <f>COUNTA(ProductInfo[[#This Row],[P1]:[P15]])</f>
        <v>0</v>
      </c>
      <c r="J18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4" s="7"/>
      <c r="M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>
      <c r="A1815" s="54" t="s">
        <v>2012</v>
      </c>
      <c r="B1815" s="8" t="s">
        <v>2012</v>
      </c>
      <c r="C1815" s="1" t="str">
        <f>RIGHT(ProductInfo[[#This Row],[Drawing No]],1)</f>
        <v>0</v>
      </c>
      <c r="D1815" s="174" t="s">
        <v>2013</v>
      </c>
      <c r="E1815" s="16"/>
      <c r="F18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5" s="31"/>
      <c r="H1815" s="31"/>
      <c r="I1815" s="1">
        <f>COUNTA(ProductInfo[[#This Row],[P1]:[P15]])</f>
        <v>0</v>
      </c>
      <c r="J18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5" s="7"/>
      <c r="M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>
      <c r="A1816" s="54" t="s">
        <v>2014</v>
      </c>
      <c r="B1816" s="8" t="s">
        <v>2014</v>
      </c>
      <c r="C1816" s="1" t="str">
        <f>RIGHT(ProductInfo[[#This Row],[Drawing No]],1)</f>
        <v>0</v>
      </c>
      <c r="D1816" s="174" t="s">
        <v>2015</v>
      </c>
      <c r="E1816" s="16"/>
      <c r="F18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6" s="31"/>
      <c r="H1816" s="31"/>
      <c r="I1816" s="1">
        <f>COUNTA(ProductInfo[[#This Row],[P1]:[P15]])</f>
        <v>0</v>
      </c>
      <c r="J18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6" s="7"/>
      <c r="M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>
      <c r="A1817" s="54" t="s">
        <v>2016</v>
      </c>
      <c r="B1817" s="8" t="s">
        <v>2016</v>
      </c>
      <c r="C1817" s="1" t="str">
        <f>RIGHT(ProductInfo[[#This Row],[Drawing No]],1)</f>
        <v>0</v>
      </c>
      <c r="D1817" s="174" t="s">
        <v>2712</v>
      </c>
      <c r="E1817" s="16"/>
      <c r="F18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7" s="31"/>
      <c r="H1817" s="31"/>
      <c r="I1817" s="1">
        <f>COUNTA(ProductInfo[[#This Row],[P1]:[P15]])</f>
        <v>0</v>
      </c>
      <c r="J18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7" s="7"/>
      <c r="M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>
      <c r="A1818" s="54" t="s">
        <v>2017</v>
      </c>
      <c r="B1818" s="8" t="s">
        <v>2017</v>
      </c>
      <c r="C1818" s="1" t="str">
        <f>RIGHT(ProductInfo[[#This Row],[Drawing No]],1)</f>
        <v>0</v>
      </c>
      <c r="D1818" s="174" t="s">
        <v>2018</v>
      </c>
      <c r="E1818" s="16"/>
      <c r="F18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8" s="31"/>
      <c r="H1818" s="31"/>
      <c r="I1818" s="1">
        <f>COUNTA(ProductInfo[[#This Row],[P1]:[P15]])</f>
        <v>0</v>
      </c>
      <c r="J18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8" s="7"/>
      <c r="M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>
      <c r="A1819" s="54" t="s">
        <v>2019</v>
      </c>
      <c r="B1819" s="8" t="s">
        <v>2019</v>
      </c>
      <c r="C1819" s="1" t="str">
        <f>RIGHT(ProductInfo[[#This Row],[Drawing No]],1)</f>
        <v>0</v>
      </c>
      <c r="D1819" s="174" t="s">
        <v>2020</v>
      </c>
      <c r="E1819" s="16"/>
      <c r="F18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19" s="31"/>
      <c r="H1819" s="31"/>
      <c r="I1819" s="1">
        <f>COUNTA(ProductInfo[[#This Row],[P1]:[P15]])</f>
        <v>0</v>
      </c>
      <c r="J18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19" s="7"/>
      <c r="M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>
      <c r="A1820" s="54" t="s">
        <v>2021</v>
      </c>
      <c r="B1820" s="8" t="s">
        <v>2021</v>
      </c>
      <c r="C1820" s="1" t="str">
        <f>RIGHT(ProductInfo[[#This Row],[Drawing No]],1)</f>
        <v>0</v>
      </c>
      <c r="D1820" s="174" t="s">
        <v>2713</v>
      </c>
      <c r="E1820" s="16"/>
      <c r="F18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0" s="31"/>
      <c r="H1820" s="31"/>
      <c r="I1820" s="1">
        <f>COUNTA(ProductInfo[[#This Row],[P1]:[P15]])</f>
        <v>0</v>
      </c>
      <c r="J18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0" s="7"/>
      <c r="M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>
      <c r="A1821" s="54" t="s">
        <v>2022</v>
      </c>
      <c r="B1821" s="8" t="s">
        <v>3562</v>
      </c>
      <c r="C1821" s="1" t="str">
        <f>RIGHT(ProductInfo[[#This Row],[Drawing No]],1)</f>
        <v>0</v>
      </c>
      <c r="D1821" s="174" t="s">
        <v>2714</v>
      </c>
      <c r="E1821" s="16" t="s">
        <v>3439</v>
      </c>
      <c r="F1821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1821" s="59">
        <v>16</v>
      </c>
      <c r="H1821" s="59">
        <v>110</v>
      </c>
      <c r="I1821" s="1">
        <f>COUNTA(ProductInfo[[#This Row],[P1]:[P15]])</f>
        <v>4</v>
      </c>
      <c r="J18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8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821" s="7" t="s">
        <v>12</v>
      </c>
      <c r="M1821" s="7" t="s">
        <v>13</v>
      </c>
      <c r="N1821" s="4" t="s">
        <v>15</v>
      </c>
      <c r="O1821" s="4" t="s">
        <v>16</v>
      </c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>
      <c r="A1822" s="54" t="s">
        <v>2023</v>
      </c>
      <c r="B1822" s="8" t="s">
        <v>3563</v>
      </c>
      <c r="C1822" s="1" t="str">
        <f>RIGHT(ProductInfo[[#This Row],[Drawing No]],1)</f>
        <v>0</v>
      </c>
      <c r="D1822" s="195" t="s">
        <v>2024</v>
      </c>
      <c r="E1822" s="18"/>
      <c r="F182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2" s="3">
        <v>17</v>
      </c>
      <c r="H1822" s="3"/>
      <c r="I1822" s="1">
        <f>COUNTA(ProductInfo[[#This Row],[P1]:[P15]])</f>
        <v>2</v>
      </c>
      <c r="J18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8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2" s="7" t="s">
        <v>12</v>
      </c>
      <c r="M1822" s="7" t="s">
        <v>13</v>
      </c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>
      <c r="A1823" s="54" t="s">
        <v>2025</v>
      </c>
      <c r="B1823" s="8" t="s">
        <v>3564</v>
      </c>
      <c r="C1823" s="1" t="str">
        <f>RIGHT(ProductInfo[[#This Row],[Drawing No]],1)</f>
        <v>0</v>
      </c>
      <c r="D1823" s="195" t="s">
        <v>2026</v>
      </c>
      <c r="E1823" s="18"/>
      <c r="F182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3" s="32"/>
      <c r="H1823" s="32"/>
      <c r="I1823" s="1">
        <f>COUNTA(ProductInfo[[#This Row],[P1]:[P15]])</f>
        <v>0</v>
      </c>
      <c r="J18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3" s="7"/>
      <c r="M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>
      <c r="A1824" s="54" t="s">
        <v>2028</v>
      </c>
      <c r="B1824" s="8" t="s">
        <v>2028</v>
      </c>
      <c r="C1824" s="1" t="str">
        <f>RIGHT(ProductInfo[[#This Row],[Drawing No]],1)</f>
        <v>0</v>
      </c>
      <c r="D1824" s="174" t="s">
        <v>2029</v>
      </c>
      <c r="E1824" s="16"/>
      <c r="F18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4" s="31"/>
      <c r="H1824" s="31"/>
      <c r="I1824" s="1">
        <f>COUNTA(ProductInfo[[#This Row],[P1]:[P15]])</f>
        <v>0</v>
      </c>
      <c r="J18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4" s="7"/>
      <c r="M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>
      <c r="A1825" s="15" t="s">
        <v>2030</v>
      </c>
      <c r="B1825" s="8" t="s">
        <v>2030</v>
      </c>
      <c r="C1825" s="1" t="str">
        <f>RIGHT(ProductInfo[[#This Row],[Drawing No]],1)</f>
        <v>0</v>
      </c>
      <c r="D1825" s="191" t="s">
        <v>2031</v>
      </c>
      <c r="E1825" s="16"/>
      <c r="F18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5" s="31"/>
      <c r="H1825" s="31"/>
      <c r="I1825" s="1">
        <f>COUNTA(ProductInfo[[#This Row],[P1]:[P15]])</f>
        <v>0</v>
      </c>
      <c r="J18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5" s="7"/>
      <c r="M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>
      <c r="A1826" s="15" t="s">
        <v>2032</v>
      </c>
      <c r="B1826" s="8" t="s">
        <v>2032</v>
      </c>
      <c r="C1826" s="1" t="str">
        <f>RIGHT(ProductInfo[[#This Row],[Drawing No]],1)</f>
        <v>0</v>
      </c>
      <c r="D1826" s="193" t="s">
        <v>2033</v>
      </c>
      <c r="E1826" s="18"/>
      <c r="F182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6" s="32"/>
      <c r="H1826" s="32"/>
      <c r="I1826" s="1">
        <f>COUNTA(ProductInfo[[#This Row],[P1]:[P15]])</f>
        <v>0</v>
      </c>
      <c r="J18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6" s="7"/>
      <c r="M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>
      <c r="A1827" s="54" t="s">
        <v>2034</v>
      </c>
      <c r="B1827" s="8" t="s">
        <v>2034</v>
      </c>
      <c r="C1827" s="1" t="str">
        <f>RIGHT(ProductInfo[[#This Row],[Drawing No]],1)</f>
        <v>1</v>
      </c>
      <c r="D1827" s="174" t="s">
        <v>2035</v>
      </c>
      <c r="E1827" s="16"/>
      <c r="F182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7" s="31"/>
      <c r="H1827" s="31"/>
      <c r="I1827" s="1">
        <f>COUNTA(ProductInfo[[#This Row],[P1]:[P15]])</f>
        <v>0</v>
      </c>
      <c r="J18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7" s="7"/>
      <c r="M1827" s="7"/>
      <c r="S1827" s="7"/>
      <c r="T1827" s="7"/>
      <c r="U1827" s="7"/>
      <c r="V1827" s="7"/>
      <c r="W1827" s="7"/>
      <c r="X1827" s="7"/>
      <c r="Y1827" s="7"/>
      <c r="Z1827" s="7"/>
    </row>
    <row r="1828" spans="1:26">
      <c r="A1828" s="15" t="s">
        <v>2036</v>
      </c>
      <c r="B1828" s="21" t="s">
        <v>2036</v>
      </c>
      <c r="C1828" s="1" t="str">
        <f>RIGHT(ProductInfo[[#This Row],[Drawing No]],1)</f>
        <v>0</v>
      </c>
      <c r="D1828" s="191" t="s">
        <v>2037</v>
      </c>
      <c r="E1828" s="16"/>
      <c r="F18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8" s="31"/>
      <c r="H1828" s="31"/>
      <c r="I1828" s="1">
        <f>COUNTA(ProductInfo[[#This Row],[P1]:[P15]])</f>
        <v>0</v>
      </c>
      <c r="J18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8" s="7"/>
      <c r="M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>
      <c r="A1829" s="15" t="s">
        <v>2038</v>
      </c>
      <c r="B1829" s="21" t="s">
        <v>2038</v>
      </c>
      <c r="C1829" s="1" t="str">
        <f>RIGHT(ProductInfo[[#This Row],[Drawing No]],1)</f>
        <v>0</v>
      </c>
      <c r="D1829" s="191" t="s">
        <v>2715</v>
      </c>
      <c r="E1829" s="16"/>
      <c r="F18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29" s="31"/>
      <c r="H1829" s="31"/>
      <c r="I1829" s="1">
        <f>COUNTA(ProductInfo[[#This Row],[P1]:[P15]])</f>
        <v>0</v>
      </c>
      <c r="J18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29" s="7"/>
      <c r="M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>
      <c r="A1830" s="15" t="s">
        <v>2039</v>
      </c>
      <c r="B1830" s="21" t="s">
        <v>2039</v>
      </c>
      <c r="C1830" s="1" t="str">
        <f>RIGHT(ProductInfo[[#This Row],[Drawing No]],1)</f>
        <v>0</v>
      </c>
      <c r="D1830" s="191" t="s">
        <v>2040</v>
      </c>
      <c r="E1830" s="16"/>
      <c r="F18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0" s="31"/>
      <c r="H1830" s="31"/>
      <c r="I1830" s="1">
        <f>COUNTA(ProductInfo[[#This Row],[P1]:[P15]])</f>
        <v>0</v>
      </c>
      <c r="J18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0" s="7"/>
      <c r="M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>
      <c r="A1831" s="15" t="s">
        <v>2041</v>
      </c>
      <c r="B1831" s="8" t="s">
        <v>2041</v>
      </c>
      <c r="C1831" s="1" t="str">
        <f>RIGHT(ProductInfo[[#This Row],[Drawing No]],1)</f>
        <v>0</v>
      </c>
      <c r="D1831" s="192" t="s">
        <v>2042</v>
      </c>
      <c r="E1831" s="16"/>
      <c r="F183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1" s="31"/>
      <c r="H1831" s="31"/>
      <c r="I1831" s="1">
        <f>COUNTA(ProductInfo[[#This Row],[P1]:[P15]])</f>
        <v>0</v>
      </c>
      <c r="J18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1" s="7"/>
      <c r="M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>
      <c r="A1832" s="15" t="s">
        <v>2043</v>
      </c>
      <c r="B1832" s="8" t="s">
        <v>2043</v>
      </c>
      <c r="C1832" s="1" t="str">
        <f>RIGHT(ProductInfo[[#This Row],[Drawing No]],1)</f>
        <v>0</v>
      </c>
      <c r="D1832" s="192" t="s">
        <v>2044</v>
      </c>
      <c r="E1832" s="16"/>
      <c r="F18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2" s="31"/>
      <c r="H1832" s="31"/>
      <c r="I1832" s="1">
        <f>COUNTA(ProductInfo[[#This Row],[P1]:[P15]])</f>
        <v>0</v>
      </c>
      <c r="J18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2" s="7"/>
      <c r="M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>
      <c r="A1833" s="15" t="s">
        <v>2045</v>
      </c>
      <c r="B1833" s="21" t="s">
        <v>2045</v>
      </c>
      <c r="C1833" s="1" t="str">
        <f>RIGHT(ProductInfo[[#This Row],[Drawing No]],1)</f>
        <v>0</v>
      </c>
      <c r="D1833" s="191" t="s">
        <v>2046</v>
      </c>
      <c r="E1833" s="16"/>
      <c r="F18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3" s="31"/>
      <c r="H1833" s="31"/>
      <c r="I1833" s="1">
        <f>COUNTA(ProductInfo[[#This Row],[P1]:[P15]])</f>
        <v>0</v>
      </c>
      <c r="J18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3" s="7"/>
      <c r="M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>
      <c r="A1834" s="15" t="s">
        <v>2047</v>
      </c>
      <c r="B1834" s="8" t="s">
        <v>2047</v>
      </c>
      <c r="C1834" s="1" t="str">
        <f>RIGHT(ProductInfo[[#This Row],[Drawing No]],1)</f>
        <v>0</v>
      </c>
      <c r="D1834" s="191" t="s">
        <v>2048</v>
      </c>
      <c r="E1834" s="16"/>
      <c r="F18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4" s="31"/>
      <c r="H1834" s="31"/>
      <c r="I1834" s="1">
        <f>COUNTA(ProductInfo[[#This Row],[P1]:[P15]])</f>
        <v>0</v>
      </c>
      <c r="J18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4" s="7"/>
      <c r="M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>
      <c r="A1835" s="15" t="s">
        <v>2049</v>
      </c>
      <c r="B1835" s="21" t="s">
        <v>2049</v>
      </c>
      <c r="C1835" s="1" t="str">
        <f>RIGHT(ProductInfo[[#This Row],[Drawing No]],1)</f>
        <v>0</v>
      </c>
      <c r="D1835" s="191" t="s">
        <v>2050</v>
      </c>
      <c r="E1835" s="16"/>
      <c r="F18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5" s="31"/>
      <c r="H1835" s="31"/>
      <c r="I1835" s="1">
        <f>COUNTA(ProductInfo[[#This Row],[P1]:[P15]])</f>
        <v>0</v>
      </c>
      <c r="J18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5" s="7"/>
      <c r="M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>
      <c r="A1836" s="15" t="s">
        <v>2051</v>
      </c>
      <c r="B1836" s="21" t="s">
        <v>2051</v>
      </c>
      <c r="C1836" s="1" t="str">
        <f>RIGHT(ProductInfo[[#This Row],[Drawing No]],1)</f>
        <v>0</v>
      </c>
      <c r="D1836" s="191" t="s">
        <v>2716</v>
      </c>
      <c r="E1836" s="16"/>
      <c r="F18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6" s="31"/>
      <c r="H1836" s="31"/>
      <c r="I1836" s="1">
        <f>COUNTA(ProductInfo[[#This Row],[P1]:[P15]])</f>
        <v>0</v>
      </c>
      <c r="J18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6" s="7"/>
      <c r="M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>
      <c r="A1837" s="15" t="s">
        <v>2052</v>
      </c>
      <c r="B1837" s="21" t="s">
        <v>2052</v>
      </c>
      <c r="C1837" s="1" t="str">
        <f>RIGHT(ProductInfo[[#This Row],[Drawing No]],1)</f>
        <v>0</v>
      </c>
      <c r="D1837" s="191" t="s">
        <v>2053</v>
      </c>
      <c r="E1837" s="16"/>
      <c r="F18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7" s="31"/>
      <c r="H1837" s="31"/>
      <c r="I1837" s="1">
        <f>COUNTA(ProductInfo[[#This Row],[P1]:[P15]])</f>
        <v>0</v>
      </c>
      <c r="J18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7" s="7"/>
      <c r="M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>
      <c r="A1838" s="15" t="s">
        <v>2054</v>
      </c>
      <c r="B1838" s="21" t="s">
        <v>2054</v>
      </c>
      <c r="C1838" s="1" t="str">
        <f>RIGHT(ProductInfo[[#This Row],[Drawing No]],1)</f>
        <v>0</v>
      </c>
      <c r="D1838" s="191" t="s">
        <v>2055</v>
      </c>
      <c r="E1838" s="16"/>
      <c r="F18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8" s="31"/>
      <c r="H1838" s="31"/>
      <c r="I1838" s="1">
        <f>COUNTA(ProductInfo[[#This Row],[P1]:[P15]])</f>
        <v>0</v>
      </c>
      <c r="J18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8" s="7"/>
      <c r="M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>
      <c r="A1839" s="15" t="s">
        <v>2056</v>
      </c>
      <c r="B1839" s="21" t="s">
        <v>2056</v>
      </c>
      <c r="C1839" s="1" t="str">
        <f>RIGHT(ProductInfo[[#This Row],[Drawing No]],1)</f>
        <v>2</v>
      </c>
      <c r="D1839" s="191" t="s">
        <v>2717</v>
      </c>
      <c r="E1839" s="16"/>
      <c r="F18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39" s="31"/>
      <c r="H1839" s="31"/>
      <c r="I1839" s="1">
        <f>COUNTA(ProductInfo[[#This Row],[P1]:[P15]])</f>
        <v>0</v>
      </c>
      <c r="J18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39" s="7"/>
      <c r="M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>
      <c r="A1840" s="15" t="s">
        <v>2057</v>
      </c>
      <c r="B1840" s="21" t="s">
        <v>2057</v>
      </c>
      <c r="C1840" s="1" t="str">
        <f>RIGHT(ProductInfo[[#This Row],[Drawing No]],1)</f>
        <v>0</v>
      </c>
      <c r="D1840" s="191" t="s">
        <v>2058</v>
      </c>
      <c r="E1840" s="16"/>
      <c r="F18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0" s="31"/>
      <c r="H1840" s="31"/>
      <c r="I1840" s="1">
        <f>COUNTA(ProductInfo[[#This Row],[P1]:[P15]])</f>
        <v>0</v>
      </c>
      <c r="J18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0" s="7"/>
      <c r="M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>
      <c r="A1841" s="15" t="s">
        <v>2059</v>
      </c>
      <c r="B1841" s="21" t="s">
        <v>2059</v>
      </c>
      <c r="C1841" s="1" t="str">
        <f>RIGHT(ProductInfo[[#This Row],[Drawing No]],1)</f>
        <v>0</v>
      </c>
      <c r="D1841" s="191" t="s">
        <v>2060</v>
      </c>
      <c r="E1841" s="16"/>
      <c r="F18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1" s="31"/>
      <c r="H1841" s="31"/>
      <c r="I1841" s="1">
        <f>COUNTA(ProductInfo[[#This Row],[P1]:[P15]])</f>
        <v>0</v>
      </c>
      <c r="J18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1" s="7"/>
      <c r="M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>
      <c r="A1842" s="15" t="s">
        <v>2061</v>
      </c>
      <c r="B1842" s="21" t="s">
        <v>2061</v>
      </c>
      <c r="C1842" s="1" t="str">
        <f>RIGHT(ProductInfo[[#This Row],[Drawing No]],1)</f>
        <v>0</v>
      </c>
      <c r="D1842" s="191" t="s">
        <v>2062</v>
      </c>
      <c r="E1842" s="16"/>
      <c r="F18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2" s="31"/>
      <c r="H1842" s="31"/>
      <c r="I1842" s="1">
        <f>COUNTA(ProductInfo[[#This Row],[P1]:[P15]])</f>
        <v>0</v>
      </c>
      <c r="J18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2" s="7"/>
      <c r="M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>
      <c r="A1843" s="15" t="s">
        <v>2063</v>
      </c>
      <c r="B1843" s="21" t="s">
        <v>2063</v>
      </c>
      <c r="C1843" s="1" t="str">
        <f>RIGHT(ProductInfo[[#This Row],[Drawing No]],1)</f>
        <v>0</v>
      </c>
      <c r="D1843" s="191" t="s">
        <v>2718</v>
      </c>
      <c r="E1843" s="16"/>
      <c r="F18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3" s="31"/>
      <c r="H1843" s="31"/>
      <c r="I1843" s="1">
        <f>COUNTA(ProductInfo[[#This Row],[P1]:[P15]])</f>
        <v>0</v>
      </c>
      <c r="J18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3" s="7"/>
      <c r="M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>
      <c r="A1844" s="15" t="s">
        <v>2064</v>
      </c>
      <c r="B1844" s="21" t="s">
        <v>2064</v>
      </c>
      <c r="C1844" s="1" t="str">
        <f>RIGHT(ProductInfo[[#This Row],[Drawing No]],1)</f>
        <v>1</v>
      </c>
      <c r="D1844" s="191" t="s">
        <v>2065</v>
      </c>
      <c r="E1844" s="16"/>
      <c r="F18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4" s="31"/>
      <c r="H1844" s="31"/>
      <c r="I1844" s="1">
        <f>COUNTA(ProductInfo[[#This Row],[P1]:[P15]])</f>
        <v>0</v>
      </c>
      <c r="J18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4" s="7"/>
      <c r="M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>
      <c r="A1845" s="15" t="s">
        <v>2066</v>
      </c>
      <c r="B1845" s="21" t="s">
        <v>2066</v>
      </c>
      <c r="C1845" s="1" t="str">
        <f>RIGHT(ProductInfo[[#This Row],[Drawing No]],1)</f>
        <v>1</v>
      </c>
      <c r="D1845" s="191" t="s">
        <v>2067</v>
      </c>
      <c r="E1845" s="16"/>
      <c r="F18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5" s="31"/>
      <c r="H1845" s="31"/>
      <c r="I1845" s="1">
        <f>COUNTA(ProductInfo[[#This Row],[P1]:[P15]])</f>
        <v>0</v>
      </c>
      <c r="J18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5" s="7"/>
      <c r="M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>
      <c r="A1846" s="15" t="s">
        <v>2068</v>
      </c>
      <c r="B1846" s="21" t="s">
        <v>2068</v>
      </c>
      <c r="C1846" s="1" t="str">
        <f>RIGHT(ProductInfo[[#This Row],[Drawing No]],1)</f>
        <v>1</v>
      </c>
      <c r="D1846" s="191" t="s">
        <v>2069</v>
      </c>
      <c r="E1846" s="16"/>
      <c r="F18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6" s="31"/>
      <c r="H1846" s="31"/>
      <c r="I1846" s="1">
        <f>COUNTA(ProductInfo[[#This Row],[P1]:[P15]])</f>
        <v>0</v>
      </c>
      <c r="J18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6" s="7"/>
      <c r="M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>
      <c r="A1847" s="8" t="s">
        <v>2070</v>
      </c>
      <c r="B1847" s="8" t="s">
        <v>2070</v>
      </c>
      <c r="C1847" s="1" t="str">
        <f>RIGHT(ProductInfo[[#This Row],[Drawing No]],1)</f>
        <v>1</v>
      </c>
      <c r="D1847" s="176" t="s">
        <v>2071</v>
      </c>
      <c r="E1847" s="16"/>
      <c r="F18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7" s="31"/>
      <c r="H1847" s="31"/>
      <c r="I1847" s="1">
        <f>COUNTA(ProductInfo[[#This Row],[P1]:[P15]])</f>
        <v>0</v>
      </c>
      <c r="J18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7" s="7"/>
      <c r="M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>
      <c r="A1848" s="15" t="s">
        <v>2072</v>
      </c>
      <c r="B1848" s="21" t="s">
        <v>2072</v>
      </c>
      <c r="C1848" s="1" t="str">
        <f>RIGHT(ProductInfo[[#This Row],[Drawing No]],1)</f>
        <v>0</v>
      </c>
      <c r="D1848" s="191" t="s">
        <v>2719</v>
      </c>
      <c r="E1848" s="16"/>
      <c r="F18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8" s="31"/>
      <c r="H1848" s="31"/>
      <c r="I1848" s="1">
        <f>COUNTA(ProductInfo[[#This Row],[P1]:[P15]])</f>
        <v>0</v>
      </c>
      <c r="J18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8" s="7"/>
      <c r="M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>
      <c r="A1849" s="15" t="s">
        <v>2073</v>
      </c>
      <c r="B1849" s="21" t="s">
        <v>2073</v>
      </c>
      <c r="C1849" s="1" t="str">
        <f>RIGHT(ProductInfo[[#This Row],[Drawing No]],1)</f>
        <v>0</v>
      </c>
      <c r="D1849" s="191" t="s">
        <v>2720</v>
      </c>
      <c r="E1849" s="16"/>
      <c r="F18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49" s="31"/>
      <c r="H1849" s="31"/>
      <c r="I1849" s="1">
        <f>COUNTA(ProductInfo[[#This Row],[P1]:[P15]])</f>
        <v>0</v>
      </c>
      <c r="J18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49" s="7"/>
      <c r="M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s="1" customFormat="1">
      <c r="A1850" s="15" t="s">
        <v>2074</v>
      </c>
      <c r="B1850" s="21" t="s">
        <v>2074</v>
      </c>
      <c r="C1850" s="1" t="str">
        <f>RIGHT(ProductInfo[[#This Row],[Drawing No]],1)</f>
        <v>1</v>
      </c>
      <c r="D1850" s="191" t="s">
        <v>2721</v>
      </c>
      <c r="E1850" s="16"/>
      <c r="F18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0" s="31"/>
      <c r="H1850" s="31"/>
      <c r="I1850" s="1">
        <f>COUNTA(ProductInfo[[#This Row],[P1]:[P15]])</f>
        <v>0</v>
      </c>
      <c r="J18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s="1" customFormat="1">
      <c r="A1851" s="15" t="s">
        <v>2075</v>
      </c>
      <c r="B1851" s="21" t="s">
        <v>2075</v>
      </c>
      <c r="C1851" s="1" t="str">
        <f>RIGHT(ProductInfo[[#This Row],[Drawing No]],1)</f>
        <v>0</v>
      </c>
      <c r="D1851" s="191" t="s">
        <v>3250</v>
      </c>
      <c r="E1851" s="16"/>
      <c r="F18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1" s="31"/>
      <c r="H1851" s="31"/>
      <c r="I1851" s="1">
        <f>COUNTA(ProductInfo[[#This Row],[P1]:[P15]])</f>
        <v>0</v>
      </c>
      <c r="J18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>
      <c r="A1852" s="8" t="s">
        <v>2076</v>
      </c>
      <c r="B1852" s="8" t="s">
        <v>4383</v>
      </c>
      <c r="C1852" s="2" t="str">
        <f>RIGHT(ProductInfo[[#This Row],[Drawing No]],1)</f>
        <v>0</v>
      </c>
      <c r="D1852" s="179" t="s">
        <v>2722</v>
      </c>
      <c r="E1852" s="16" t="s">
        <v>3437</v>
      </c>
      <c r="F1852" s="23" t="str">
        <f>IFERROR(INDEX(MaterialCode[รายละเอียด],MATCH(ProductInfo[[#This Row],[Material Code]],MaterialCode[Material Code],0)),"ไม่พบวัตถุดิบ")</f>
        <v>ท่ออลูมีเนียมรูทำ CLAMP 34 MM.</v>
      </c>
      <c r="G1852" s="59">
        <v>30</v>
      </c>
      <c r="H1852" s="59">
        <v>100</v>
      </c>
      <c r="I1852" s="1">
        <f>COUNTA(ProductInfo[[#This Row],[P1]:[P15]])</f>
        <v>2</v>
      </c>
      <c r="J18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1852" s="7" t="s">
        <v>15</v>
      </c>
      <c r="M1852" s="7" t="s">
        <v>16</v>
      </c>
    </row>
    <row r="1853" spans="1:26">
      <c r="A1853" s="8" t="s">
        <v>2077</v>
      </c>
      <c r="B1853" s="8" t="s">
        <v>2077</v>
      </c>
      <c r="C1853" s="1" t="str">
        <f>RIGHT(ProductInfo[[#This Row],[Drawing No]],1)</f>
        <v>0</v>
      </c>
      <c r="D1853" s="179" t="s">
        <v>2078</v>
      </c>
      <c r="E1853" s="18"/>
      <c r="F185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3" s="32"/>
      <c r="H1853" s="32"/>
      <c r="I1853" s="1">
        <f>COUNTA(ProductInfo[[#This Row],[P1]:[P15]])</f>
        <v>0</v>
      </c>
      <c r="J18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3" s="7"/>
      <c r="M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>
      <c r="A1854" s="15" t="s">
        <v>2079</v>
      </c>
      <c r="B1854" s="21" t="s">
        <v>4382</v>
      </c>
      <c r="C1854" s="1" t="str">
        <f>RIGHT(ProductInfo[[#This Row],[Drawing No]],1)</f>
        <v>0</v>
      </c>
      <c r="D1854" s="191" t="s">
        <v>2723</v>
      </c>
      <c r="E1854" s="16" t="s">
        <v>3455</v>
      </c>
      <c r="F1854" s="23" t="str">
        <f>IFERROR(INDEX(MaterialCode[รายละเอียด],MATCH(ProductInfo[[#This Row],[Material Code]],MaterialCode[Material Code],0)),"ไม่พบวัตถุดิบ")</f>
        <v>ท่ออลูมีเนียม 24.4 มม*66มม.*36.7มม.*22.00 มม</v>
      </c>
      <c r="G1854" s="59">
        <v>37</v>
      </c>
      <c r="H1854" s="59">
        <v>100</v>
      </c>
      <c r="I1854" s="1">
        <f>COUNTA(ProductInfo[[#This Row],[P1]:[P15]])</f>
        <v>2</v>
      </c>
      <c r="J18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54" s="7" t="s">
        <v>12</v>
      </c>
      <c r="M1854" s="7" t="s">
        <v>15</v>
      </c>
      <c r="R1854" s="7"/>
      <c r="S1854" s="7"/>
    </row>
    <row r="1855" spans="1:26">
      <c r="A1855" s="15" t="s">
        <v>2080</v>
      </c>
      <c r="B1855" s="21" t="s">
        <v>2080</v>
      </c>
      <c r="C1855" s="1" t="str">
        <f>RIGHT(ProductInfo[[#This Row],[Drawing No]],1)</f>
        <v>0</v>
      </c>
      <c r="D1855" s="191" t="s">
        <v>2081</v>
      </c>
      <c r="E1855" s="16"/>
      <c r="F18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5" s="31"/>
      <c r="H1855" s="31"/>
      <c r="I1855" s="1">
        <f>COUNTA(ProductInfo[[#This Row],[P1]:[P15]])</f>
        <v>0</v>
      </c>
      <c r="J18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5" s="7"/>
      <c r="M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>
      <c r="A1856" s="15" t="s">
        <v>2082</v>
      </c>
      <c r="B1856" s="21" t="s">
        <v>2082</v>
      </c>
      <c r="C1856" s="1" t="str">
        <f>RIGHT(ProductInfo[[#This Row],[Drawing No]],1)</f>
        <v>1</v>
      </c>
      <c r="D1856" s="191" t="s">
        <v>2083</v>
      </c>
      <c r="E1856" s="16"/>
      <c r="F18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6" s="31"/>
      <c r="H1856" s="31"/>
      <c r="I1856" s="1">
        <f>COUNTA(ProductInfo[[#This Row],[P1]:[P15]])</f>
        <v>0</v>
      </c>
      <c r="J18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6" s="7"/>
      <c r="M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s="1" customFormat="1">
      <c r="A1857" s="15" t="s">
        <v>2084</v>
      </c>
      <c r="B1857" s="8" t="s">
        <v>2084</v>
      </c>
      <c r="C1857" s="1" t="str">
        <f>RIGHT(ProductInfo[[#This Row],[Drawing No]],1)</f>
        <v>2</v>
      </c>
      <c r="D1857" s="191" t="s">
        <v>2081</v>
      </c>
      <c r="E1857" s="16"/>
      <c r="F18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7" s="31"/>
      <c r="H1857" s="31"/>
      <c r="I1857" s="1">
        <f>COUNTA(ProductInfo[[#This Row],[P1]:[P15]])</f>
        <v>0</v>
      </c>
      <c r="J18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s="1" customFormat="1">
      <c r="A1858" s="15" t="s">
        <v>2085</v>
      </c>
      <c r="B1858" s="8" t="s">
        <v>2085</v>
      </c>
      <c r="C1858" s="1" t="str">
        <f>RIGHT(ProductInfo[[#This Row],[Drawing No]],1)</f>
        <v>0</v>
      </c>
      <c r="D1858" s="191" t="s">
        <v>2724</v>
      </c>
      <c r="E1858" s="16"/>
      <c r="F18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8" s="31"/>
      <c r="H1858" s="31"/>
      <c r="I1858" s="1">
        <f>COUNTA(ProductInfo[[#This Row],[P1]:[P15]])</f>
        <v>0</v>
      </c>
      <c r="J18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>
      <c r="A1859" s="8" t="s">
        <v>2086</v>
      </c>
      <c r="B1859" s="8" t="s">
        <v>4408</v>
      </c>
      <c r="C1859" s="2" t="str">
        <f>RIGHT(ProductInfo[[#This Row],[Drawing No]],1)</f>
        <v>2</v>
      </c>
      <c r="D1859" s="176" t="s">
        <v>4409</v>
      </c>
      <c r="E1859" s="16"/>
      <c r="F18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59" s="31"/>
      <c r="H1859" s="31"/>
      <c r="I1859" s="1">
        <f>COUNTA(ProductInfo[[#This Row],[P1]:[P15]])</f>
        <v>0</v>
      </c>
      <c r="J18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59" s="4"/>
    </row>
    <row r="1860" spans="1:26">
      <c r="A1860" s="8" t="s">
        <v>2087</v>
      </c>
      <c r="B1860" s="8" t="s">
        <v>2087</v>
      </c>
      <c r="C1860" s="1" t="str">
        <f>RIGHT(ProductInfo[[#This Row],[Drawing No]],1)</f>
        <v>0</v>
      </c>
      <c r="D1860" s="176" t="s">
        <v>2725</v>
      </c>
      <c r="E1860" s="16"/>
      <c r="F186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0" s="31"/>
      <c r="H1860" s="31"/>
      <c r="I1860" s="1">
        <f>COUNTA(ProductInfo[[#This Row],[P1]:[P15]])</f>
        <v>0</v>
      </c>
      <c r="J18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0" s="7"/>
      <c r="M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>
      <c r="A1861" s="54" t="s">
        <v>2088</v>
      </c>
      <c r="B1861" s="8" t="s">
        <v>2088</v>
      </c>
      <c r="C1861" s="1" t="str">
        <f>RIGHT(ProductInfo[[#This Row],[Drawing No]],1)</f>
        <v>2</v>
      </c>
      <c r="D1861" s="174" t="s">
        <v>2726</v>
      </c>
      <c r="E1861" s="16" t="s">
        <v>3498</v>
      </c>
      <c r="F1861" s="23" t="str">
        <f>IFERROR(INDEX(MaterialCode[รายละเอียด],MATCH(ProductInfo[[#This Row],[Material Code]],MaterialCode[Material Code],0)),"ไม่พบวัตถุดิบ")</f>
        <v>เพลาอลูมีเนี่ยมโต 25.2 มม.</v>
      </c>
      <c r="G1861" s="31"/>
      <c r="H1861" s="31"/>
      <c r="I1861" s="1">
        <f>COUNTA(ProductInfo[[#This Row],[P1]:[P15]])</f>
        <v>2</v>
      </c>
      <c r="J18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8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1" s="7" t="s">
        <v>12</v>
      </c>
      <c r="M1861" s="7" t="s">
        <v>13</v>
      </c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>
      <c r="A1862" s="54" t="s">
        <v>2089</v>
      </c>
      <c r="B1862" s="8" t="s">
        <v>2089</v>
      </c>
      <c r="C1862" s="1" t="str">
        <f>RIGHT(ProductInfo[[#This Row],[Drawing No]],1)</f>
        <v>3</v>
      </c>
      <c r="D1862" s="195" t="s">
        <v>2857</v>
      </c>
      <c r="E1862" s="18"/>
      <c r="F186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2" s="32"/>
      <c r="H1862" s="32"/>
      <c r="I1862" s="1">
        <f>COUNTA(ProductInfo[[#This Row],[P1]:[P15]])</f>
        <v>0</v>
      </c>
      <c r="J18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2" s="7"/>
      <c r="M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>
      <c r="A1863" s="54" t="s">
        <v>2090</v>
      </c>
      <c r="B1863" s="8" t="s">
        <v>2090</v>
      </c>
      <c r="C1863" s="1" t="str">
        <f>RIGHT(ProductInfo[[#This Row],[Drawing No]],1)</f>
        <v>0</v>
      </c>
      <c r="D1863" s="174" t="s">
        <v>2091</v>
      </c>
      <c r="E1863" s="16"/>
      <c r="F186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3" s="31"/>
      <c r="H1863" s="31"/>
      <c r="I1863" s="1">
        <f>COUNTA(ProductInfo[[#This Row],[P1]:[P15]])</f>
        <v>0</v>
      </c>
      <c r="J18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3" s="7"/>
      <c r="M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>
      <c r="A1864" s="54" t="s">
        <v>2092</v>
      </c>
      <c r="B1864" s="8" t="s">
        <v>2092</v>
      </c>
      <c r="C1864" s="1" t="str">
        <f>RIGHT(ProductInfo[[#This Row],[Drawing No]],1)</f>
        <v>1</v>
      </c>
      <c r="D1864" s="174" t="s">
        <v>2727</v>
      </c>
      <c r="E1864" s="16"/>
      <c r="F186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4" s="31"/>
      <c r="H1864" s="31"/>
      <c r="I1864" s="1">
        <f>COUNTA(ProductInfo[[#This Row],[P1]:[P15]])</f>
        <v>0</v>
      </c>
      <c r="J18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4" s="7"/>
      <c r="M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>
      <c r="A1865" s="54" t="s">
        <v>2093</v>
      </c>
      <c r="B1865" s="8" t="s">
        <v>2093</v>
      </c>
      <c r="C1865" s="1" t="str">
        <f>RIGHT(ProductInfo[[#This Row],[Drawing No]],1)</f>
        <v>0</v>
      </c>
      <c r="D1865" s="174" t="s">
        <v>2728</v>
      </c>
      <c r="E1865" s="16"/>
      <c r="F18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5" s="31"/>
      <c r="H1865" s="31"/>
      <c r="I1865" s="1">
        <f>COUNTA(ProductInfo[[#This Row],[P1]:[P15]])</f>
        <v>0</v>
      </c>
      <c r="J18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5" s="7"/>
      <c r="M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>
      <c r="A1866" s="54" t="s">
        <v>2094</v>
      </c>
      <c r="B1866" s="8" t="s">
        <v>2094</v>
      </c>
      <c r="C1866" s="1" t="str">
        <f>RIGHT(ProductInfo[[#This Row],[Drawing No]],1)</f>
        <v>0</v>
      </c>
      <c r="D1866" s="174" t="s">
        <v>3251</v>
      </c>
      <c r="E1866" s="16"/>
      <c r="F18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6" s="31"/>
      <c r="H1866" s="31"/>
      <c r="I1866" s="1">
        <f>COUNTA(ProductInfo[[#This Row],[P1]:[P15]])</f>
        <v>0</v>
      </c>
      <c r="J18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6" s="7"/>
      <c r="M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>
      <c r="A1867" s="54" t="s">
        <v>2095</v>
      </c>
      <c r="B1867" s="8" t="s">
        <v>2095</v>
      </c>
      <c r="C1867" s="1" t="str">
        <f>RIGHT(ProductInfo[[#This Row],[Drawing No]],1)</f>
        <v>1</v>
      </c>
      <c r="D1867" s="174" t="s">
        <v>3252</v>
      </c>
      <c r="E1867" s="16"/>
      <c r="F18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7" s="31"/>
      <c r="H1867" s="31"/>
      <c r="I1867" s="1">
        <f>COUNTA(ProductInfo[[#This Row],[P1]:[P15]])</f>
        <v>0</v>
      </c>
      <c r="J18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7" s="7"/>
      <c r="M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>
      <c r="A1868" s="54" t="s">
        <v>2096</v>
      </c>
      <c r="B1868" s="8" t="s">
        <v>2096</v>
      </c>
      <c r="C1868" s="1" t="str">
        <f>RIGHT(ProductInfo[[#This Row],[Drawing No]],1)</f>
        <v>2</v>
      </c>
      <c r="D1868" s="174" t="s">
        <v>2097</v>
      </c>
      <c r="E1868" s="16"/>
      <c r="F18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8" s="31"/>
      <c r="H1868" s="31"/>
      <c r="I1868" s="1">
        <f>COUNTA(ProductInfo[[#This Row],[P1]:[P15]])</f>
        <v>0</v>
      </c>
      <c r="J18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8" s="7"/>
      <c r="M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>
      <c r="A1869" s="54" t="s">
        <v>2098</v>
      </c>
      <c r="B1869" s="8" t="s">
        <v>2098</v>
      </c>
      <c r="C1869" s="1" t="str">
        <f>RIGHT(ProductInfo[[#This Row],[Drawing No]],1)</f>
        <v>0</v>
      </c>
      <c r="D1869" s="174" t="s">
        <v>2099</v>
      </c>
      <c r="E1869" s="16"/>
      <c r="F18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69" s="31"/>
      <c r="H1869" s="31"/>
      <c r="I1869" s="1">
        <f>COUNTA(ProductInfo[[#This Row],[P1]:[P15]])</f>
        <v>0</v>
      </c>
      <c r="J18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69" s="7"/>
      <c r="M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>
      <c r="A1870" s="54" t="s">
        <v>2100</v>
      </c>
      <c r="B1870" s="8" t="s">
        <v>2100</v>
      </c>
      <c r="C1870" s="1" t="str">
        <f>RIGHT(ProductInfo[[#This Row],[Drawing No]],1)</f>
        <v>1</v>
      </c>
      <c r="D1870" s="174" t="s">
        <v>3253</v>
      </c>
      <c r="E1870" s="16"/>
      <c r="F18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0" s="31"/>
      <c r="H1870" s="31"/>
      <c r="I1870" s="1">
        <f>COUNTA(ProductInfo[[#This Row],[P1]:[P15]])</f>
        <v>0</v>
      </c>
      <c r="J18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0" s="7"/>
      <c r="M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>
      <c r="A1871" s="54" t="s">
        <v>2101</v>
      </c>
      <c r="B1871" s="8" t="s">
        <v>2101</v>
      </c>
      <c r="C1871" s="2" t="str">
        <f>RIGHT(ProductInfo[[#This Row],[Drawing No]],1)</f>
        <v>0</v>
      </c>
      <c r="D1871" s="174" t="s">
        <v>3262</v>
      </c>
      <c r="E1871" s="16"/>
      <c r="F187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1" s="31"/>
      <c r="H1871" s="31"/>
      <c r="I1871" s="2">
        <f>COUNTA(ProductInfo[[#This Row],[P1]:[P15]])</f>
        <v>0</v>
      </c>
      <c r="J1871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1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1" s="4"/>
      <c r="T1871" s="7"/>
      <c r="U1871" s="7"/>
      <c r="V1871" s="7"/>
      <c r="W1871" s="7"/>
      <c r="X1871" s="7"/>
      <c r="Y1871" s="7"/>
      <c r="Z1871" s="7"/>
    </row>
    <row r="1872" spans="1:26">
      <c r="A1872" s="15" t="s">
        <v>2102</v>
      </c>
      <c r="B1872" s="8" t="s">
        <v>2102</v>
      </c>
      <c r="C1872" s="2" t="str">
        <f>RIGHT(ProductInfo[[#This Row],[Drawing No]],1)</f>
        <v>1</v>
      </c>
      <c r="D1872" s="193" t="s">
        <v>3263</v>
      </c>
      <c r="E1872" s="18"/>
      <c r="F187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2" s="32"/>
      <c r="H1872" s="32"/>
      <c r="I1872" s="2">
        <f>COUNTA(ProductInfo[[#This Row],[P1]:[P15]])</f>
        <v>0</v>
      </c>
      <c r="J1872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2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2" s="4"/>
      <c r="T1872" s="7"/>
      <c r="U1872" s="7"/>
      <c r="V1872" s="7"/>
      <c r="W1872" s="7"/>
      <c r="X1872" s="7"/>
      <c r="Y1872" s="7"/>
      <c r="Z1872" s="7"/>
    </row>
    <row r="1873" spans="1:26">
      <c r="A1873" s="15" t="s">
        <v>2103</v>
      </c>
      <c r="B1873" s="8" t="s">
        <v>3750</v>
      </c>
      <c r="C1873" s="2" t="str">
        <f>RIGHT(ProductInfo[[#This Row],[Drawing No]],1)</f>
        <v>0</v>
      </c>
      <c r="D1873" s="193" t="s">
        <v>3264</v>
      </c>
      <c r="E1873" s="18" t="s">
        <v>3751</v>
      </c>
      <c r="F187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3" s="3">
        <v>35</v>
      </c>
      <c r="H1873" s="3"/>
      <c r="I1873" s="2">
        <f>COUNTA(ProductInfo[[#This Row],[P1]:[P15]])</f>
        <v>0</v>
      </c>
      <c r="J1873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3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3" s="4"/>
    </row>
    <row r="1874" spans="1:26">
      <c r="A1874" s="15" t="s">
        <v>2104</v>
      </c>
      <c r="B1874" s="8" t="s">
        <v>2104</v>
      </c>
      <c r="C1874" s="1" t="str">
        <f>RIGHT(ProductInfo[[#This Row],[Drawing No]],1)</f>
        <v>0</v>
      </c>
      <c r="D1874" s="191" t="s">
        <v>2105</v>
      </c>
      <c r="E1874" s="16" t="s">
        <v>3510</v>
      </c>
      <c r="F1874" s="23" t="str">
        <f>IFERROR(INDEX(MaterialCode[รายละเอียด],MATCH(ProductInfo[[#This Row],[Material Code]],MaterialCode[Material Code],0)),"ไม่พบวัตถุดิบ")</f>
        <v>เพลาอลูมีเนียมโต 22.5 มม.</v>
      </c>
      <c r="G1874" s="59">
        <v>10.5</v>
      </c>
      <c r="H1874" s="59"/>
      <c r="I1874" s="1">
        <f>COUNTA(ProductInfo[[#This Row],[P1]:[P15]])</f>
        <v>2</v>
      </c>
      <c r="J18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8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4" s="7" t="s">
        <v>12</v>
      </c>
      <c r="M1874" s="7" t="s">
        <v>13</v>
      </c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>
      <c r="A1875" s="8" t="s">
        <v>2106</v>
      </c>
      <c r="B1875" s="8" t="s">
        <v>2106</v>
      </c>
      <c r="C1875" s="1" t="str">
        <f>RIGHT(ProductInfo[[#This Row],[Drawing No]],1)</f>
        <v>0</v>
      </c>
      <c r="D1875" s="176" t="s">
        <v>2729</v>
      </c>
      <c r="E1875" s="16"/>
      <c r="F18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5" s="31"/>
      <c r="H1875" s="31"/>
      <c r="I1875" s="1">
        <f>COUNTA(ProductInfo[[#This Row],[P1]:[P15]])</f>
        <v>0</v>
      </c>
      <c r="J18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5" s="7"/>
      <c r="M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>
      <c r="A1876" s="8" t="s">
        <v>2107</v>
      </c>
      <c r="B1876" s="8" t="s">
        <v>2107</v>
      </c>
      <c r="C1876" s="1" t="str">
        <f>RIGHT(ProductInfo[[#This Row],[Drawing No]],1)</f>
        <v>0</v>
      </c>
      <c r="D1876" s="179" t="s">
        <v>2108</v>
      </c>
      <c r="E1876" s="18"/>
      <c r="F187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6" s="32"/>
      <c r="H1876" s="32"/>
      <c r="I1876" s="1">
        <f>COUNTA(ProductInfo[[#This Row],[P1]:[P15]])</f>
        <v>0</v>
      </c>
      <c r="J18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6" s="7"/>
      <c r="M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>
      <c r="A1877" s="8" t="s">
        <v>2109</v>
      </c>
      <c r="B1877" s="8" t="s">
        <v>2109</v>
      </c>
      <c r="C1877" s="1" t="str">
        <f>RIGHT(ProductInfo[[#This Row],[Drawing No]],1)</f>
        <v>0</v>
      </c>
      <c r="D1877" s="179" t="s">
        <v>2110</v>
      </c>
      <c r="E1877" s="18"/>
      <c r="F187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7" s="32"/>
      <c r="H1877" s="32"/>
      <c r="I1877" s="1">
        <f>COUNTA(ProductInfo[[#This Row],[P1]:[P15]])</f>
        <v>0</v>
      </c>
      <c r="J18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7" s="7"/>
      <c r="M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>
      <c r="A1878" s="8" t="s">
        <v>2111</v>
      </c>
      <c r="B1878" s="8" t="s">
        <v>2111</v>
      </c>
      <c r="C1878" s="1" t="str">
        <f>RIGHT(ProductInfo[[#This Row],[Drawing No]],1)</f>
        <v>2</v>
      </c>
      <c r="D1878" s="176" t="s">
        <v>2112</v>
      </c>
      <c r="E1878" s="16"/>
      <c r="F18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8" s="31"/>
      <c r="H1878" s="31"/>
      <c r="I1878" s="1">
        <f>COUNTA(ProductInfo[[#This Row],[P1]:[P15]])</f>
        <v>0</v>
      </c>
      <c r="J18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8" s="7"/>
      <c r="M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>
      <c r="A1879" s="15" t="s">
        <v>2113</v>
      </c>
      <c r="B1879" s="21" t="s">
        <v>2113</v>
      </c>
      <c r="C1879" s="1" t="str">
        <f>RIGHT(ProductInfo[[#This Row],[Drawing No]],1)</f>
        <v>0</v>
      </c>
      <c r="D1879" s="191" t="s">
        <v>2114</v>
      </c>
      <c r="E1879" s="16"/>
      <c r="F18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79" s="31"/>
      <c r="H1879" s="31"/>
      <c r="I1879" s="1">
        <f>COUNTA(ProductInfo[[#This Row],[P1]:[P15]])</f>
        <v>0</v>
      </c>
      <c r="J18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79" s="7"/>
      <c r="M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>
      <c r="A1880" s="15" t="s">
        <v>2115</v>
      </c>
      <c r="B1880" s="21" t="s">
        <v>2115</v>
      </c>
      <c r="C1880" s="1" t="str">
        <f>RIGHT(ProductInfo[[#This Row],[Drawing No]],1)</f>
        <v>1</v>
      </c>
      <c r="D1880" s="191" t="s">
        <v>2116</v>
      </c>
      <c r="E1880" s="16"/>
      <c r="F18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0" s="31"/>
      <c r="H1880" s="31"/>
      <c r="I1880" s="1">
        <f>COUNTA(ProductInfo[[#This Row],[P1]:[P15]])</f>
        <v>0</v>
      </c>
      <c r="J18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0" s="7"/>
      <c r="M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>
      <c r="A1881" s="15" t="s">
        <v>2117</v>
      </c>
      <c r="B1881" s="21" t="s">
        <v>2117</v>
      </c>
      <c r="C1881" s="1" t="str">
        <f>RIGHT(ProductInfo[[#This Row],[Drawing No]],1)</f>
        <v>1</v>
      </c>
      <c r="D1881" s="193" t="s">
        <v>2118</v>
      </c>
      <c r="E1881" s="18"/>
      <c r="F188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1" s="32"/>
      <c r="H1881" s="32"/>
      <c r="I1881" s="1">
        <f>COUNTA(ProductInfo[[#This Row],[P1]:[P15]])</f>
        <v>0</v>
      </c>
      <c r="J18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1" s="7"/>
      <c r="M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>
      <c r="A1882" s="15" t="s">
        <v>2119</v>
      </c>
      <c r="B1882" s="21" t="s">
        <v>2119</v>
      </c>
      <c r="C1882" s="1" t="str">
        <f>RIGHT(ProductInfo[[#This Row],[Drawing No]],1)</f>
        <v>2</v>
      </c>
      <c r="D1882" s="193" t="s">
        <v>3079</v>
      </c>
      <c r="E1882" s="16"/>
      <c r="F188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2" s="31"/>
      <c r="H1882" s="31"/>
      <c r="I1882" s="1"/>
      <c r="J1882" s="1"/>
      <c r="K1882" s="1"/>
      <c r="L1882" s="4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>
      <c r="A1883" s="15" t="s">
        <v>2120</v>
      </c>
      <c r="B1883" s="21" t="s">
        <v>2120</v>
      </c>
      <c r="C1883" s="1" t="str">
        <f>RIGHT(ProductInfo[[#This Row],[Drawing No]],1)</f>
        <v>0</v>
      </c>
      <c r="D1883" s="191" t="s">
        <v>2121</v>
      </c>
      <c r="E1883" s="16"/>
      <c r="F18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3" s="31"/>
      <c r="H1883" s="31"/>
      <c r="I1883" s="1">
        <f>COUNTA(ProductInfo[[#This Row],[P1]:[P15]])</f>
        <v>0</v>
      </c>
      <c r="J18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3" s="7"/>
      <c r="M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>
      <c r="A1884" s="15" t="s">
        <v>2122</v>
      </c>
      <c r="B1884" s="21" t="s">
        <v>2122</v>
      </c>
      <c r="C1884" s="1" t="str">
        <f>RIGHT(ProductInfo[[#This Row],[Drawing No]],1)</f>
        <v>1</v>
      </c>
      <c r="D1884" s="191" t="s">
        <v>2730</v>
      </c>
      <c r="E1884" s="16"/>
      <c r="F18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4" s="31"/>
      <c r="H1884" s="31"/>
      <c r="I1884" s="1">
        <f>COUNTA(ProductInfo[[#This Row],[P1]:[P15]])</f>
        <v>0</v>
      </c>
      <c r="J18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4" s="7"/>
      <c r="M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s="1" customFormat="1">
      <c r="A1885" s="8" t="s">
        <v>2123</v>
      </c>
      <c r="B1885" s="8" t="s">
        <v>2123</v>
      </c>
      <c r="C1885" s="1" t="str">
        <f>RIGHT(ProductInfo[[#This Row],[Drawing No]],1)</f>
        <v>2</v>
      </c>
      <c r="D1885" s="176" t="s">
        <v>2731</v>
      </c>
      <c r="E1885" s="16"/>
      <c r="F18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5" s="31"/>
      <c r="H1885" s="31"/>
      <c r="I1885" s="1">
        <f>COUNTA(ProductInfo[[#This Row],[P1]:[P15]])</f>
        <v>0</v>
      </c>
      <c r="J18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s="1" customFormat="1">
      <c r="A1886" s="8" t="s">
        <v>2124</v>
      </c>
      <c r="B1886" s="8" t="s">
        <v>2124</v>
      </c>
      <c r="C1886" s="1" t="str">
        <f>RIGHT(ProductInfo[[#This Row],[Drawing No]],1)</f>
        <v>0</v>
      </c>
      <c r="D1886" s="176" t="s">
        <v>2125</v>
      </c>
      <c r="E1886" s="16"/>
      <c r="F18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6" s="31"/>
      <c r="H1886" s="31"/>
      <c r="I1886" s="1">
        <f>COUNTA(ProductInfo[[#This Row],[P1]:[P15]])</f>
        <v>0</v>
      </c>
      <c r="J18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s="1" customFormat="1">
      <c r="A1887" s="8" t="s">
        <v>2126</v>
      </c>
      <c r="B1887" s="8" t="s">
        <v>2126</v>
      </c>
      <c r="C1887" s="1" t="str">
        <f>RIGHT(ProductInfo[[#This Row],[Drawing No]],1)</f>
        <v>1</v>
      </c>
      <c r="D1887" s="176" t="s">
        <v>2732</v>
      </c>
      <c r="E1887" s="16"/>
      <c r="F18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7" s="31"/>
      <c r="H1887" s="31"/>
      <c r="I1887" s="1">
        <f>COUNTA(ProductInfo[[#This Row],[P1]:[P15]])</f>
        <v>0</v>
      </c>
      <c r="J18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s="1" customFormat="1">
      <c r="A1888" s="8" t="s">
        <v>2127</v>
      </c>
      <c r="B1888" s="8" t="s">
        <v>2127</v>
      </c>
      <c r="C1888" s="1" t="str">
        <f>RIGHT(ProductInfo[[#This Row],[Drawing No]],1)</f>
        <v>0</v>
      </c>
      <c r="D1888" s="176" t="s">
        <v>2125</v>
      </c>
      <c r="E1888" s="16"/>
      <c r="F18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8" s="31"/>
      <c r="H1888" s="31"/>
      <c r="I1888" s="1">
        <f>COUNTA(ProductInfo[[#This Row],[P1]:[P15]])</f>
        <v>0</v>
      </c>
      <c r="J18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>
      <c r="A1889" s="15" t="s">
        <v>2128</v>
      </c>
      <c r="B1889" s="21" t="s">
        <v>2128</v>
      </c>
      <c r="C1889" s="1" t="str">
        <f>RIGHT(ProductInfo[[#This Row],[Drawing No]],1)</f>
        <v>1</v>
      </c>
      <c r="D1889" s="191" t="s">
        <v>3080</v>
      </c>
      <c r="E1889" s="16"/>
      <c r="F18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89" s="31"/>
      <c r="H1889" s="31"/>
      <c r="I1889" s="1">
        <f>COUNTA(ProductInfo[[#This Row],[P1]:[P15]])</f>
        <v>0</v>
      </c>
      <c r="J18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89" s="7"/>
      <c r="M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>
      <c r="A1890" s="15" t="s">
        <v>2129</v>
      </c>
      <c r="B1890" s="21" t="s">
        <v>2129</v>
      </c>
      <c r="C1890" s="1" t="str">
        <f>RIGHT(ProductInfo[[#This Row],[Drawing No]],1)</f>
        <v>2</v>
      </c>
      <c r="D1890" s="191" t="s">
        <v>3080</v>
      </c>
      <c r="E1890" s="16"/>
      <c r="F18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0" s="31"/>
      <c r="H1890" s="31"/>
      <c r="I1890" s="1">
        <f>COUNTA(ProductInfo[[#This Row],[P1]:[P15]])</f>
        <v>0</v>
      </c>
      <c r="J18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0" s="7"/>
      <c r="M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>
      <c r="A1891" s="15" t="s">
        <v>2130</v>
      </c>
      <c r="B1891" s="21" t="s">
        <v>2130</v>
      </c>
      <c r="C1891" s="1" t="str">
        <f>RIGHT(ProductInfo[[#This Row],[Drawing No]],1)</f>
        <v>0</v>
      </c>
      <c r="D1891" s="193" t="s">
        <v>2131</v>
      </c>
      <c r="E1891" s="18"/>
      <c r="F189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1" s="32"/>
      <c r="H1891" s="32"/>
      <c r="I1891" s="1">
        <f>COUNTA(ProductInfo[[#This Row],[P1]:[P15]])</f>
        <v>0</v>
      </c>
      <c r="J18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1" s="7"/>
      <c r="M1891" s="7"/>
      <c r="S1891" s="7"/>
      <c r="T1891" s="7"/>
      <c r="U1891" s="7"/>
      <c r="V1891" s="7"/>
      <c r="W1891" s="7"/>
      <c r="X1891" s="7"/>
      <c r="Y1891" s="7"/>
      <c r="Z1891" s="7"/>
    </row>
    <row r="1892" spans="1:26">
      <c r="A1892" s="54" t="s">
        <v>2132</v>
      </c>
      <c r="B1892" s="8" t="s">
        <v>4282</v>
      </c>
      <c r="C1892" s="1" t="str">
        <f>RIGHT(ProductInfo[[#This Row],[Drawing No]],1)</f>
        <v>3</v>
      </c>
      <c r="D1892" s="195" t="s">
        <v>3081</v>
      </c>
      <c r="E1892" s="18" t="s">
        <v>3433</v>
      </c>
      <c r="F1892" s="26" t="str">
        <f>IFERROR(INDEX(MaterialCode[รายละเอียด],MATCH(ProductInfo[[#This Row],[Material Code]],MaterialCode[Material Code],0)),"ไม่พบวัตถุดิบ")</f>
        <v>ท่ออลูมีเนียมรูปไข่ 30.3 มม.*100 มม*51.5มม.</v>
      </c>
      <c r="G1892" s="3">
        <v>22</v>
      </c>
      <c r="H1892" s="3">
        <v>100</v>
      </c>
      <c r="I1892" s="1">
        <f>COUNTA(ProductInfo[[#This Row],[P1]:[P15]])</f>
        <v>2</v>
      </c>
      <c r="J18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92" s="7" t="s">
        <v>12</v>
      </c>
      <c r="M1892" s="7" t="s">
        <v>15</v>
      </c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>
      <c r="A1893" s="15" t="s">
        <v>2133</v>
      </c>
      <c r="B1893" s="8" t="s">
        <v>4282</v>
      </c>
      <c r="C1893" s="1" t="str">
        <f>RIGHT(ProductInfo[[#This Row],[Drawing No]],1)</f>
        <v>3</v>
      </c>
      <c r="D1893" s="193" t="s">
        <v>3082</v>
      </c>
      <c r="E1893" s="18" t="s">
        <v>3433</v>
      </c>
      <c r="F1893" s="26" t="str">
        <f>IFERROR(INDEX(MaterialCode[รายละเอียด],MATCH(ProductInfo[[#This Row],[Material Code]],MaterialCode[Material Code],0)),"ไม่พบวัตถุดิบ")</f>
        <v>ท่ออลูมีเนียมรูปไข่ 30.3 มม.*100 มม*51.5มม.</v>
      </c>
      <c r="G1893" s="3">
        <v>22</v>
      </c>
      <c r="H1893" s="3">
        <v>100</v>
      </c>
      <c r="I1893" s="1">
        <f>COUNTA(ProductInfo[[#This Row],[P1]:[P15]])</f>
        <v>2</v>
      </c>
      <c r="J18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93" s="7" t="s">
        <v>12</v>
      </c>
      <c r="M1893" s="7" t="s">
        <v>15</v>
      </c>
      <c r="S1893" s="7"/>
      <c r="T1893" s="7"/>
      <c r="U1893" s="7"/>
      <c r="V1893" s="7"/>
      <c r="W1893" s="7"/>
      <c r="X1893" s="7"/>
      <c r="Y1893" s="7"/>
      <c r="Z1893" s="7"/>
    </row>
    <row r="1894" spans="1:26">
      <c r="A1894" s="54" t="s">
        <v>2134</v>
      </c>
      <c r="B1894" s="8" t="s">
        <v>4282</v>
      </c>
      <c r="C1894" s="1" t="str">
        <f>RIGHT(ProductInfo[[#This Row],[Drawing No]],1)</f>
        <v>3</v>
      </c>
      <c r="D1894" s="195" t="s">
        <v>3083</v>
      </c>
      <c r="E1894" s="18" t="s">
        <v>3433</v>
      </c>
      <c r="F1894" s="26" t="str">
        <f>IFERROR(INDEX(MaterialCode[รายละเอียด],MATCH(ProductInfo[[#This Row],[Material Code]],MaterialCode[Material Code],0)),"ไม่พบวัตถุดิบ")</f>
        <v>ท่ออลูมีเนียมรูปไข่ 30.3 มม.*100 มม*51.5มม.</v>
      </c>
      <c r="G1894" s="3">
        <v>22</v>
      </c>
      <c r="H1894" s="3">
        <v>100</v>
      </c>
      <c r="I1894" s="1">
        <f>COUNTA(ProductInfo[[#This Row],[P1]:[P15]])</f>
        <v>2</v>
      </c>
      <c r="J18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94" s="7" t="s">
        <v>12</v>
      </c>
      <c r="M1894" s="7" t="s">
        <v>15</v>
      </c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>
      <c r="A1895" s="15" t="s">
        <v>2135</v>
      </c>
      <c r="B1895" s="21" t="s">
        <v>3565</v>
      </c>
      <c r="C1895" s="1" t="str">
        <f>RIGHT(ProductInfo[[#This Row],[Drawing No]],1)</f>
        <v>0</v>
      </c>
      <c r="D1895" s="191" t="s">
        <v>2733</v>
      </c>
      <c r="E1895" s="16"/>
      <c r="F18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5" s="31"/>
      <c r="H1895" s="31"/>
      <c r="I1895" s="1">
        <f>COUNTA(ProductInfo[[#This Row],[P1]:[P15]])</f>
        <v>2</v>
      </c>
      <c r="J18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8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5" s="7" t="s">
        <v>12</v>
      </c>
      <c r="M1895" s="7" t="s">
        <v>13</v>
      </c>
      <c r="R1895" s="7"/>
      <c r="S1895" s="7"/>
    </row>
    <row r="1896" spans="1:26">
      <c r="A1896" s="15" t="s">
        <v>2136</v>
      </c>
      <c r="B1896" s="21" t="s">
        <v>7026</v>
      </c>
      <c r="C1896" s="1" t="str">
        <f>RIGHT(ProductInfo[[#This Row],[Drawing No]],1)</f>
        <v>0</v>
      </c>
      <c r="D1896" s="191" t="s">
        <v>2734</v>
      </c>
      <c r="E1896" s="16"/>
      <c r="F18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6" s="31"/>
      <c r="H1896" s="31"/>
      <c r="I1896" s="1">
        <f>COUNTA(ProductInfo[[#This Row],[P1]:[P15]])</f>
        <v>0</v>
      </c>
      <c r="J18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6" s="7"/>
      <c r="M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>
      <c r="A1897" s="54" t="s">
        <v>2137</v>
      </c>
      <c r="B1897" s="8" t="s">
        <v>3323</v>
      </c>
      <c r="C1897" s="1" t="str">
        <f>RIGHT(ProductInfo[[#This Row],[Drawing No]],1)</f>
        <v>0</v>
      </c>
      <c r="D1897" s="195" t="s">
        <v>3084</v>
      </c>
      <c r="E1897" s="18" t="s">
        <v>3433</v>
      </c>
      <c r="F1897" s="26" t="str">
        <f>IFERROR(INDEX(MaterialCode[รายละเอียด],MATCH(ProductInfo[[#This Row],[Material Code]],MaterialCode[Material Code],0)),"ไม่พบวัตถุดิบ")</f>
        <v>ท่ออลูมีเนียมรูปไข่ 30.3 มม.*100 มม*51.5มม.</v>
      </c>
      <c r="G1897" s="3">
        <v>22</v>
      </c>
      <c r="H1897" s="3">
        <v>100</v>
      </c>
      <c r="I1897" s="1">
        <f>COUNTA(ProductInfo[[#This Row],[P1]:[P15]])</f>
        <v>2</v>
      </c>
      <c r="J18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97" s="7" t="s">
        <v>12</v>
      </c>
      <c r="M1897" s="7" t="s">
        <v>15</v>
      </c>
      <c r="R1897" s="7"/>
      <c r="S1897" s="7"/>
    </row>
    <row r="1898" spans="1:26">
      <c r="A1898" s="54" t="s">
        <v>2138</v>
      </c>
      <c r="B1898" s="8" t="s">
        <v>2138</v>
      </c>
      <c r="C1898" s="1" t="str">
        <f>RIGHT(ProductInfo[[#This Row],[Drawing No]],1)</f>
        <v>0</v>
      </c>
      <c r="D1898" s="174" t="s">
        <v>2735</v>
      </c>
      <c r="E1898" s="16"/>
      <c r="F18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898" s="31"/>
      <c r="H1898" s="31"/>
      <c r="I1898" s="1">
        <f>COUNTA(ProductInfo[[#This Row],[P1]:[P15]])</f>
        <v>0</v>
      </c>
      <c r="J18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8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898" s="7"/>
      <c r="M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>
      <c r="A1899" s="15" t="s">
        <v>4283</v>
      </c>
      <c r="B1899" s="21" t="s">
        <v>4282</v>
      </c>
      <c r="C1899" s="2" t="str">
        <f>RIGHT(ProductInfo[[#This Row],[Drawing No]],1)</f>
        <v>3</v>
      </c>
      <c r="D1899" s="191" t="s">
        <v>4284</v>
      </c>
      <c r="E1899" s="18" t="s">
        <v>3433</v>
      </c>
      <c r="F1899" s="23" t="str">
        <f>IFERROR(INDEX(MaterialCode[รายละเอียด],MATCH(ProductInfo[[#This Row],[Material Code]],MaterialCode[Material Code],0)),"ไม่พบวัตถุดิบ")</f>
        <v>ท่ออลูมีเนียมรูปไข่ 30.3 มม.*100 มม*51.5มม.</v>
      </c>
      <c r="G1899" s="3">
        <v>22</v>
      </c>
      <c r="H1899" s="3">
        <v>100</v>
      </c>
      <c r="I1899" s="1">
        <f>COUNTA(ProductInfo[[#This Row],[P1]:[P15]])</f>
        <v>2</v>
      </c>
      <c r="J18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8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899" s="4" t="s">
        <v>12</v>
      </c>
      <c r="M1899" s="4" t="s">
        <v>15</v>
      </c>
      <c r="R1899" s="7"/>
    </row>
    <row r="1900" spans="1:26">
      <c r="A1900" s="15" t="s">
        <v>2139</v>
      </c>
      <c r="B1900" s="21" t="s">
        <v>2139</v>
      </c>
      <c r="C1900" s="1" t="str">
        <f>RIGHT(ProductInfo[[#This Row],[Drawing No]],1)</f>
        <v>0</v>
      </c>
      <c r="D1900" s="191" t="s">
        <v>2736</v>
      </c>
      <c r="E1900" s="16"/>
      <c r="F19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0" s="31"/>
      <c r="H1900" s="31"/>
      <c r="I1900" s="1">
        <f>COUNTA(ProductInfo[[#This Row],[P1]:[P15]])</f>
        <v>0</v>
      </c>
      <c r="J19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0" s="7"/>
      <c r="M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s="1" customFormat="1">
      <c r="A1901" s="8" t="s">
        <v>2140</v>
      </c>
      <c r="B1901" s="8" t="s">
        <v>2140</v>
      </c>
      <c r="C1901" s="1" t="str">
        <f>RIGHT(ProductInfo[[#This Row],[Drawing No]],1)</f>
        <v>0</v>
      </c>
      <c r="D1901" s="176" t="s">
        <v>2737</v>
      </c>
      <c r="E1901" s="16"/>
      <c r="F19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1" s="31"/>
      <c r="H1901" s="31"/>
      <c r="I1901" s="1">
        <f>COUNTA(ProductInfo[[#This Row],[P1]:[P15]])</f>
        <v>0</v>
      </c>
      <c r="J19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>
      <c r="A1902" s="15" t="s">
        <v>2141</v>
      </c>
      <c r="B1902" s="21" t="s">
        <v>2141</v>
      </c>
      <c r="C1902" s="1" t="str">
        <f>RIGHT(ProductInfo[[#This Row],[Drawing No]],1)</f>
        <v>1</v>
      </c>
      <c r="D1902" s="191" t="s">
        <v>2737</v>
      </c>
      <c r="E1902" s="16"/>
      <c r="F19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2" s="31"/>
      <c r="H1902" s="31"/>
      <c r="I1902" s="1">
        <f>COUNTA(ProductInfo[[#This Row],[P1]:[P15]])</f>
        <v>0</v>
      </c>
      <c r="J19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2" s="7"/>
      <c r="M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>
      <c r="A1903" s="54" t="s">
        <v>2142</v>
      </c>
      <c r="B1903" s="8" t="s">
        <v>2142</v>
      </c>
      <c r="C1903" s="1" t="str">
        <f>RIGHT(ProductInfo[[#This Row],[Drawing No]],1)</f>
        <v>0</v>
      </c>
      <c r="D1903" s="174" t="s">
        <v>2738</v>
      </c>
      <c r="E1903" s="16"/>
      <c r="F19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3" s="31"/>
      <c r="H1903" s="31"/>
      <c r="I1903" s="1">
        <f>COUNTA(ProductInfo[[#This Row],[P1]:[P15]])</f>
        <v>0</v>
      </c>
      <c r="J19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3" s="7"/>
      <c r="M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>
      <c r="A1904" s="15" t="s">
        <v>2143</v>
      </c>
      <c r="B1904" s="8" t="s">
        <v>2143</v>
      </c>
      <c r="C1904" s="1" t="str">
        <f>RIGHT(ProductInfo[[#This Row],[Drawing No]],1)</f>
        <v>0</v>
      </c>
      <c r="D1904" s="193" t="s">
        <v>2739</v>
      </c>
      <c r="E1904" s="18"/>
      <c r="F190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4" s="32"/>
      <c r="H1904" s="32"/>
      <c r="I1904" s="1">
        <f>COUNTA(ProductInfo[[#This Row],[P1]:[P15]])</f>
        <v>0</v>
      </c>
      <c r="J19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4" s="7"/>
      <c r="M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>
      <c r="A1905" s="54" t="s">
        <v>5090</v>
      </c>
      <c r="B1905" s="8" t="s">
        <v>5089</v>
      </c>
      <c r="C1905" s="2" t="str">
        <f>RIGHT(ProductInfo[[#This Row],[Drawing No]],1)</f>
        <v>0</v>
      </c>
      <c r="D1905" s="174" t="s">
        <v>4951</v>
      </c>
      <c r="E1905" s="16"/>
      <c r="F19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5" s="31"/>
      <c r="H1905" s="31"/>
      <c r="I1905" s="1">
        <f>COUNTA(ProductInfo[[#This Row],[P1]:[P15]])</f>
        <v>0</v>
      </c>
      <c r="J19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5" s="7"/>
      <c r="M1905" s="7"/>
    </row>
    <row r="1906" spans="1:26" ht="21">
      <c r="A1906" s="54" t="s">
        <v>5084</v>
      </c>
      <c r="B1906" s="8" t="s">
        <v>5615</v>
      </c>
      <c r="C1906" s="2" t="str">
        <f>RIGHT(ProductInfo[[#This Row],[Drawing No]],1)</f>
        <v>1</v>
      </c>
      <c r="D1906" s="108" t="s">
        <v>5085</v>
      </c>
      <c r="E1906" s="16"/>
      <c r="F19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6" s="31"/>
      <c r="H1906" s="31"/>
      <c r="I1906" s="1">
        <f>COUNTA(ProductInfo[[#This Row],[P1]:[P15]])</f>
        <v>0</v>
      </c>
      <c r="J19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6" s="7"/>
      <c r="M1906" s="7"/>
    </row>
    <row r="1907" spans="1:26" ht="21">
      <c r="A1907" s="15" t="s">
        <v>5087</v>
      </c>
      <c r="B1907" s="21" t="s">
        <v>5616</v>
      </c>
      <c r="C1907" s="2" t="str">
        <f>RIGHT(ProductInfo[[#This Row],[Drawing No]],1)</f>
        <v>1</v>
      </c>
      <c r="D1907" s="111" t="s">
        <v>5088</v>
      </c>
      <c r="E1907" s="16"/>
      <c r="F19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7" s="31"/>
      <c r="H1907" s="31"/>
      <c r="I1907" s="1">
        <f>COUNTA(ProductInfo[[#This Row],[P1]:[P15]])</f>
        <v>0</v>
      </c>
      <c r="J19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7" s="7"/>
      <c r="M1907" s="7"/>
    </row>
    <row r="1908" spans="1:26">
      <c r="A1908" s="15" t="s">
        <v>5096</v>
      </c>
      <c r="B1908" s="21" t="s">
        <v>5617</v>
      </c>
      <c r="C1908" s="2" t="str">
        <f>RIGHT(ProductInfo[[#This Row],[Drawing No]],1)</f>
        <v>1</v>
      </c>
      <c r="D1908" s="191" t="s">
        <v>5072</v>
      </c>
      <c r="E1908" s="16"/>
      <c r="F19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8" s="31"/>
      <c r="H1908" s="31"/>
      <c r="I1908" s="1">
        <f>COUNTA(ProductInfo[[#This Row],[P1]:[P15]])</f>
        <v>0</v>
      </c>
      <c r="J19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8" s="7"/>
      <c r="M1908" s="7"/>
    </row>
    <row r="1909" spans="1:26">
      <c r="A1909" s="15" t="s">
        <v>5095</v>
      </c>
      <c r="B1909" s="21" t="s">
        <v>5619</v>
      </c>
      <c r="C1909" s="2" t="str">
        <f>RIGHT(ProductInfo[[#This Row],[Drawing No]],1)</f>
        <v>1</v>
      </c>
      <c r="D1909" s="191" t="s">
        <v>5069</v>
      </c>
      <c r="E1909" s="16"/>
      <c r="F19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09" s="31"/>
      <c r="H1909" s="31"/>
      <c r="I1909" s="1">
        <f>COUNTA(ProductInfo[[#This Row],[P1]:[P15]])</f>
        <v>0</v>
      </c>
      <c r="J19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09" s="7"/>
      <c r="M1909" s="7"/>
    </row>
    <row r="1910" spans="1:26">
      <c r="A1910" s="15" t="s">
        <v>2144</v>
      </c>
      <c r="B1910" s="21" t="s">
        <v>2144</v>
      </c>
      <c r="C1910" s="2" t="str">
        <f>RIGHT(ProductInfo[[#This Row],[Drawing No]],1)</f>
        <v>0</v>
      </c>
      <c r="D1910" s="191" t="s">
        <v>3265</v>
      </c>
      <c r="E1910" s="16"/>
      <c r="F19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0" s="31"/>
      <c r="H1910" s="31"/>
      <c r="I1910" s="2">
        <f>COUNTA(ProductInfo[[#This Row],[P1]:[P15]])</f>
        <v>0</v>
      </c>
      <c r="J1910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0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0" s="7"/>
      <c r="T1910" s="7"/>
      <c r="U1910" s="7"/>
      <c r="V1910" s="7"/>
      <c r="W1910" s="7"/>
      <c r="X1910" s="7"/>
      <c r="Y1910" s="7"/>
      <c r="Z1910" s="7"/>
    </row>
    <row r="1911" spans="1:26">
      <c r="A1911" s="15" t="s">
        <v>2145</v>
      </c>
      <c r="B1911" s="21" t="s">
        <v>6678</v>
      </c>
      <c r="C1911" s="2" t="str">
        <f>RIGHT(ProductInfo[[#This Row],[Drawing No]],1)</f>
        <v>0</v>
      </c>
      <c r="D1911" s="191" t="s">
        <v>6679</v>
      </c>
      <c r="E1911" s="16" t="s">
        <v>5469</v>
      </c>
      <c r="F1911" s="23" t="str">
        <f>IFERROR(INDEX(MaterialCode[รายละเอียด],MATCH(ProductInfo[[#This Row],[Material Code]],MaterialCode[Material Code],0)),"ไม่พบวัตถุดิบ")</f>
        <v>MATT 4 เหลี่ยม 65x126 MM.</v>
      </c>
      <c r="G1911" s="210" t="s">
        <v>6680</v>
      </c>
      <c r="H1911" s="31" t="s">
        <v>4897</v>
      </c>
      <c r="I1911" s="2">
        <f>COUNTA(ProductInfo[[#This Row],[P1]:[P15]])</f>
        <v>0</v>
      </c>
      <c r="J1911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1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1" s="7"/>
      <c r="T1911" s="7"/>
      <c r="U1911" s="7"/>
      <c r="V1911" s="7"/>
      <c r="W1911" s="7"/>
      <c r="X1911" s="7"/>
      <c r="Y1911" s="7"/>
      <c r="Z1911" s="7"/>
    </row>
    <row r="1912" spans="1:26">
      <c r="A1912" s="15" t="s">
        <v>2146</v>
      </c>
      <c r="B1912" s="21" t="s">
        <v>2146</v>
      </c>
      <c r="C1912" s="2" t="str">
        <f>RIGHT(ProductInfo[[#This Row],[Drawing No]],1)</f>
        <v>1</v>
      </c>
      <c r="D1912" s="191" t="s">
        <v>3266</v>
      </c>
      <c r="E1912" s="16"/>
      <c r="F19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2" s="31"/>
      <c r="H1912" s="31"/>
      <c r="I1912" s="2">
        <f>COUNTA(ProductInfo[[#This Row],[P1]:[P15]])</f>
        <v>0</v>
      </c>
      <c r="J1912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2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2" s="7"/>
      <c r="T1912" s="7"/>
      <c r="U1912" s="7"/>
      <c r="V1912" s="7"/>
      <c r="W1912" s="7"/>
      <c r="X1912" s="7"/>
      <c r="Y1912" s="7"/>
      <c r="Z1912" s="7"/>
    </row>
    <row r="1913" spans="1:26">
      <c r="A1913" s="15" t="s">
        <v>2147</v>
      </c>
      <c r="B1913" s="21" t="s">
        <v>2147</v>
      </c>
      <c r="C1913" s="1" t="str">
        <f>RIGHT(ProductInfo[[#This Row],[Drawing No]],1)</f>
        <v>0</v>
      </c>
      <c r="D1913" s="191" t="s">
        <v>2740</v>
      </c>
      <c r="E1913" s="16"/>
      <c r="F19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3" s="31"/>
      <c r="H1913" s="31"/>
      <c r="I1913" s="1">
        <f>COUNTA(ProductInfo[[#This Row],[P1]:[P15]])</f>
        <v>0</v>
      </c>
      <c r="J19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3" s="7"/>
      <c r="M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>
      <c r="A1914" s="15" t="s">
        <v>2148</v>
      </c>
      <c r="B1914" s="21" t="s">
        <v>2148</v>
      </c>
      <c r="C1914" s="1" t="str">
        <f>RIGHT(ProductInfo[[#This Row],[Drawing No]],1)</f>
        <v>0</v>
      </c>
      <c r="D1914" s="191" t="s">
        <v>2741</v>
      </c>
      <c r="E1914" s="16"/>
      <c r="F19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4" s="31"/>
      <c r="H1914" s="31"/>
      <c r="I1914" s="1">
        <f>COUNTA(ProductInfo[[#This Row],[P1]:[P15]])</f>
        <v>0</v>
      </c>
      <c r="J19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4" s="7"/>
      <c r="M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>
      <c r="A1915" s="8" t="s">
        <v>2149</v>
      </c>
      <c r="B1915" s="8" t="s">
        <v>3598</v>
      </c>
      <c r="C1915" s="1" t="str">
        <f>RIGHT(ProductInfo[[#This Row],[Drawing No]],1)</f>
        <v>0</v>
      </c>
      <c r="D1915" s="179" t="s">
        <v>2150</v>
      </c>
      <c r="E1915" s="18"/>
      <c r="F191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5" s="32"/>
      <c r="H1915" s="32"/>
      <c r="I1915" s="1">
        <f>COUNTA(ProductInfo[[#This Row],[P1]:[P15]])</f>
        <v>2</v>
      </c>
      <c r="J19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5" s="7" t="s">
        <v>12</v>
      </c>
      <c r="M1915" s="7" t="s">
        <v>13</v>
      </c>
      <c r="R1915" s="7"/>
      <c r="S1915" s="7"/>
    </row>
    <row r="1916" spans="1:26">
      <c r="A1916" s="8" t="s">
        <v>2151</v>
      </c>
      <c r="B1916" s="8" t="s">
        <v>5135</v>
      </c>
      <c r="C1916" s="2" t="str">
        <f>RIGHT(ProductInfo[[#This Row],[Drawing No]],1)</f>
        <v>3</v>
      </c>
      <c r="D1916" s="179" t="s">
        <v>3267</v>
      </c>
      <c r="E1916" s="18" t="s">
        <v>3476</v>
      </c>
      <c r="F1916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1916" s="3">
        <v>217</v>
      </c>
      <c r="H1916" s="3">
        <v>100</v>
      </c>
      <c r="I1916" s="2">
        <f>COUNTA(ProductInfo[[#This Row],[P1]:[P15]])</f>
        <v>2</v>
      </c>
      <c r="J1916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16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6" s="4" t="s">
        <v>12</v>
      </c>
      <c r="M1916" s="4" t="s">
        <v>13</v>
      </c>
    </row>
    <row r="1917" spans="1:26">
      <c r="A1917" s="15" t="s">
        <v>2152</v>
      </c>
      <c r="B1917" s="21" t="s">
        <v>2152</v>
      </c>
      <c r="C1917" s="2" t="str">
        <f>RIGHT(ProductInfo[[#This Row],[Drawing No]],1)</f>
        <v>0</v>
      </c>
      <c r="D1917" s="191" t="s">
        <v>3111</v>
      </c>
      <c r="E1917" s="16"/>
      <c r="F19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17" s="31"/>
      <c r="H1917" s="31"/>
      <c r="I1917" s="2">
        <f>COUNTA(ProductInfo[[#This Row],[P1]:[P15]])</f>
        <v>2</v>
      </c>
      <c r="J1917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17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7" s="4" t="s">
        <v>12</v>
      </c>
      <c r="M1917" s="4" t="s">
        <v>13</v>
      </c>
      <c r="T1917" s="7"/>
      <c r="U1917" s="7"/>
      <c r="V1917" s="7"/>
      <c r="W1917" s="7"/>
      <c r="X1917" s="7"/>
      <c r="Y1917" s="7"/>
      <c r="Z1917" s="7"/>
    </row>
    <row r="1918" spans="1:26">
      <c r="A1918" s="15" t="s">
        <v>2153</v>
      </c>
      <c r="B1918" s="21" t="s">
        <v>5135</v>
      </c>
      <c r="C1918" s="2" t="str">
        <f>RIGHT(ProductInfo[[#This Row],[Drawing No]],1)</f>
        <v>3</v>
      </c>
      <c r="D1918" s="193" t="s">
        <v>5031</v>
      </c>
      <c r="E1918" s="18" t="s">
        <v>3476</v>
      </c>
      <c r="F1918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1918" s="3">
        <v>262</v>
      </c>
      <c r="H1918" s="3">
        <v>100</v>
      </c>
      <c r="I1918" s="2">
        <f>COUNTA(ProductInfo[[#This Row],[P1]:[P15]])</f>
        <v>2</v>
      </c>
      <c r="J191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1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8" s="4" t="s">
        <v>12</v>
      </c>
      <c r="M1918" s="4" t="s">
        <v>13</v>
      </c>
    </row>
    <row r="1919" spans="1:26">
      <c r="A1919" s="15" t="s">
        <v>5136</v>
      </c>
      <c r="B1919" s="21" t="s">
        <v>5135</v>
      </c>
      <c r="C1919" s="2" t="str">
        <f>RIGHT(ProductInfo[[#This Row],[Drawing No]],1)</f>
        <v>3</v>
      </c>
      <c r="D1919" s="193" t="s">
        <v>5149</v>
      </c>
      <c r="E1919" s="18" t="s">
        <v>3476</v>
      </c>
      <c r="F1919" s="23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1919" s="3">
        <v>303</v>
      </c>
      <c r="H1919" s="67">
        <v>40</v>
      </c>
      <c r="I1919" s="1">
        <f>COUNTA(ProductInfo[[#This Row],[P1]:[P15]])</f>
        <v>2</v>
      </c>
      <c r="J19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19" s="4" t="s">
        <v>12</v>
      </c>
      <c r="M1919" s="4" t="s">
        <v>13</v>
      </c>
    </row>
    <row r="1920" spans="1:26">
      <c r="A1920" s="15" t="s">
        <v>2154</v>
      </c>
      <c r="B1920" s="21" t="s">
        <v>5135</v>
      </c>
      <c r="C1920" s="2" t="str">
        <f>RIGHT(ProductInfo[[#This Row],[Drawing No]],1)</f>
        <v>3</v>
      </c>
      <c r="D1920" s="193" t="s">
        <v>2713</v>
      </c>
      <c r="E1920" s="18" t="s">
        <v>3476</v>
      </c>
      <c r="F1920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1920" s="3">
        <v>353</v>
      </c>
      <c r="H1920" s="67">
        <v>40</v>
      </c>
      <c r="I1920" s="2">
        <f>COUNTA(ProductInfo[[#This Row],[P1]:[P15]])</f>
        <v>2</v>
      </c>
      <c r="J1920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20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0" s="4" t="s">
        <v>12</v>
      </c>
      <c r="M1920" s="4" t="s">
        <v>13</v>
      </c>
    </row>
    <row r="1921" spans="1:26">
      <c r="A1921" s="15" t="s">
        <v>2155</v>
      </c>
      <c r="B1921" s="21" t="s">
        <v>2155</v>
      </c>
      <c r="C1921" s="2" t="str">
        <f>RIGHT(ProductInfo[[#This Row],[Drawing No]],1)</f>
        <v>0</v>
      </c>
      <c r="D1921" s="191" t="s">
        <v>3268</v>
      </c>
      <c r="E1921" s="16"/>
      <c r="F19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21" s="31"/>
      <c r="H1921" s="31"/>
      <c r="I1921" s="2">
        <f>COUNTA(ProductInfo[[#This Row],[P1]:[P15]])</f>
        <v>0</v>
      </c>
      <c r="J1921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21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1" s="4"/>
      <c r="T1921" s="7"/>
      <c r="U1921" s="7"/>
      <c r="V1921" s="7"/>
      <c r="W1921" s="7"/>
      <c r="X1921" s="7"/>
      <c r="Y1921" s="7"/>
      <c r="Z1921" s="7"/>
    </row>
    <row r="1922" spans="1:26">
      <c r="A1922" s="15" t="s">
        <v>2156</v>
      </c>
      <c r="B1922" s="21" t="s">
        <v>2156</v>
      </c>
      <c r="C1922" s="2" t="str">
        <f>RIGHT(ProductInfo[[#This Row],[Drawing No]],1)</f>
        <v>2</v>
      </c>
      <c r="D1922" s="191" t="s">
        <v>3268</v>
      </c>
      <c r="E1922" s="16"/>
      <c r="F19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22" s="31"/>
      <c r="H1922" s="31"/>
      <c r="I1922" s="2">
        <f>COUNTA(ProductInfo[[#This Row],[P1]:[P15]])</f>
        <v>0</v>
      </c>
      <c r="J1922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22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2" s="4"/>
      <c r="T1922" s="7"/>
      <c r="U1922" s="7"/>
      <c r="V1922" s="7"/>
      <c r="W1922" s="7"/>
      <c r="X1922" s="7"/>
      <c r="Y1922" s="7"/>
      <c r="Z1922" s="7"/>
    </row>
    <row r="1923" spans="1:26">
      <c r="A1923" s="15" t="s">
        <v>2157</v>
      </c>
      <c r="B1923" s="21" t="s">
        <v>2157</v>
      </c>
      <c r="C1923" s="2" t="str">
        <f>RIGHT(ProductInfo[[#This Row],[Drawing No]],1)</f>
        <v>3</v>
      </c>
      <c r="D1923" s="191" t="s">
        <v>3749</v>
      </c>
      <c r="E1923" s="16" t="s">
        <v>3559</v>
      </c>
      <c r="F192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23" s="59">
        <v>257</v>
      </c>
      <c r="H1923" s="3">
        <v>100</v>
      </c>
      <c r="I1923" s="2">
        <f>COUNTA(ProductInfo[[#This Row],[P1]:[P15]])</f>
        <v>2</v>
      </c>
      <c r="J1923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23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3" s="7" t="s">
        <v>12</v>
      </c>
      <c r="M1923" s="7" t="s">
        <v>13</v>
      </c>
      <c r="T1923" s="7"/>
      <c r="U1923" s="7"/>
      <c r="V1923" s="7"/>
      <c r="W1923" s="7"/>
      <c r="X1923" s="7"/>
      <c r="Y1923" s="7"/>
      <c r="Z1923" s="7"/>
    </row>
    <row r="1924" spans="1:26">
      <c r="A1924" s="15" t="s">
        <v>4114</v>
      </c>
      <c r="B1924" s="21" t="s">
        <v>5808</v>
      </c>
      <c r="C1924" s="2" t="str">
        <f>RIGHT(ProductInfo[[#This Row],[Drawing No]],1)</f>
        <v>1</v>
      </c>
      <c r="D1924" s="191" t="s">
        <v>5814</v>
      </c>
      <c r="E1924" s="16" t="s">
        <v>3559</v>
      </c>
      <c r="F192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24" s="59">
        <v>257</v>
      </c>
      <c r="H1924" s="3">
        <v>60</v>
      </c>
      <c r="I1924" s="1">
        <f>COUNTA(ProductInfo[[#This Row],[P1]:[P15]])</f>
        <v>1</v>
      </c>
      <c r="J19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4" s="7" t="s">
        <v>13</v>
      </c>
    </row>
    <row r="1925" spans="1:26">
      <c r="A1925" s="15" t="s">
        <v>2158</v>
      </c>
      <c r="B1925" s="21" t="s">
        <v>3599</v>
      </c>
      <c r="C1925" s="2" t="str">
        <f>RIGHT(ProductInfo[[#This Row],[Drawing No]],1)</f>
        <v>0</v>
      </c>
      <c r="D1925" s="194" t="s">
        <v>3269</v>
      </c>
      <c r="E1925" s="18"/>
      <c r="F192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25" s="32"/>
      <c r="H1925" s="32"/>
      <c r="I1925" s="2">
        <f>COUNTA(ProductInfo[[#This Row],[P1]:[P15]])</f>
        <v>1</v>
      </c>
      <c r="J1925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25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5" s="4" t="s">
        <v>13</v>
      </c>
    </row>
    <row r="1926" spans="1:26">
      <c r="A1926" s="15" t="s">
        <v>2159</v>
      </c>
      <c r="B1926" s="21" t="s">
        <v>5808</v>
      </c>
      <c r="C1926" s="2" t="str">
        <f>RIGHT(ProductInfo[[#This Row],[Drawing No]],1)</f>
        <v>1</v>
      </c>
      <c r="D1926" s="191" t="s">
        <v>5812</v>
      </c>
      <c r="E1926" s="16" t="s">
        <v>3559</v>
      </c>
      <c r="F192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26" s="59">
        <v>287</v>
      </c>
      <c r="H1926" s="3">
        <v>60</v>
      </c>
      <c r="I1926" s="2">
        <f>COUNTA(ProductInfo[[#This Row],[P1]:[P15]])</f>
        <v>1</v>
      </c>
      <c r="J19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6" s="7" t="s">
        <v>13</v>
      </c>
    </row>
    <row r="1927" spans="1:26">
      <c r="A1927" s="15" t="s">
        <v>5423</v>
      </c>
      <c r="B1927" s="21" t="s">
        <v>5422</v>
      </c>
      <c r="C1927" s="2" t="str">
        <f>RIGHT(ProductInfo[[#This Row],[Drawing No]],1)</f>
        <v>0</v>
      </c>
      <c r="D1927" s="191" t="s">
        <v>6786</v>
      </c>
      <c r="E1927" s="16" t="s">
        <v>3559</v>
      </c>
      <c r="F1927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27" s="59">
        <v>285</v>
      </c>
      <c r="H1927" s="3">
        <v>100</v>
      </c>
      <c r="I1927" s="1">
        <f>COUNTA(ProductInfo[[#This Row],[P1]:[P15]])</f>
        <v>4</v>
      </c>
      <c r="J19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19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27" s="7" t="s">
        <v>12</v>
      </c>
      <c r="M1927" s="4" t="s">
        <v>13</v>
      </c>
      <c r="N1927" s="4" t="s">
        <v>15</v>
      </c>
      <c r="O1927" s="4" t="s">
        <v>14</v>
      </c>
    </row>
    <row r="1928" spans="1:26">
      <c r="A1928" s="54" t="s">
        <v>5706</v>
      </c>
      <c r="B1928" s="8" t="s">
        <v>5808</v>
      </c>
      <c r="C1928" s="2" t="str">
        <f>RIGHT(ProductInfo[[#This Row],[Drawing No]],1)</f>
        <v>1</v>
      </c>
      <c r="D1928" s="174" t="s">
        <v>5813</v>
      </c>
      <c r="E1928" s="16" t="s">
        <v>3559</v>
      </c>
      <c r="F1928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28" s="59">
        <v>297</v>
      </c>
      <c r="H1928" s="3">
        <v>60</v>
      </c>
      <c r="I1928" s="1">
        <f>COUNTA(ProductInfo[[#This Row],[P1]:[P15]])</f>
        <v>1</v>
      </c>
      <c r="J19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8" s="7" t="s">
        <v>13</v>
      </c>
    </row>
    <row r="1929" spans="1:26">
      <c r="A1929" s="15" t="s">
        <v>2160</v>
      </c>
      <c r="B1929" s="8" t="s">
        <v>2160</v>
      </c>
      <c r="C1929" s="1" t="str">
        <f>RIGHT(ProductInfo[[#This Row],[Drawing No]],1)</f>
        <v>1</v>
      </c>
      <c r="D1929" s="175" t="s">
        <v>2742</v>
      </c>
      <c r="F1929" s="22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H1929" s="4"/>
      <c r="I1929" s="1">
        <f>COUNTA(ProductInfo[[#This Row],[P1]:[P15]])</f>
        <v>0</v>
      </c>
      <c r="J19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29" s="7"/>
      <c r="M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>
      <c r="A1930" s="15" t="s">
        <v>2161</v>
      </c>
      <c r="B1930" s="8" t="s">
        <v>3602</v>
      </c>
      <c r="C1930" s="1" t="str">
        <f>RIGHT(ProductInfo[[#This Row],[Drawing No]],1)</f>
        <v>0</v>
      </c>
      <c r="D1930" s="175" t="s">
        <v>2743</v>
      </c>
      <c r="E1930" s="5" t="s">
        <v>3478</v>
      </c>
      <c r="F1930" s="22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1930" s="2">
        <v>405</v>
      </c>
      <c r="H1930" s="2"/>
      <c r="I1930" s="1">
        <f>COUNTA(ProductInfo[[#This Row],[P1]:[P15]])</f>
        <v>1</v>
      </c>
      <c r="J19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0" s="7" t="s">
        <v>13</v>
      </c>
      <c r="M1930" s="7"/>
      <c r="R1930" s="7"/>
      <c r="S1930" s="7"/>
    </row>
    <row r="1931" spans="1:26">
      <c r="A1931" s="15" t="s">
        <v>4235</v>
      </c>
      <c r="B1931" s="21" t="s">
        <v>4286</v>
      </c>
      <c r="C1931" s="2" t="str">
        <f>RIGHT(ProductInfo[[#This Row],[Drawing No]],1)</f>
        <v>1</v>
      </c>
      <c r="D1931" s="191" t="s">
        <v>4236</v>
      </c>
      <c r="E1931" s="16" t="s">
        <v>3478</v>
      </c>
      <c r="F1931" s="23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1931" s="59">
        <v>405</v>
      </c>
      <c r="H1931" s="59"/>
      <c r="I1931" s="1">
        <f>COUNTA(ProductInfo[[#This Row],[P1]:[P15]])</f>
        <v>1</v>
      </c>
      <c r="J19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1" s="7" t="s">
        <v>13</v>
      </c>
    </row>
    <row r="1932" spans="1:26">
      <c r="A1932" s="15" t="s">
        <v>4490</v>
      </c>
      <c r="B1932" s="21" t="s">
        <v>4491</v>
      </c>
      <c r="C1932" s="2" t="str">
        <f>RIGHT(ProductInfo[[#This Row],[Drawing No]],1)</f>
        <v>0</v>
      </c>
      <c r="D1932" s="191" t="s">
        <v>4236</v>
      </c>
      <c r="E1932" s="16" t="s">
        <v>3478</v>
      </c>
      <c r="F1932" s="23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1932" s="59">
        <v>406</v>
      </c>
      <c r="H1932" s="59"/>
      <c r="I1932" s="1">
        <f>COUNTA(ProductInfo[[#This Row],[P1]:[P15]])</f>
        <v>1</v>
      </c>
      <c r="J19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2" s="7" t="s">
        <v>13</v>
      </c>
    </row>
    <row r="1933" spans="1:26">
      <c r="A1933" s="15" t="s">
        <v>2162</v>
      </c>
      <c r="B1933" s="21" t="s">
        <v>3595</v>
      </c>
      <c r="C1933" s="1" t="str">
        <f>RIGHT(ProductInfo[[#This Row],[Drawing No]],1)</f>
        <v>1</v>
      </c>
      <c r="D1933" s="193" t="s">
        <v>2163</v>
      </c>
      <c r="E1933" s="18"/>
      <c r="F193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3" s="32"/>
      <c r="H1933" s="32"/>
      <c r="I1933" s="1">
        <f>COUNTA(ProductInfo[[#This Row],[P1]:[P15]])</f>
        <v>1</v>
      </c>
      <c r="J19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3" s="7" t="s">
        <v>13</v>
      </c>
      <c r="M1933" s="7"/>
      <c r="R1933" s="7"/>
      <c r="S1933" s="7"/>
    </row>
    <row r="1934" spans="1:26">
      <c r="A1934" s="15" t="s">
        <v>2164</v>
      </c>
      <c r="B1934" s="21" t="s">
        <v>3595</v>
      </c>
      <c r="C1934" s="1" t="str">
        <f>RIGHT(ProductInfo[[#This Row],[Drawing No]],1)</f>
        <v>1</v>
      </c>
      <c r="D1934" s="193" t="s">
        <v>2165</v>
      </c>
      <c r="E1934" s="18"/>
      <c r="F193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4" s="32"/>
      <c r="H1934" s="32"/>
      <c r="I1934" s="1">
        <f>COUNTA(ProductInfo[[#This Row],[P1]:[P15]])</f>
        <v>1</v>
      </c>
      <c r="J19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4" s="7" t="s">
        <v>13</v>
      </c>
      <c r="M1934" s="7"/>
      <c r="R1934" s="7"/>
      <c r="S1934" s="7"/>
    </row>
    <row r="1935" spans="1:26" s="1" customFormat="1">
      <c r="A1935" s="15" t="s">
        <v>2166</v>
      </c>
      <c r="B1935" s="21" t="s">
        <v>3596</v>
      </c>
      <c r="C1935" s="1" t="str">
        <f>RIGHT(ProductInfo[[#This Row],[Drawing No]],1)</f>
        <v>0</v>
      </c>
      <c r="D1935" s="191" t="s">
        <v>3201</v>
      </c>
      <c r="E1935" s="16"/>
      <c r="F19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5" s="31"/>
      <c r="H1935" s="31"/>
      <c r="I1935" s="1">
        <f>COUNTA(ProductInfo[[#This Row],[P1]:[P15]])</f>
        <v>1</v>
      </c>
      <c r="J19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5" s="7" t="s">
        <v>13</v>
      </c>
      <c r="M1935" s="7"/>
      <c r="N1935" s="7"/>
      <c r="O1935" s="7"/>
      <c r="P1935" s="7"/>
      <c r="Q1935" s="7"/>
      <c r="R1935" s="7"/>
      <c r="S1935" s="7"/>
      <c r="T1935" s="4"/>
      <c r="U1935" s="4"/>
      <c r="V1935" s="4"/>
      <c r="W1935" s="4"/>
      <c r="X1935" s="4"/>
      <c r="Y1935" s="4"/>
      <c r="Z1935" s="4"/>
    </row>
    <row r="1936" spans="1:26">
      <c r="A1936" s="15" t="s">
        <v>2167</v>
      </c>
      <c r="B1936" s="21" t="s">
        <v>3596</v>
      </c>
      <c r="C1936" s="1" t="str">
        <f>RIGHT(ProductInfo[[#This Row],[Drawing No]],1)</f>
        <v>0</v>
      </c>
      <c r="D1936" s="193" t="s">
        <v>2168</v>
      </c>
      <c r="E1936" s="18"/>
      <c r="F193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6" s="32"/>
      <c r="H1936" s="32"/>
      <c r="I1936" s="1">
        <f>COUNTA(ProductInfo[[#This Row],[P1]:[P15]])</f>
        <v>1</v>
      </c>
      <c r="J19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6" s="7" t="s">
        <v>13</v>
      </c>
      <c r="M1936" s="7"/>
      <c r="R1936" s="7"/>
      <c r="S1936" s="7"/>
    </row>
    <row r="1937" spans="1:26">
      <c r="A1937" s="15" t="s">
        <v>5039</v>
      </c>
      <c r="B1937" s="21" t="s">
        <v>3596</v>
      </c>
      <c r="C1937" s="2" t="str">
        <f>RIGHT(ProductInfo[[#This Row],[Drawing No]],1)</f>
        <v>0</v>
      </c>
      <c r="D1937" s="193" t="s">
        <v>5188</v>
      </c>
      <c r="E1937" s="16" t="s">
        <v>3471</v>
      </c>
      <c r="F1937" s="23" t="str">
        <f>IFERROR(INDEX(MaterialCode[รายละเอียด],MATCH(ProductInfo[[#This Row],[Material Code]],MaterialCode[Material Code],0)),"ไม่พบวัตถุดิบ")</f>
        <v>ท่ออลูมีเนียมโต 51.5 มม.xรูใน 44.8 มม</v>
      </c>
      <c r="G1937" s="59">
        <v>172</v>
      </c>
      <c r="H1937" s="59">
        <v>100</v>
      </c>
      <c r="I1937" s="1">
        <f>COUNTA(ProductInfo[[#This Row],[P1]:[P15]])</f>
        <v>1</v>
      </c>
      <c r="J19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7" s="7" t="s">
        <v>13</v>
      </c>
    </row>
    <row r="1938" spans="1:26">
      <c r="A1938" s="15" t="s">
        <v>5039</v>
      </c>
      <c r="B1938" s="21" t="s">
        <v>5630</v>
      </c>
      <c r="C1938" s="2" t="str">
        <f>RIGHT(ProductInfo[[#This Row],[Drawing No]],1)</f>
        <v>5</v>
      </c>
      <c r="D1938" s="191" t="s">
        <v>5188</v>
      </c>
      <c r="E1938" s="16"/>
      <c r="F19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8" s="31"/>
      <c r="H1938" s="31"/>
      <c r="I1938" s="1">
        <f>COUNTA(ProductInfo[[#This Row],[P1]:[P15]])</f>
        <v>1</v>
      </c>
      <c r="J19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8" s="7" t="s">
        <v>13</v>
      </c>
    </row>
    <row r="1939" spans="1:26">
      <c r="A1939" s="15" t="s">
        <v>5625</v>
      </c>
      <c r="B1939" s="21" t="s">
        <v>5630</v>
      </c>
      <c r="C1939" s="2" t="str">
        <f>RIGHT(ProductInfo[[#This Row],[Drawing No]],1)</f>
        <v>5</v>
      </c>
      <c r="D1939" s="191" t="s">
        <v>5636</v>
      </c>
      <c r="E1939" s="16"/>
      <c r="F19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39" s="31"/>
      <c r="H1939" s="31"/>
      <c r="I1939" s="1">
        <f>COUNTA(ProductInfo[[#This Row],[P1]:[P15]])</f>
        <v>1</v>
      </c>
      <c r="J19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39" s="7" t="s">
        <v>13</v>
      </c>
    </row>
    <row r="1940" spans="1:26">
      <c r="A1940" s="15" t="s">
        <v>5625</v>
      </c>
      <c r="B1940" s="21" t="s">
        <v>3596</v>
      </c>
      <c r="C1940" s="2" t="str">
        <f>RIGHT(ProductInfo[[#This Row],[Drawing No]],1)</f>
        <v>0</v>
      </c>
      <c r="D1940" s="191" t="s">
        <v>5626</v>
      </c>
      <c r="E1940" s="16" t="s">
        <v>3471</v>
      </c>
      <c r="F1940" s="23" t="str">
        <f>IFERROR(INDEX(MaterialCode[รายละเอียด],MATCH(ProductInfo[[#This Row],[Material Code]],MaterialCode[Material Code],0)),"ไม่พบวัตถุดิบ")</f>
        <v>ท่ออลูมีเนียมโต 51.5 มม.xรูใน 44.8 มม</v>
      </c>
      <c r="G1940" s="59">
        <v>187</v>
      </c>
      <c r="H1940" s="59">
        <v>100</v>
      </c>
      <c r="I1940" s="1">
        <f>COUNTA(ProductInfo[[#This Row],[P1]:[P15]])</f>
        <v>0</v>
      </c>
      <c r="J19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0" s="7"/>
      <c r="M1940" s="7"/>
    </row>
    <row r="1941" spans="1:26">
      <c r="A1941" s="15" t="s">
        <v>4956</v>
      </c>
      <c r="B1941" s="21" t="s">
        <v>4958</v>
      </c>
      <c r="C1941" s="2" t="str">
        <f>RIGHT(ProductInfo[[#This Row],[Drawing No]],1)</f>
        <v>3</v>
      </c>
      <c r="D1941" s="191" t="s">
        <v>4959</v>
      </c>
      <c r="E1941" s="16"/>
      <c r="F19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1" s="59">
        <v>197</v>
      </c>
      <c r="H1941" s="59">
        <v>50</v>
      </c>
      <c r="I1941" s="1">
        <f>COUNTA(ProductInfo[[#This Row],[P1]:[P15]])</f>
        <v>1</v>
      </c>
      <c r="J19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1" s="4" t="s">
        <v>13</v>
      </c>
    </row>
    <row r="1942" spans="1:26">
      <c r="A1942" s="15" t="s">
        <v>4956</v>
      </c>
      <c r="B1942" s="21" t="s">
        <v>5630</v>
      </c>
      <c r="C1942" s="2" t="str">
        <f>RIGHT(ProductInfo[[#This Row],[Drawing No]],1)</f>
        <v>5</v>
      </c>
      <c r="D1942" s="191" t="s">
        <v>4959</v>
      </c>
      <c r="E1942" s="16"/>
      <c r="F19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2" s="31"/>
      <c r="H1942" s="31"/>
      <c r="I1942" s="1">
        <f>COUNTA(ProductInfo[[#This Row],[P1]:[P15]])</f>
        <v>1</v>
      </c>
      <c r="J19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2" s="7" t="s">
        <v>13</v>
      </c>
    </row>
    <row r="1943" spans="1:26">
      <c r="A1943" s="15" t="s">
        <v>4468</v>
      </c>
      <c r="B1943" s="21" t="s">
        <v>5630</v>
      </c>
      <c r="C1943" s="2" t="str">
        <f>RIGHT(ProductInfo[[#This Row],[Drawing No]],1)</f>
        <v>5</v>
      </c>
      <c r="D1943" s="191" t="s">
        <v>4469</v>
      </c>
      <c r="E1943" s="16"/>
      <c r="F19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3" s="31"/>
      <c r="H1943" s="31"/>
      <c r="I1943" s="1">
        <f>COUNTA(ProductInfo[[#This Row],[P1]:[P15]])</f>
        <v>1</v>
      </c>
      <c r="J19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3" s="7" t="s">
        <v>13</v>
      </c>
    </row>
    <row r="1944" spans="1:26">
      <c r="A1944" s="54" t="s">
        <v>4468</v>
      </c>
      <c r="B1944" s="8" t="s">
        <v>5630</v>
      </c>
      <c r="C1944" s="2" t="str">
        <f>RIGHT(ProductInfo[[#This Row],[Drawing No]],1)</f>
        <v>5</v>
      </c>
      <c r="D1944" s="174" t="s">
        <v>5637</v>
      </c>
      <c r="E1944" s="16"/>
      <c r="F19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4" s="31"/>
      <c r="H1944" s="31"/>
      <c r="I1944" s="1">
        <f>COUNTA(ProductInfo[[#This Row],[P1]:[P15]])</f>
        <v>1</v>
      </c>
      <c r="J19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4" s="7" t="s">
        <v>13</v>
      </c>
    </row>
    <row r="1945" spans="1:26">
      <c r="A1945" s="15" t="s">
        <v>2169</v>
      </c>
      <c r="B1945" s="8" t="s">
        <v>3596</v>
      </c>
      <c r="C1945" s="1" t="str">
        <f>RIGHT(ProductInfo[[#This Row],[Drawing No]],1)</f>
        <v>0</v>
      </c>
      <c r="D1945" s="195" t="s">
        <v>3085</v>
      </c>
      <c r="E1945" s="18"/>
      <c r="F194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5" s="32"/>
      <c r="H1945" s="32"/>
      <c r="I1945" s="1">
        <f>COUNTA(ProductInfo[[#This Row],[P1]:[P15]])</f>
        <v>1</v>
      </c>
      <c r="J19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5" s="7" t="s">
        <v>13</v>
      </c>
      <c r="M1945" s="7"/>
      <c r="S1945" s="7"/>
    </row>
    <row r="1946" spans="1:26">
      <c r="A1946" s="15" t="s">
        <v>2169</v>
      </c>
      <c r="B1946" s="21" t="s">
        <v>5630</v>
      </c>
      <c r="C1946" s="2" t="str">
        <f>RIGHT(ProductInfo[[#This Row],[Drawing No]],1)</f>
        <v>5</v>
      </c>
      <c r="D1946" s="191" t="s">
        <v>5638</v>
      </c>
      <c r="E1946" s="16"/>
      <c r="F19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6" s="31"/>
      <c r="H1946" s="31"/>
      <c r="I1946" s="1">
        <f>COUNTA(ProductInfo[[#This Row],[P1]:[P15]])</f>
        <v>1</v>
      </c>
      <c r="J19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6" s="7" t="s">
        <v>13</v>
      </c>
    </row>
    <row r="1947" spans="1:26">
      <c r="A1947" s="15" t="s">
        <v>2170</v>
      </c>
      <c r="B1947" s="21" t="s">
        <v>3596</v>
      </c>
      <c r="C1947" s="1" t="str">
        <f>RIGHT(ProductInfo[[#This Row],[Drawing No]],1)</f>
        <v>0</v>
      </c>
      <c r="D1947" s="193" t="s">
        <v>2171</v>
      </c>
      <c r="E1947" s="18"/>
      <c r="F194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7" s="32"/>
      <c r="H1947" s="32"/>
      <c r="I1947" s="1">
        <f>COUNTA(ProductInfo[[#This Row],[P1]:[P15]])</f>
        <v>1</v>
      </c>
      <c r="J19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7" s="7" t="s">
        <v>13</v>
      </c>
      <c r="M1947" s="7"/>
      <c r="S1947" s="7"/>
    </row>
    <row r="1948" spans="1:26">
      <c r="A1948" s="15" t="s">
        <v>5019</v>
      </c>
      <c r="B1948" s="21" t="s">
        <v>5017</v>
      </c>
      <c r="C1948" s="2" t="str">
        <f>RIGHT(ProductInfo[[#This Row],[Drawing No]],1)</f>
        <v>0</v>
      </c>
      <c r="D1948" s="176" t="s">
        <v>5018</v>
      </c>
      <c r="E1948" s="16"/>
      <c r="F19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8" s="31"/>
      <c r="H1948" s="31"/>
      <c r="I1948" s="1">
        <f>COUNTA(ProductInfo[[#This Row],[P1]:[P15]])</f>
        <v>0</v>
      </c>
      <c r="J19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8" s="7"/>
    </row>
    <row r="1949" spans="1:26">
      <c r="A1949" s="8" t="s">
        <v>2173</v>
      </c>
      <c r="B1949" s="8" t="s">
        <v>2173</v>
      </c>
      <c r="C1949" s="1" t="str">
        <f>RIGHT(ProductInfo[[#This Row],[Drawing No]],1)</f>
        <v>0</v>
      </c>
      <c r="D1949" s="179" t="s">
        <v>2174</v>
      </c>
      <c r="E1949" s="18"/>
      <c r="F194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49" s="32"/>
      <c r="H1949" s="32"/>
      <c r="I1949" s="1">
        <f>COUNTA(ProductInfo[[#This Row],[P1]:[P15]])</f>
        <v>0</v>
      </c>
      <c r="J19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49" s="7"/>
      <c r="M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>
      <c r="A1950" s="15" t="s">
        <v>2175</v>
      </c>
      <c r="B1950" s="21" t="s">
        <v>2175</v>
      </c>
      <c r="C1950" s="1" t="str">
        <f>RIGHT(ProductInfo[[#This Row],[Drawing No]],1)</f>
        <v>0</v>
      </c>
      <c r="D1950" s="196" t="s">
        <v>2176</v>
      </c>
      <c r="E1950" s="18"/>
      <c r="F195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0" s="32"/>
      <c r="H1950" s="32"/>
      <c r="I1950" s="1">
        <f>COUNTA(ProductInfo[[#This Row],[P1]:[P15]])</f>
        <v>0</v>
      </c>
      <c r="J19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0" s="7"/>
      <c r="M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>
      <c r="A1951" s="15" t="s">
        <v>4539</v>
      </c>
      <c r="B1951" s="21" t="s">
        <v>4538</v>
      </c>
      <c r="C1951" s="2" t="str">
        <f>RIGHT(ProductInfo[[#This Row],[Drawing No]],1)</f>
        <v>0</v>
      </c>
      <c r="D1951" s="191" t="s">
        <v>4540</v>
      </c>
      <c r="E1951" s="16"/>
      <c r="F19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1" s="31"/>
      <c r="H1951" s="31"/>
      <c r="I1951" s="1">
        <f>COUNTA(ProductInfo[[#This Row],[P1]:[P15]])</f>
        <v>2</v>
      </c>
      <c r="J19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51" s="4" t="s">
        <v>13</v>
      </c>
      <c r="M1951" s="4" t="s">
        <v>16</v>
      </c>
    </row>
    <row r="1952" spans="1:26">
      <c r="A1952" s="15" t="s">
        <v>4735</v>
      </c>
      <c r="B1952" s="21" t="s">
        <v>4734</v>
      </c>
      <c r="C1952" s="2" t="str">
        <f>RIGHT(ProductInfo[[#This Row],[Drawing No]],1)</f>
        <v>0</v>
      </c>
      <c r="D1952" s="174" t="s">
        <v>4736</v>
      </c>
      <c r="E1952" s="16" t="s">
        <v>4740</v>
      </c>
      <c r="F19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2" s="59">
        <v>102.5</v>
      </c>
      <c r="H1952" s="59">
        <v>80</v>
      </c>
      <c r="I1952" s="1">
        <f>COUNTA(ProductInfo[[#This Row],[P1]:[P15]])</f>
        <v>1</v>
      </c>
      <c r="J19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2" s="4" t="s">
        <v>13</v>
      </c>
    </row>
    <row r="1953" spans="1:26">
      <c r="A1953" s="54" t="s">
        <v>4737</v>
      </c>
      <c r="B1953" s="8" t="s">
        <v>4738</v>
      </c>
      <c r="C1953" s="2" t="str">
        <f>RIGHT(ProductInfo[[#This Row],[Drawing No]],1)</f>
        <v>0</v>
      </c>
      <c r="D1953" s="174" t="s">
        <v>4739</v>
      </c>
      <c r="E1953" s="16" t="s">
        <v>4740</v>
      </c>
      <c r="F19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3" s="31"/>
      <c r="H1953" s="31"/>
      <c r="I1953" s="1">
        <f>COUNTA(ProductInfo[[#This Row],[P1]:[P15]])</f>
        <v>1</v>
      </c>
      <c r="J19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3" s="4" t="s">
        <v>13</v>
      </c>
    </row>
    <row r="1954" spans="1:26">
      <c r="A1954" s="54" t="s">
        <v>4792</v>
      </c>
      <c r="B1954" s="8" t="s">
        <v>4793</v>
      </c>
      <c r="C1954" s="2" t="str">
        <f>RIGHT(ProductInfo[[#This Row],[Drawing No]],1)</f>
        <v>0</v>
      </c>
      <c r="D1954" s="174" t="s">
        <v>4794</v>
      </c>
      <c r="E1954" s="16"/>
      <c r="F19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4" s="31"/>
      <c r="H1954" s="31"/>
      <c r="I1954" s="1">
        <f>COUNTA(ProductInfo[[#This Row],[P1]:[P15]])</f>
        <v>2</v>
      </c>
      <c r="J19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54" s="4" t="s">
        <v>15</v>
      </c>
      <c r="M1954" s="4" t="s">
        <v>13</v>
      </c>
    </row>
    <row r="1955" spans="1:26" ht="21">
      <c r="A1955" s="54" t="s">
        <v>4758</v>
      </c>
      <c r="B1955" s="8" t="s">
        <v>4757</v>
      </c>
      <c r="C1955" s="2" t="str">
        <f>RIGHT(ProductInfo[[#This Row],[Drawing No]],1)</f>
        <v>0</v>
      </c>
      <c r="D1955" s="108" t="s">
        <v>4759</v>
      </c>
      <c r="E1955" s="16" t="s">
        <v>3421</v>
      </c>
      <c r="F1955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1955" s="59">
        <v>94</v>
      </c>
      <c r="H1955" s="59">
        <v>50</v>
      </c>
      <c r="I1955" s="1">
        <f>COUNTA(ProductInfo[[#This Row],[P1]:[P15]])</f>
        <v>0</v>
      </c>
      <c r="J19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5" s="4"/>
    </row>
    <row r="1956" spans="1:26">
      <c r="A1956" s="54" t="s">
        <v>5182</v>
      </c>
      <c r="B1956" s="8" t="s">
        <v>5187</v>
      </c>
      <c r="C1956" s="2" t="str">
        <f>RIGHT(ProductInfo[[#This Row],[Drawing No]],1)</f>
        <v>0</v>
      </c>
      <c r="D1956" s="197" t="s">
        <v>5183</v>
      </c>
      <c r="E1956" s="16"/>
      <c r="F195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6" s="31"/>
      <c r="H1956" s="31"/>
      <c r="I1956" s="1">
        <f>COUNTA(ProductInfo[[#This Row],[P1]:[P15]])</f>
        <v>2</v>
      </c>
      <c r="J19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56" s="4" t="s">
        <v>16</v>
      </c>
      <c r="M1956" s="4" t="s">
        <v>12</v>
      </c>
    </row>
    <row r="1957" spans="1:26">
      <c r="A1957" s="54" t="s">
        <v>5621</v>
      </c>
      <c r="B1957" s="8" t="s">
        <v>5620</v>
      </c>
      <c r="C1957" s="2" t="str">
        <f>RIGHT(ProductInfo[[#This Row],[Drawing No]],1)</f>
        <v>0</v>
      </c>
      <c r="D1957" s="174" t="s">
        <v>5622</v>
      </c>
      <c r="E1957" s="16"/>
      <c r="F195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57" s="31"/>
      <c r="H1957" s="31"/>
      <c r="I1957" s="1">
        <f>COUNTA(ProductInfo[[#This Row],[P1]:[P15]])</f>
        <v>0</v>
      </c>
      <c r="J19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7" s="7"/>
      <c r="M1957" s="7"/>
    </row>
    <row r="1958" spans="1:26">
      <c r="A1958" s="54" t="s">
        <v>4135</v>
      </c>
      <c r="B1958" s="8" t="s">
        <v>4077</v>
      </c>
      <c r="C1958" s="2" t="str">
        <f>RIGHT(ProductInfo[[#This Row],[Drawing No]],1)</f>
        <v>0</v>
      </c>
      <c r="D1958" s="174" t="s">
        <v>4894</v>
      </c>
      <c r="E1958" s="16" t="s">
        <v>3441</v>
      </c>
      <c r="F1958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1958" s="31" t="s">
        <v>4896</v>
      </c>
      <c r="H1958" s="31" t="s">
        <v>4897</v>
      </c>
      <c r="I1958" s="1">
        <f>COUNTA(ProductInfo[[#This Row],[P1]:[P15]])</f>
        <v>1</v>
      </c>
      <c r="J19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8" s="4" t="s">
        <v>13</v>
      </c>
    </row>
    <row r="1959" spans="1:26">
      <c r="A1959" s="15" t="s">
        <v>4892</v>
      </c>
      <c r="B1959" s="21" t="s">
        <v>4891</v>
      </c>
      <c r="C1959" s="2" t="str">
        <f>RIGHT(ProductInfo[[#This Row],[Drawing No]],1)</f>
        <v>0</v>
      </c>
      <c r="D1959" s="191" t="s">
        <v>4895</v>
      </c>
      <c r="E1959" s="16" t="s">
        <v>3457</v>
      </c>
      <c r="F1959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1959" s="59">
        <v>505</v>
      </c>
      <c r="H1959" s="59">
        <v>10</v>
      </c>
      <c r="I1959" s="1">
        <f>COUNTA(ProductInfo[[#This Row],[P1]:[P15]])</f>
        <v>1</v>
      </c>
      <c r="J19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59" s="4" t="s">
        <v>13</v>
      </c>
    </row>
    <row r="1960" spans="1:26">
      <c r="A1960" s="15" t="s">
        <v>5030</v>
      </c>
      <c r="B1960" s="21" t="s">
        <v>5029</v>
      </c>
      <c r="C1960" s="2" t="str">
        <f>RIGHT(ProductInfo[[#This Row],[Drawing No]],1)</f>
        <v>0</v>
      </c>
      <c r="D1960" s="192" t="s">
        <v>4895</v>
      </c>
      <c r="E1960" s="16" t="s">
        <v>3457</v>
      </c>
      <c r="F1960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1960" s="59">
        <v>505</v>
      </c>
      <c r="H1960" s="31"/>
      <c r="I1960" s="1">
        <f>COUNTA(ProductInfo[[#This Row],[P1]:[P15]])</f>
        <v>1</v>
      </c>
      <c r="J19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0" s="4" t="s">
        <v>13</v>
      </c>
    </row>
    <row r="1961" spans="1:26">
      <c r="A1961" s="54" t="s">
        <v>4901</v>
      </c>
      <c r="B1961" s="8" t="s">
        <v>4900</v>
      </c>
      <c r="C1961" s="2" t="str">
        <f>RIGHT(ProductInfo[[#This Row],[Drawing No]],1)</f>
        <v>0</v>
      </c>
      <c r="D1961" s="174" t="s">
        <v>4902</v>
      </c>
      <c r="E1961" s="16" t="s">
        <v>4948</v>
      </c>
      <c r="F1961" s="23" t="str">
        <f>IFERROR(INDEX(MaterialCode[รายละเอียด],MATCH(ProductInfo[[#This Row],[Material Code]],MaterialCode[Material Code],0)),"ไม่พบวัตถุดิบ")</f>
        <v>ท่ออลูมิเนียมโต 55 มม. รุใน 34มม.</v>
      </c>
      <c r="G1961" s="59">
        <v>428</v>
      </c>
      <c r="H1961" s="59">
        <v>20</v>
      </c>
      <c r="I1961" s="1">
        <f>COUNTA(ProductInfo[[#This Row],[P1]:[P15]])</f>
        <v>0</v>
      </c>
      <c r="J19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1" s="4"/>
    </row>
    <row r="1962" spans="1:26">
      <c r="A1962" s="54" t="s">
        <v>4904</v>
      </c>
      <c r="B1962" s="8" t="s">
        <v>4903</v>
      </c>
      <c r="C1962" s="2" t="str">
        <f>RIGHT(ProductInfo[[#This Row],[Drawing No]],1)</f>
        <v>0</v>
      </c>
      <c r="D1962" s="174" t="s">
        <v>4905</v>
      </c>
      <c r="E1962" s="16" t="s">
        <v>4948</v>
      </c>
      <c r="F1962" s="23" t="str">
        <f>IFERROR(INDEX(MaterialCode[รายละเอียด],MATCH(ProductInfo[[#This Row],[Material Code]],MaterialCode[Material Code],0)),"ไม่พบวัตถุดิบ")</f>
        <v>ท่ออลูมิเนียมโต 55 มม. รุใน 34มม.</v>
      </c>
      <c r="G1962" s="59">
        <v>388</v>
      </c>
      <c r="H1962" s="59">
        <v>20</v>
      </c>
      <c r="I1962" s="1">
        <f>COUNTA(ProductInfo[[#This Row],[P1]:[P15]])</f>
        <v>0</v>
      </c>
      <c r="J19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2" s="4"/>
    </row>
    <row r="1963" spans="1:26">
      <c r="A1963" s="54" t="s">
        <v>2177</v>
      </c>
      <c r="B1963" s="8" t="s">
        <v>2177</v>
      </c>
      <c r="C1963" s="1" t="str">
        <f>RIGHT(ProductInfo[[#This Row],[Drawing No]],1)</f>
        <v>0</v>
      </c>
      <c r="D1963" s="195" t="s">
        <v>2858</v>
      </c>
      <c r="E1963" s="18" t="s">
        <v>3459</v>
      </c>
      <c r="F1963" s="26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1963" s="3">
        <v>21</v>
      </c>
      <c r="H1963" s="3"/>
      <c r="I1963" s="1">
        <f>COUNTA(ProductInfo[[#This Row],[P1]:[P15]])</f>
        <v>2</v>
      </c>
      <c r="J19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3" s="7" t="s">
        <v>12</v>
      </c>
      <c r="M1963" s="7" t="s">
        <v>13</v>
      </c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>
      <c r="A1964" s="54" t="s">
        <v>2178</v>
      </c>
      <c r="B1964" s="8" t="s">
        <v>2178</v>
      </c>
      <c r="C1964" s="1" t="str">
        <f>RIGHT(ProductInfo[[#This Row],[Drawing No]],1)</f>
        <v>0</v>
      </c>
      <c r="D1964" s="195" t="s">
        <v>2851</v>
      </c>
      <c r="E1964" s="18"/>
      <c r="F196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4" s="32"/>
      <c r="H1964" s="32"/>
      <c r="I1964" s="1">
        <f>COUNTA(ProductInfo[[#This Row],[P1]:[P15]])</f>
        <v>0</v>
      </c>
      <c r="J19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4" s="7"/>
      <c r="M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>
      <c r="A1965" s="54" t="s">
        <v>2179</v>
      </c>
      <c r="B1965" s="8" t="s">
        <v>4101</v>
      </c>
      <c r="C1965" s="2" t="str">
        <f>RIGHT(ProductInfo[[#This Row],[Drawing No]],1)</f>
        <v>0</v>
      </c>
      <c r="D1965" s="195" t="s">
        <v>3271</v>
      </c>
      <c r="E1965" s="18" t="s">
        <v>3533</v>
      </c>
      <c r="F1965" s="26" t="str">
        <f>IFERROR(INDEX(MaterialCode[รายละเอียด],MATCH(ProductInfo[[#This Row],[Material Code]],MaterialCode[Material Code],0)),"ไม่พบวัตถุดิบ")</f>
        <v>ท่ออลูมีเนียมโต 35มม.xรู30มม.(พิเศษ)</v>
      </c>
      <c r="G1965" s="3">
        <v>305</v>
      </c>
      <c r="H1965" s="3"/>
      <c r="I1965" s="2">
        <f>COUNTA(ProductInfo[[#This Row],[P1]:[P15]])</f>
        <v>2</v>
      </c>
      <c r="J1965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65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5" s="4" t="s">
        <v>12</v>
      </c>
      <c r="M1965" s="4" t="s">
        <v>13</v>
      </c>
      <c r="T1965" s="7"/>
      <c r="U1965" s="7"/>
      <c r="V1965" s="7"/>
      <c r="W1965" s="7"/>
      <c r="X1965" s="7"/>
      <c r="Y1965" s="7"/>
      <c r="Z1965" s="7"/>
    </row>
    <row r="1966" spans="1:26">
      <c r="A1966" s="8" t="s">
        <v>2180</v>
      </c>
      <c r="B1966" s="8" t="s">
        <v>2180</v>
      </c>
      <c r="C1966" s="1" t="str">
        <f>RIGHT(ProductInfo[[#This Row],[Drawing No]],1)</f>
        <v>0</v>
      </c>
      <c r="D1966" s="179" t="s">
        <v>2859</v>
      </c>
      <c r="E1966" s="18"/>
      <c r="F196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6" s="32"/>
      <c r="H1966" s="32"/>
      <c r="I1966" s="1">
        <f>COUNTA(ProductInfo[[#This Row],[P1]:[P15]])</f>
        <v>0</v>
      </c>
      <c r="J19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6" s="7"/>
      <c r="M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>
      <c r="A1967" s="8" t="s">
        <v>4275</v>
      </c>
      <c r="B1967" s="8" t="s">
        <v>4950</v>
      </c>
      <c r="C1967" s="2" t="str">
        <f>RIGHT(ProductInfo[[#This Row],[Drawing No]],1)</f>
        <v>0</v>
      </c>
      <c r="D1967" s="176" t="s">
        <v>4951</v>
      </c>
      <c r="E1967" s="16"/>
      <c r="F19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7" s="31"/>
      <c r="H1967" s="31"/>
      <c r="I1967" s="1">
        <f>COUNTA(ProductInfo[[#This Row],[P1]:[P15]])</f>
        <v>0</v>
      </c>
      <c r="J19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7" s="4"/>
    </row>
    <row r="1968" spans="1:26">
      <c r="A1968" s="54" t="s">
        <v>4953</v>
      </c>
      <c r="B1968" s="8" t="s">
        <v>4952</v>
      </c>
      <c r="C1968" s="2" t="str">
        <f>RIGHT(ProductInfo[[#This Row],[Drawing No]],1)</f>
        <v>0</v>
      </c>
      <c r="D1968" s="174" t="s">
        <v>4954</v>
      </c>
      <c r="E1968" s="16"/>
      <c r="F19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8" s="31"/>
      <c r="H1968" s="31"/>
      <c r="I1968" s="1">
        <f>COUNTA(ProductInfo[[#This Row],[P1]:[P15]])</f>
        <v>0</v>
      </c>
      <c r="J19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8" s="4"/>
    </row>
    <row r="1969" spans="1:18">
      <c r="A1969" s="54" t="s">
        <v>3297</v>
      </c>
      <c r="B1969" s="8" t="s">
        <v>3298</v>
      </c>
      <c r="C1969" s="2" t="str">
        <f>RIGHT(ProductInfo[[#This Row],[Drawing No]],1)</f>
        <v>0</v>
      </c>
      <c r="D1969" s="174" t="s">
        <v>3299</v>
      </c>
      <c r="E1969" s="16"/>
      <c r="F19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69" s="31"/>
      <c r="H1969" s="59">
        <v>100</v>
      </c>
      <c r="I1969" s="2">
        <f>COUNTA(ProductInfo[[#This Row],[P1]:[P15]])</f>
        <v>1</v>
      </c>
      <c r="J19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69" s="4" t="s">
        <v>12</v>
      </c>
    </row>
    <row r="1970" spans="1:18" ht="19.8">
      <c r="A1970" s="8" t="s">
        <v>4218</v>
      </c>
      <c r="B1970" s="8" t="s">
        <v>4216</v>
      </c>
      <c r="C1970" s="2" t="str">
        <f>RIGHT(ProductInfo[[#This Row],[Drawing No]],1)</f>
        <v>0</v>
      </c>
      <c r="D1970" s="176" t="s">
        <v>4217</v>
      </c>
      <c r="E1970" s="121" t="s">
        <v>6530</v>
      </c>
      <c r="F1970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1970" s="59">
        <v>63.5</v>
      </c>
      <c r="H1970" s="59"/>
      <c r="I1970" s="1">
        <f>COUNTA(ProductInfo[[#This Row],[P1]:[P15]])</f>
        <v>2</v>
      </c>
      <c r="J19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0" s="7" t="s">
        <v>12</v>
      </c>
      <c r="M1970" s="7" t="s">
        <v>13</v>
      </c>
    </row>
    <row r="1971" spans="1:18" ht="19.8">
      <c r="A1971" s="54" t="s">
        <v>4219</v>
      </c>
      <c r="B1971" s="8" t="s">
        <v>4220</v>
      </c>
      <c r="C1971" s="2" t="str">
        <f>RIGHT(ProductInfo[[#This Row],[Drawing No]],1)</f>
        <v>0</v>
      </c>
      <c r="D1971" s="176" t="s">
        <v>4221</v>
      </c>
      <c r="E1971" s="121" t="s">
        <v>6530</v>
      </c>
      <c r="F197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1971" s="59">
        <v>63.5</v>
      </c>
      <c r="H1971" s="59"/>
      <c r="I1971" s="1">
        <f>COUNTA(ProductInfo[[#This Row],[P1]:[P15]])</f>
        <v>2</v>
      </c>
      <c r="J19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1" s="7" t="s">
        <v>12</v>
      </c>
      <c r="M1971" s="7" t="s">
        <v>13</v>
      </c>
    </row>
    <row r="1972" spans="1:18">
      <c r="A1972" s="54" t="s">
        <v>4229</v>
      </c>
      <c r="B1972" s="8" t="s">
        <v>4230</v>
      </c>
      <c r="C1972" s="2" t="str">
        <f>RIGHT(ProductInfo[[#This Row],[Drawing No]],1)</f>
        <v>0</v>
      </c>
      <c r="D1972" s="174" t="s">
        <v>4231</v>
      </c>
      <c r="E1972" s="16" t="s">
        <v>6529</v>
      </c>
      <c r="F197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972" s="59">
        <v>71</v>
      </c>
      <c r="H1972" s="59"/>
      <c r="I1972" s="1">
        <f>COUNTA(ProductInfo[[#This Row],[P1]:[P15]])</f>
        <v>2</v>
      </c>
      <c r="J19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2" s="7" t="s">
        <v>12</v>
      </c>
      <c r="M1972" s="7" t="s">
        <v>13</v>
      </c>
    </row>
    <row r="1973" spans="1:18">
      <c r="A1973" s="8" t="s">
        <v>4222</v>
      </c>
      <c r="B1973" s="8" t="s">
        <v>4223</v>
      </c>
      <c r="C1973" s="2" t="str">
        <f>RIGHT(ProductInfo[[#This Row],[Drawing No]],1)</f>
        <v>0</v>
      </c>
      <c r="D1973" s="176" t="s">
        <v>4224</v>
      </c>
      <c r="E1973" s="16" t="s">
        <v>6529</v>
      </c>
      <c r="F197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1973" s="59">
        <v>77</v>
      </c>
      <c r="H1973" s="59"/>
      <c r="I1973" s="1">
        <f>COUNTA(ProductInfo[[#This Row],[P1]:[P15]])</f>
        <v>2</v>
      </c>
      <c r="J19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3" s="7" t="s">
        <v>12</v>
      </c>
      <c r="M1973" s="7" t="s">
        <v>13</v>
      </c>
    </row>
    <row r="1974" spans="1:18">
      <c r="A1974" s="8" t="s">
        <v>4225</v>
      </c>
      <c r="B1974" s="8" t="s">
        <v>4226</v>
      </c>
      <c r="C1974" s="2" t="str">
        <f>RIGHT(ProductInfo[[#This Row],[Drawing No]],1)</f>
        <v>0</v>
      </c>
      <c r="D1974" s="176" t="s">
        <v>4232</v>
      </c>
      <c r="E1974" s="16" t="s">
        <v>3718</v>
      </c>
      <c r="F1974" s="23" t="str">
        <f>IFERROR(INDEX(MaterialCode[รายละเอียด],MATCH(ProductInfo[[#This Row],[Material Code]],MaterialCode[Material Code],0)),"ไม่พบวัตถุดิบ")</f>
        <v>MATT FORDGE G M35</v>
      </c>
      <c r="G1974" s="31"/>
      <c r="H1974" s="3">
        <v>50</v>
      </c>
      <c r="I1974" s="1">
        <f>COUNTA(ProductInfo[[#This Row],[P1]:[P15]])</f>
        <v>2</v>
      </c>
      <c r="J19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4" s="7" t="s">
        <v>12</v>
      </c>
      <c r="M1974" s="7" t="s">
        <v>13</v>
      </c>
    </row>
    <row r="1975" spans="1:18">
      <c r="A1975" s="8" t="s">
        <v>4227</v>
      </c>
      <c r="B1975" s="8" t="s">
        <v>4228</v>
      </c>
      <c r="C1975" s="2" t="str">
        <f>RIGHT(ProductInfo[[#This Row],[Drawing No]],1)</f>
        <v>0</v>
      </c>
      <c r="D1975" s="176" t="s">
        <v>4233</v>
      </c>
      <c r="E1975" s="16" t="s">
        <v>3718</v>
      </c>
      <c r="F1975" s="23" t="str">
        <f>IFERROR(INDEX(MaterialCode[รายละเอียด],MATCH(ProductInfo[[#This Row],[Material Code]],MaterialCode[Material Code],0)),"ไม่พบวัตถุดิบ")</f>
        <v>MATT FORDGE G M35</v>
      </c>
      <c r="G1975" s="31"/>
      <c r="H1975" s="3">
        <v>50</v>
      </c>
      <c r="I1975" s="1">
        <f>COUNTA(ProductInfo[[#This Row],[P1]:[P15]])</f>
        <v>2</v>
      </c>
      <c r="J19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5" s="7" t="s">
        <v>12</v>
      </c>
      <c r="M1975" s="7" t="s">
        <v>13</v>
      </c>
    </row>
    <row r="1976" spans="1:18">
      <c r="A1976" s="8" t="s">
        <v>4255</v>
      </c>
      <c r="B1976" s="8" t="s">
        <v>4256</v>
      </c>
      <c r="C1976" s="2" t="str">
        <f>RIGHT(ProductInfo[[#This Row],[Drawing No]],1)</f>
        <v>0</v>
      </c>
      <c r="D1976" s="176" t="s">
        <v>4257</v>
      </c>
      <c r="E1976" s="16" t="s">
        <v>3559</v>
      </c>
      <c r="F197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76" s="59">
        <v>147</v>
      </c>
      <c r="H1976" s="3">
        <v>100</v>
      </c>
      <c r="I1976" s="1">
        <f>COUNTA(ProductInfo[[#This Row],[P1]:[P15]])</f>
        <v>2</v>
      </c>
      <c r="J19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6" s="4" t="s">
        <v>12</v>
      </c>
      <c r="M1976" s="4" t="s">
        <v>13</v>
      </c>
    </row>
    <row r="1977" spans="1:18">
      <c r="A1977" s="8" t="s">
        <v>4304</v>
      </c>
      <c r="B1977" s="8" t="s">
        <v>4303</v>
      </c>
      <c r="C1977" s="2" t="str">
        <f>RIGHT(ProductInfo[[#This Row],[Drawing No]],1)</f>
        <v>0</v>
      </c>
      <c r="D1977" s="176" t="s">
        <v>4302</v>
      </c>
      <c r="E1977" s="16"/>
      <c r="F19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77" s="31"/>
      <c r="H1977" s="3">
        <v>50</v>
      </c>
      <c r="I1977" s="1">
        <f>COUNTA(ProductInfo[[#This Row],[P1]:[P15]])</f>
        <v>2</v>
      </c>
      <c r="J19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7" s="4" t="s">
        <v>12</v>
      </c>
      <c r="M1977" s="4" t="s">
        <v>13</v>
      </c>
    </row>
    <row r="1978" spans="1:18">
      <c r="A1978" s="8" t="s">
        <v>4300</v>
      </c>
      <c r="B1978" s="8" t="s">
        <v>4299</v>
      </c>
      <c r="C1978" s="2" t="str">
        <f>RIGHT(ProductInfo[[#This Row],[Drawing No]],1)</f>
        <v>0</v>
      </c>
      <c r="D1978" s="176" t="s">
        <v>4301</v>
      </c>
      <c r="E1978" s="16" t="s">
        <v>3739</v>
      </c>
      <c r="F1978" s="23" t="str">
        <f>IFERROR(INDEX(MaterialCode[รายละเอียด],MATCH(ProductInfo[[#This Row],[Material Code]],MaterialCode[Material Code],0)),"ไม่พบวัตถุดิบ")</f>
        <v>MATT FORDGE C EURO M35</v>
      </c>
      <c r="G1978" s="31"/>
      <c r="H1978" s="3">
        <v>50</v>
      </c>
      <c r="I1978" s="1">
        <f>COUNTA(ProductInfo[[#This Row],[P1]:[P15]])</f>
        <v>2</v>
      </c>
      <c r="J19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8" s="4" t="s">
        <v>12</v>
      </c>
      <c r="M1978" s="4" t="s">
        <v>13</v>
      </c>
    </row>
    <row r="1979" spans="1:18">
      <c r="A1979" s="15" t="s">
        <v>4363</v>
      </c>
      <c r="B1979" s="21" t="s">
        <v>4362</v>
      </c>
      <c r="C1979" s="2" t="str">
        <f>RIGHT(ProductInfo[[#This Row],[Drawing No]],1)</f>
        <v>0</v>
      </c>
      <c r="D1979" s="191" t="s">
        <v>4364</v>
      </c>
      <c r="E1979" s="16"/>
      <c r="F197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79" s="31"/>
      <c r="H1979" s="31"/>
      <c r="I1979" s="1">
        <f>COUNTA(ProductInfo[[#This Row],[P1]:[P15]])</f>
        <v>0</v>
      </c>
      <c r="J19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79" s="4"/>
    </row>
    <row r="1980" spans="1:18">
      <c r="A1980" s="54" t="s">
        <v>4358</v>
      </c>
      <c r="B1980" s="8" t="s">
        <v>4357</v>
      </c>
      <c r="C1980" s="2" t="str">
        <f>RIGHT(ProductInfo[[#This Row],[Drawing No]],1)</f>
        <v>0</v>
      </c>
      <c r="D1980" s="174" t="s">
        <v>4359</v>
      </c>
      <c r="E1980" s="16"/>
      <c r="F19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0" s="31"/>
      <c r="H1980" s="31"/>
      <c r="I1980" s="1">
        <f>COUNTA(ProductInfo[[#This Row],[P1]:[P15]])</f>
        <v>2</v>
      </c>
      <c r="J19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0" s="4" t="s">
        <v>12</v>
      </c>
      <c r="M1980" s="4" t="s">
        <v>13</v>
      </c>
    </row>
    <row r="1981" spans="1:18">
      <c r="A1981" s="54" t="s">
        <v>4360</v>
      </c>
      <c r="B1981" s="8" t="s">
        <v>4357</v>
      </c>
      <c r="C1981" s="2" t="str">
        <f>RIGHT(ProductInfo[[#This Row],[Drawing No]],1)</f>
        <v>0</v>
      </c>
      <c r="D1981" s="174" t="s">
        <v>4361</v>
      </c>
      <c r="E1981" s="16"/>
      <c r="F19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1" s="31"/>
      <c r="H1981" s="31"/>
      <c r="I1981" s="1">
        <f>COUNTA(ProductInfo[[#This Row],[P1]:[P15]])</f>
        <v>2</v>
      </c>
      <c r="J19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1" s="4" t="s">
        <v>12</v>
      </c>
      <c r="M1981" s="4" t="s">
        <v>13</v>
      </c>
    </row>
    <row r="1982" spans="1:18">
      <c r="A1982" s="15" t="s">
        <v>4378</v>
      </c>
      <c r="B1982" s="21" t="s">
        <v>4377</v>
      </c>
      <c r="C1982" s="2" t="str">
        <f>RIGHT(ProductInfo[[#This Row],[Drawing No]],1)</f>
        <v>0</v>
      </c>
      <c r="D1982" s="191" t="s">
        <v>4379</v>
      </c>
      <c r="E1982" s="16"/>
      <c r="F19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2" s="31"/>
      <c r="H1982" s="31"/>
      <c r="I1982" s="1">
        <f>COUNTA(ProductInfo[[#This Row],[P1]:[P15]])</f>
        <v>0</v>
      </c>
      <c r="J19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2" s="4"/>
    </row>
    <row r="1983" spans="1:18">
      <c r="A1983" s="54" t="s">
        <v>4391</v>
      </c>
      <c r="B1983" s="8" t="s">
        <v>4390</v>
      </c>
      <c r="C1983" s="2" t="str">
        <f>RIGHT(ProductInfo[[#This Row],[Drawing No]],1)</f>
        <v>0</v>
      </c>
      <c r="D1983" s="174" t="s">
        <v>4392</v>
      </c>
      <c r="E1983" s="16"/>
      <c r="F19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3" s="31"/>
      <c r="H1983" s="31"/>
      <c r="I1983" s="1">
        <f>COUNTA(ProductInfo[[#This Row],[P1]:[P15]])</f>
        <v>0</v>
      </c>
      <c r="J19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3" s="4"/>
    </row>
    <row r="1984" spans="1:18">
      <c r="A1984" s="54" t="s">
        <v>4400</v>
      </c>
      <c r="B1984" s="8" t="s">
        <v>4399</v>
      </c>
      <c r="C1984" s="2" t="str">
        <f>RIGHT(ProductInfo[[#This Row],[Drawing No]],1)</f>
        <v>0</v>
      </c>
      <c r="D1984" s="174" t="s">
        <v>4401</v>
      </c>
      <c r="E1984" s="16"/>
      <c r="F19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4" s="31"/>
      <c r="H1984" s="31"/>
      <c r="I1984" s="1">
        <f>COUNTA(ProductInfo[[#This Row],[P1]:[P15]])</f>
        <v>2</v>
      </c>
      <c r="J19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4" s="7" t="s">
        <v>12</v>
      </c>
      <c r="M1984" s="7" t="s">
        <v>13</v>
      </c>
      <c r="R1984" s="7"/>
    </row>
    <row r="1985" spans="1:18">
      <c r="A1985" s="15" t="s">
        <v>4402</v>
      </c>
      <c r="B1985" s="21" t="s">
        <v>4403</v>
      </c>
      <c r="C1985" s="2" t="str">
        <f>RIGHT(ProductInfo[[#This Row],[Drawing No]],1)</f>
        <v>0</v>
      </c>
      <c r="D1985" s="191" t="s">
        <v>4404</v>
      </c>
      <c r="E1985" s="16"/>
      <c r="F19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5" s="31"/>
      <c r="H1985" s="31"/>
      <c r="I1985" s="1">
        <f>COUNTA(ProductInfo[[#This Row],[P1]:[P15]])</f>
        <v>2</v>
      </c>
      <c r="J19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5" s="7" t="s">
        <v>12</v>
      </c>
      <c r="M1985" s="7" t="s">
        <v>13</v>
      </c>
    </row>
    <row r="1986" spans="1:18">
      <c r="A1986" s="109" t="s">
        <v>4397</v>
      </c>
      <c r="B1986" s="21" t="s">
        <v>4396</v>
      </c>
      <c r="C1986" s="2" t="str">
        <f>RIGHT(ProductInfo[[#This Row],[Drawing No]],1)</f>
        <v>0</v>
      </c>
      <c r="D1986" s="191" t="s">
        <v>4398</v>
      </c>
      <c r="E1986" s="16"/>
      <c r="F19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6" s="31"/>
      <c r="H1986" s="31"/>
      <c r="I1986" s="1">
        <f>COUNTA(ProductInfo[[#This Row],[P1]:[P15]])</f>
        <v>2</v>
      </c>
      <c r="J19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6" s="7" t="s">
        <v>12</v>
      </c>
      <c r="M1986" s="7" t="s">
        <v>13</v>
      </c>
    </row>
    <row r="1987" spans="1:18">
      <c r="A1987" s="54" t="s">
        <v>4461</v>
      </c>
      <c r="B1987" s="8" t="s">
        <v>4460</v>
      </c>
      <c r="C1987" s="2" t="str">
        <f>RIGHT(ProductInfo[[#This Row],[Drawing No]],1)</f>
        <v>0</v>
      </c>
      <c r="D1987" s="174" t="s">
        <v>4462</v>
      </c>
      <c r="E1987" s="16"/>
      <c r="F19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87" s="31"/>
      <c r="H1987" s="3"/>
      <c r="I1987" s="1">
        <f>COUNTA(ProductInfo[[#This Row],[P1]:[P15]])</f>
        <v>0</v>
      </c>
      <c r="J19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7" s="4"/>
    </row>
    <row r="1988" spans="1:18">
      <c r="A1988" s="54" t="s">
        <v>4429</v>
      </c>
      <c r="B1988" s="8" t="s">
        <v>4428</v>
      </c>
      <c r="C1988" s="2" t="str">
        <f>RIGHT(ProductInfo[[#This Row],[Drawing No]],1)</f>
        <v>0</v>
      </c>
      <c r="D1988" s="174" t="s">
        <v>4430</v>
      </c>
      <c r="E1988" s="16" t="s">
        <v>4561</v>
      </c>
      <c r="F1988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988" s="59">
        <v>84.5</v>
      </c>
      <c r="H1988" s="59">
        <v>55</v>
      </c>
      <c r="I1988" s="1">
        <f>COUNTA(ProductInfo[[#This Row],[P1]:[P15]])</f>
        <v>2</v>
      </c>
      <c r="J19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8" s="4" t="s">
        <v>12</v>
      </c>
      <c r="M1988" s="4" t="s">
        <v>13</v>
      </c>
    </row>
    <row r="1989" spans="1:18">
      <c r="A1989" s="54" t="s">
        <v>4432</v>
      </c>
      <c r="B1989" s="8" t="s">
        <v>4428</v>
      </c>
      <c r="C1989" s="2" t="str">
        <f>RIGHT(ProductInfo[[#This Row],[Drawing No]],1)</f>
        <v>0</v>
      </c>
      <c r="D1989" s="174" t="s">
        <v>4433</v>
      </c>
      <c r="E1989" s="16" t="s">
        <v>4561</v>
      </c>
      <c r="F1989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1989" s="59">
        <v>84.5</v>
      </c>
      <c r="H1989" s="59">
        <v>55</v>
      </c>
      <c r="I1989" s="1">
        <f>COUNTA(ProductInfo[[#This Row],[P1]:[P15]])</f>
        <v>2</v>
      </c>
      <c r="J19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89" s="4" t="s">
        <v>12</v>
      </c>
      <c r="M1989" s="4" t="s">
        <v>13</v>
      </c>
    </row>
    <row r="1990" spans="1:18">
      <c r="A1990" s="54" t="s">
        <v>4457</v>
      </c>
      <c r="B1990" s="8" t="s">
        <v>4484</v>
      </c>
      <c r="C1990" s="2" t="str">
        <f>RIGHT(ProductInfo[[#This Row],[Drawing No]],1)</f>
        <v>1</v>
      </c>
      <c r="D1990" s="174" t="s">
        <v>4459</v>
      </c>
      <c r="E1990" s="16" t="s">
        <v>3469</v>
      </c>
      <c r="F1990" s="23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1990" s="31"/>
      <c r="H1990" s="31"/>
      <c r="I1990" s="1">
        <f>COUNTA(ProductInfo[[#This Row],[P1]:[P15]])</f>
        <v>2</v>
      </c>
      <c r="J19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0" s="4" t="s">
        <v>12</v>
      </c>
      <c r="M1990" s="4" t="s">
        <v>13</v>
      </c>
    </row>
    <row r="1991" spans="1:18">
      <c r="A1991" s="54" t="s">
        <v>4457</v>
      </c>
      <c r="B1991" s="8" t="s">
        <v>4458</v>
      </c>
      <c r="C1991" s="2" t="str">
        <f>RIGHT(ProductInfo[[#This Row],[Drawing No]],1)</f>
        <v>0</v>
      </c>
      <c r="D1991" s="198" t="s">
        <v>4459</v>
      </c>
      <c r="E1991" s="16"/>
      <c r="F19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1" s="31"/>
      <c r="H1991" s="31"/>
      <c r="I1991" s="1">
        <f>COUNTA(ProductInfo[[#This Row],[P1]:[P15]])</f>
        <v>0</v>
      </c>
      <c r="J19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1" s="4"/>
    </row>
    <row r="1992" spans="1:18">
      <c r="A1992" s="54" t="s">
        <v>4454</v>
      </c>
      <c r="B1992" s="8" t="s">
        <v>4483</v>
      </c>
      <c r="C1992" s="2" t="str">
        <f>RIGHT(ProductInfo[[#This Row],[Drawing No]],1)</f>
        <v>1</v>
      </c>
      <c r="D1992" s="174" t="s">
        <v>4456</v>
      </c>
      <c r="E1992" s="16" t="s">
        <v>3471</v>
      </c>
      <c r="F1992" s="23" t="str">
        <f>IFERROR(INDEX(MaterialCode[รายละเอียด],MATCH(ProductInfo[[#This Row],[Material Code]],MaterialCode[Material Code],0)),"ไม่พบวัตถุดิบ")</f>
        <v>ท่ออลูมีเนียมโต 51.5 มม.xรูใน 44.8 มม</v>
      </c>
      <c r="G1992" s="31"/>
      <c r="H1992" s="3">
        <v>100</v>
      </c>
      <c r="I1992" s="1">
        <f>COUNTA(ProductInfo[[#This Row],[P1]:[P15]])</f>
        <v>2</v>
      </c>
      <c r="J19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2" s="4" t="s">
        <v>12</v>
      </c>
      <c r="M1992" s="4" t="s">
        <v>13</v>
      </c>
    </row>
    <row r="1993" spans="1:18">
      <c r="A1993" s="54" t="s">
        <v>4454</v>
      </c>
      <c r="B1993" s="8" t="s">
        <v>4455</v>
      </c>
      <c r="C1993" s="2" t="str">
        <f>RIGHT(ProductInfo[[#This Row],[Drawing No]],1)</f>
        <v>0</v>
      </c>
      <c r="D1993" s="198" t="s">
        <v>4456</v>
      </c>
      <c r="E1993" s="16"/>
      <c r="F19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3" s="31"/>
      <c r="H1993" s="31"/>
      <c r="I1993" s="1">
        <f>COUNTA(ProductInfo[[#This Row],[P1]:[P15]])</f>
        <v>0</v>
      </c>
      <c r="J19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3" s="4"/>
    </row>
    <row r="1994" spans="1:18">
      <c r="A1994" s="54" t="s">
        <v>4453</v>
      </c>
      <c r="B1994" s="8" t="s">
        <v>4452</v>
      </c>
      <c r="C1994" s="2" t="str">
        <f>RIGHT(ProductInfo[[#This Row],[Drawing No]],1)</f>
        <v>0</v>
      </c>
      <c r="D1994" s="174" t="s">
        <v>4451</v>
      </c>
      <c r="E1994" s="16" t="s">
        <v>3527</v>
      </c>
      <c r="F1994" s="23" t="str">
        <f>IFERROR(INDEX(MaterialCode[รายละเอียด],MATCH(ProductInfo[[#This Row],[Material Code]],MaterialCode[Material Code],0)),"ไม่พบวัตถุดิบ")</f>
        <v>เพลาหน้าตัด ตัวYใหม่</v>
      </c>
      <c r="G1994" s="31" t="s">
        <v>5987</v>
      </c>
      <c r="H1994" s="31"/>
      <c r="I1994" s="1">
        <f>COUNTA(ProductInfo[[#This Row],[P1]:[P15]])</f>
        <v>2</v>
      </c>
      <c r="J19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19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94" s="4" t="s">
        <v>12</v>
      </c>
      <c r="M1994" s="4" t="s">
        <v>15</v>
      </c>
    </row>
    <row r="1995" spans="1:18">
      <c r="A1995" s="54" t="s">
        <v>4440</v>
      </c>
      <c r="B1995" s="8" t="s">
        <v>4439</v>
      </c>
      <c r="C1995" s="2" t="str">
        <f>RIGHT(ProductInfo[[#This Row],[Drawing No]],1)</f>
        <v>0</v>
      </c>
      <c r="D1995" s="174" t="s">
        <v>4441</v>
      </c>
      <c r="E1995" s="16"/>
      <c r="F19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5" s="31"/>
      <c r="H1995" s="31"/>
      <c r="I1995" s="1">
        <f>COUNTA(ProductInfo[[#This Row],[P1]:[P15]])</f>
        <v>0</v>
      </c>
      <c r="J19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19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5" s="4"/>
    </row>
    <row r="1996" spans="1:18">
      <c r="A1996" s="54" t="s">
        <v>4477</v>
      </c>
      <c r="B1996" s="8" t="s">
        <v>4476</v>
      </c>
      <c r="C1996" s="2" t="str">
        <f>RIGHT(ProductInfo[[#This Row],[Drawing No]],1)</f>
        <v>0</v>
      </c>
      <c r="D1996" s="174" t="s">
        <v>4478</v>
      </c>
      <c r="E1996" s="16"/>
      <c r="F199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6" s="31"/>
      <c r="H1996" s="31"/>
      <c r="I1996" s="1">
        <f>COUNTA(ProductInfo[[#This Row],[P1]:[P15]])</f>
        <v>2</v>
      </c>
      <c r="J19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6" s="4" t="s">
        <v>12</v>
      </c>
      <c r="M1996" s="4" t="s">
        <v>13</v>
      </c>
    </row>
    <row r="1997" spans="1:18">
      <c r="A1997" s="54" t="s">
        <v>4480</v>
      </c>
      <c r="B1997" s="8" t="s">
        <v>4482</v>
      </c>
      <c r="C1997" s="2" t="str">
        <f>RIGHT(ProductInfo[[#This Row],[Drawing No]],1)</f>
        <v>0</v>
      </c>
      <c r="D1997" s="174" t="s">
        <v>4481</v>
      </c>
      <c r="E1997" s="16"/>
      <c r="F199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1997" s="31"/>
      <c r="H1997" s="31"/>
      <c r="I1997" s="1">
        <f>COUNTA(ProductInfo[[#This Row],[P1]:[P15]])</f>
        <v>2</v>
      </c>
      <c r="J19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7" s="4" t="s">
        <v>12</v>
      </c>
      <c r="M1997" s="4" t="s">
        <v>13</v>
      </c>
    </row>
    <row r="1998" spans="1:18">
      <c r="A1998" s="54" t="s">
        <v>4519</v>
      </c>
      <c r="B1998" s="8" t="s">
        <v>4518</v>
      </c>
      <c r="C1998" s="2" t="str">
        <f>RIGHT(ProductInfo[[#This Row],[Drawing No]],1)</f>
        <v>0</v>
      </c>
      <c r="D1998" s="174" t="s">
        <v>4520</v>
      </c>
      <c r="E1998" s="16" t="s">
        <v>3559</v>
      </c>
      <c r="F1998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1998" s="59">
        <v>285</v>
      </c>
      <c r="H1998" s="3">
        <v>100</v>
      </c>
      <c r="I1998" s="1">
        <f>COUNTA(ProductInfo[[#This Row],[P1]:[P15]])</f>
        <v>2</v>
      </c>
      <c r="J19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1998" s="4" t="s">
        <v>12</v>
      </c>
      <c r="M1998" s="4" t="s">
        <v>13</v>
      </c>
    </row>
    <row r="1999" spans="1:18">
      <c r="A1999" s="54" t="s">
        <v>4551</v>
      </c>
      <c r="B1999" s="8" t="s">
        <v>4550</v>
      </c>
      <c r="C1999" s="2" t="str">
        <f>RIGHT(ProductInfo[[#This Row],[Drawing No]],1)</f>
        <v>0</v>
      </c>
      <c r="D1999" s="174" t="s">
        <v>4509</v>
      </c>
      <c r="E1999" s="16" t="s">
        <v>3722</v>
      </c>
      <c r="F1999" s="23" t="str">
        <f>IFERROR(INDEX(MaterialCode[รายละเอียด],MATCH(ProductInfo[[#This Row],[Material Code]],MaterialCode[Material Code],0)),"ไม่พบวัตถุดิบ")</f>
        <v>MATT FORDGE G M42</v>
      </c>
      <c r="G1999" s="31"/>
      <c r="H1999" s="3">
        <v>40</v>
      </c>
      <c r="I1999" s="1">
        <f>COUNTA(ProductInfo[[#This Row],[P1]:[P15]])</f>
        <v>3</v>
      </c>
      <c r="J19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19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1999" s="7" t="s">
        <v>12</v>
      </c>
      <c r="M1999" s="7" t="s">
        <v>13</v>
      </c>
      <c r="R1999" s="7" t="s">
        <v>19</v>
      </c>
    </row>
    <row r="2000" spans="1:18">
      <c r="A2000" s="54" t="s">
        <v>4553</v>
      </c>
      <c r="B2000" s="8" t="s">
        <v>4552</v>
      </c>
      <c r="C2000" s="2" t="str">
        <f>RIGHT(ProductInfo[[#This Row],[Drawing No]],1)</f>
        <v>0</v>
      </c>
      <c r="D2000" s="174" t="s">
        <v>4554</v>
      </c>
      <c r="E2000" s="16"/>
      <c r="F20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0" s="31"/>
      <c r="H2000" s="31"/>
      <c r="I2000" s="1">
        <f>COUNTA(ProductInfo[[#This Row],[P1]:[P15]])</f>
        <v>2</v>
      </c>
      <c r="J20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0" s="7" t="s">
        <v>12</v>
      </c>
      <c r="M2000" s="7" t="s">
        <v>13</v>
      </c>
    </row>
    <row r="2001" spans="1:13">
      <c r="A2001" s="54" t="s">
        <v>4573</v>
      </c>
      <c r="B2001" s="8" t="s">
        <v>4572</v>
      </c>
      <c r="C2001" s="2" t="str">
        <f>RIGHT(ProductInfo[[#This Row],[Drawing No]],1)</f>
        <v>0</v>
      </c>
      <c r="D2001" s="174" t="s">
        <v>4574</v>
      </c>
      <c r="E2001" s="16" t="s">
        <v>3529</v>
      </c>
      <c r="F2001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001" s="59">
        <v>15</v>
      </c>
      <c r="H2001" s="59"/>
      <c r="I2001" s="1">
        <f>COUNTA(ProductInfo[[#This Row],[P1]:[P15]])</f>
        <v>2</v>
      </c>
      <c r="J20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1" s="7" t="s">
        <v>12</v>
      </c>
      <c r="M2001" s="7" t="s">
        <v>13</v>
      </c>
    </row>
    <row r="2002" spans="1:13">
      <c r="A2002" s="54" t="s">
        <v>4569</v>
      </c>
      <c r="B2002" s="8" t="s">
        <v>4570</v>
      </c>
      <c r="C2002" s="2" t="str">
        <f>RIGHT(ProductInfo[[#This Row],[Drawing No]],1)</f>
        <v>0</v>
      </c>
      <c r="D2002" s="174" t="s">
        <v>4571</v>
      </c>
      <c r="E2002" s="16" t="s">
        <v>3540</v>
      </c>
      <c r="F2002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002" s="59">
        <v>16.5</v>
      </c>
      <c r="H2002" s="59"/>
      <c r="I2002" s="1">
        <f>COUNTA(ProductInfo[[#This Row],[P1]:[P15]])</f>
        <v>2</v>
      </c>
      <c r="J20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2" s="7" t="s">
        <v>12</v>
      </c>
      <c r="M2002" s="7" t="s">
        <v>13</v>
      </c>
    </row>
    <row r="2003" spans="1:13">
      <c r="A2003" s="54" t="s">
        <v>4596</v>
      </c>
      <c r="B2003" s="8" t="s">
        <v>4595</v>
      </c>
      <c r="C2003" s="2" t="str">
        <f>RIGHT(ProductInfo[[#This Row],[Drawing No]],1)</f>
        <v>0</v>
      </c>
      <c r="D2003" s="174" t="s">
        <v>4597</v>
      </c>
      <c r="E2003" s="16"/>
      <c r="F20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3" s="31"/>
      <c r="H2003" s="31"/>
      <c r="I2003" s="1">
        <f>COUNTA(ProductInfo[[#This Row],[P1]:[P15]])</f>
        <v>0</v>
      </c>
      <c r="J20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3" s="4"/>
    </row>
    <row r="2004" spans="1:13">
      <c r="A2004" s="54" t="s">
        <v>4599</v>
      </c>
      <c r="B2004" s="8" t="s">
        <v>4598</v>
      </c>
      <c r="C2004" s="2" t="str">
        <f>RIGHT(ProductInfo[[#This Row],[Drawing No]],1)</f>
        <v>0</v>
      </c>
      <c r="D2004" s="174" t="s">
        <v>4600</v>
      </c>
      <c r="E2004" s="16"/>
      <c r="F20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4" s="31"/>
      <c r="H2004" s="31"/>
      <c r="I2004" s="1">
        <f>COUNTA(ProductInfo[[#This Row],[P1]:[P15]])</f>
        <v>0</v>
      </c>
      <c r="J20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4" s="4"/>
    </row>
    <row r="2005" spans="1:13">
      <c r="A2005" s="54" t="s">
        <v>4602</v>
      </c>
      <c r="B2005" s="8" t="s">
        <v>4601</v>
      </c>
      <c r="C2005" s="2" t="str">
        <f>RIGHT(ProductInfo[[#This Row],[Drawing No]],1)</f>
        <v>0</v>
      </c>
      <c r="D2005" s="174" t="s">
        <v>4603</v>
      </c>
      <c r="E2005" s="16"/>
      <c r="F20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5" s="31"/>
      <c r="H2005" s="31"/>
      <c r="I2005" s="1">
        <f>COUNTA(ProductInfo[[#This Row],[P1]:[P15]])</f>
        <v>0</v>
      </c>
      <c r="J20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5" s="4"/>
    </row>
    <row r="2006" spans="1:13">
      <c r="A2006" s="54" t="s">
        <v>4605</v>
      </c>
      <c r="B2006" s="8" t="s">
        <v>4604</v>
      </c>
      <c r="C2006" s="2" t="str">
        <f>RIGHT(ProductInfo[[#This Row],[Drawing No]],1)</f>
        <v>0</v>
      </c>
      <c r="D2006" s="174" t="s">
        <v>4606</v>
      </c>
      <c r="E2006" s="16"/>
      <c r="F20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6" s="31"/>
      <c r="H2006" s="31"/>
      <c r="I2006" s="1">
        <f>COUNTA(ProductInfo[[#This Row],[P1]:[P15]])</f>
        <v>0</v>
      </c>
      <c r="J20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6" s="4"/>
    </row>
    <row r="2007" spans="1:13">
      <c r="A2007" s="54" t="s">
        <v>4627</v>
      </c>
      <c r="B2007" s="8" t="s">
        <v>4626</v>
      </c>
      <c r="C2007" s="2" t="str">
        <f>RIGHT(ProductInfo[[#This Row],[Drawing No]],1)</f>
        <v>0</v>
      </c>
      <c r="D2007" s="174" t="s">
        <v>4628</v>
      </c>
      <c r="E2007" s="16"/>
      <c r="F20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07" s="31"/>
      <c r="H2007" s="31"/>
      <c r="I2007" s="1">
        <f>COUNTA(ProductInfo[[#This Row],[P1]:[P15]])</f>
        <v>2</v>
      </c>
      <c r="J20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7" s="4" t="s">
        <v>12</v>
      </c>
      <c r="M2007" s="4" t="s">
        <v>13</v>
      </c>
    </row>
    <row r="2008" spans="1:13" ht="25.8">
      <c r="A2008" s="54" t="s">
        <v>4887</v>
      </c>
      <c r="B2008" s="8" t="s">
        <v>4886</v>
      </c>
      <c r="C2008" s="2" t="str">
        <f>RIGHT(ProductInfo[[#This Row],[Drawing No]],1)</f>
        <v>0</v>
      </c>
      <c r="D2008" s="174" t="s">
        <v>4888</v>
      </c>
      <c r="E2008" s="258" t="s">
        <v>7037</v>
      </c>
      <c r="F2008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008" s="59">
        <v>54.5</v>
      </c>
      <c r="H2008" s="59">
        <v>100</v>
      </c>
      <c r="I2008" s="1">
        <f>COUNTA(ProductInfo[[#This Row],[P1]:[P15]])</f>
        <v>2</v>
      </c>
      <c r="J20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8" s="4" t="s">
        <v>12</v>
      </c>
      <c r="M2008" s="4" t="s">
        <v>13</v>
      </c>
    </row>
    <row r="2009" spans="1:13" ht="25.8">
      <c r="A2009" s="54" t="s">
        <v>4630</v>
      </c>
      <c r="B2009" s="8" t="s">
        <v>4629</v>
      </c>
      <c r="C2009" s="2" t="str">
        <f>RIGHT(ProductInfo[[#This Row],[Drawing No]],1)</f>
        <v>0</v>
      </c>
      <c r="D2009" s="174" t="s">
        <v>4631</v>
      </c>
      <c r="E2009" s="258" t="s">
        <v>7037</v>
      </c>
      <c r="F2009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009" s="59">
        <v>61</v>
      </c>
      <c r="H2009" s="59">
        <v>100</v>
      </c>
      <c r="I2009" s="1">
        <f>COUNTA(ProductInfo[[#This Row],[P1]:[P15]])</f>
        <v>2</v>
      </c>
      <c r="J20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09" s="4" t="s">
        <v>12</v>
      </c>
      <c r="M2009" s="4" t="s">
        <v>13</v>
      </c>
    </row>
    <row r="2010" spans="1:13">
      <c r="A2010" s="54" t="s">
        <v>4633</v>
      </c>
      <c r="B2010" s="8" t="s">
        <v>4632</v>
      </c>
      <c r="C2010" s="2" t="str">
        <f>RIGHT(ProductInfo[[#This Row],[Drawing No]],1)</f>
        <v>0</v>
      </c>
      <c r="D2010" s="174" t="s">
        <v>4634</v>
      </c>
      <c r="E2010" s="16"/>
      <c r="F20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0" s="31"/>
      <c r="H2010" s="31"/>
      <c r="I2010" s="1">
        <f>COUNTA(ProductInfo[[#This Row],[P1]:[P15]])</f>
        <v>0</v>
      </c>
      <c r="J20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0" s="4"/>
    </row>
    <row r="2011" spans="1:13">
      <c r="A2011" s="54" t="s">
        <v>4732</v>
      </c>
      <c r="B2011" s="8" t="s">
        <v>4731</v>
      </c>
      <c r="C2011" s="2" t="str">
        <f>RIGHT(ProductInfo[[#This Row],[Drawing No]],1)</f>
        <v>0</v>
      </c>
      <c r="D2011" s="174" t="s">
        <v>4634</v>
      </c>
      <c r="E2011" s="16" t="s">
        <v>3441</v>
      </c>
      <c r="F2011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011" s="59">
        <v>74</v>
      </c>
      <c r="H2011" s="59">
        <v>100</v>
      </c>
      <c r="I2011" s="1">
        <f>COUNTA(ProductInfo[[#This Row],[P1]:[P15]])</f>
        <v>2</v>
      </c>
      <c r="J20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1" s="4" t="s">
        <v>12</v>
      </c>
      <c r="M2011" s="4" t="s">
        <v>13</v>
      </c>
    </row>
    <row r="2012" spans="1:13">
      <c r="A2012" s="54" t="s">
        <v>4635</v>
      </c>
      <c r="B2012" s="8" t="s">
        <v>4636</v>
      </c>
      <c r="C2012" s="2" t="str">
        <f>RIGHT(ProductInfo[[#This Row],[Drawing No]],1)</f>
        <v>0</v>
      </c>
      <c r="D2012" s="174" t="s">
        <v>4637</v>
      </c>
      <c r="E2012" s="16" t="s">
        <v>3457</v>
      </c>
      <c r="F2012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012" s="59">
        <v>123</v>
      </c>
      <c r="H2012" s="59">
        <v>50</v>
      </c>
      <c r="I2012" s="1">
        <f>COUNTA(ProductInfo[[#This Row],[P1]:[P15]])</f>
        <v>2</v>
      </c>
      <c r="J20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2" s="4" t="s">
        <v>12</v>
      </c>
      <c r="M2012" s="4" t="s">
        <v>13</v>
      </c>
    </row>
    <row r="2013" spans="1:13">
      <c r="A2013" s="54" t="s">
        <v>4619</v>
      </c>
      <c r="B2013" s="8" t="s">
        <v>4618</v>
      </c>
      <c r="C2013" s="2" t="str">
        <f>RIGHT(ProductInfo[[#This Row],[Drawing No]],1)</f>
        <v>0</v>
      </c>
      <c r="D2013" s="174" t="s">
        <v>4617</v>
      </c>
      <c r="E2013" s="16"/>
      <c r="F20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3" s="31"/>
      <c r="H2013" s="31"/>
      <c r="I2013" s="1">
        <f>COUNTA(ProductInfo[[#This Row],[P1]:[P15]])</f>
        <v>2</v>
      </c>
      <c r="J20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3" s="7" t="s">
        <v>12</v>
      </c>
      <c r="M2013" s="7" t="s">
        <v>13</v>
      </c>
    </row>
    <row r="2014" spans="1:13">
      <c r="A2014" s="54" t="s">
        <v>4620</v>
      </c>
      <c r="B2014" s="8" t="s">
        <v>4621</v>
      </c>
      <c r="C2014" s="2" t="str">
        <f>RIGHT(ProductInfo[[#This Row],[Drawing No]],1)</f>
        <v>0</v>
      </c>
      <c r="D2014" s="176" t="s">
        <v>4622</v>
      </c>
      <c r="E2014" s="16"/>
      <c r="F20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4" s="31"/>
      <c r="H2014" s="31"/>
      <c r="I2014" s="1">
        <f>COUNTA(ProductInfo[[#This Row],[P1]:[P15]])</f>
        <v>2</v>
      </c>
      <c r="J20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4" s="7" t="s">
        <v>12</v>
      </c>
      <c r="M2014" s="7" t="s">
        <v>13</v>
      </c>
    </row>
    <row r="2015" spans="1:13">
      <c r="A2015" s="54" t="s">
        <v>4624</v>
      </c>
      <c r="B2015" s="8" t="s">
        <v>4623</v>
      </c>
      <c r="C2015" s="2" t="str">
        <f>RIGHT(ProductInfo[[#This Row],[Drawing No]],1)</f>
        <v>0</v>
      </c>
      <c r="D2015" s="176" t="s">
        <v>4625</v>
      </c>
      <c r="E2015" s="16"/>
      <c r="F20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5" s="31"/>
      <c r="H2015" s="31"/>
      <c r="I2015" s="1">
        <f>COUNTA(ProductInfo[[#This Row],[P1]:[P15]])</f>
        <v>2</v>
      </c>
      <c r="J20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5" s="4" t="s">
        <v>12</v>
      </c>
      <c r="M2015" s="4" t="s">
        <v>13</v>
      </c>
    </row>
    <row r="2016" spans="1:13">
      <c r="A2016" s="8" t="s">
        <v>4688</v>
      </c>
      <c r="B2016" s="8" t="s">
        <v>4689</v>
      </c>
      <c r="C2016" s="2" t="str">
        <f>RIGHT(ProductInfo[[#This Row],[Drawing No]],1)</f>
        <v>0</v>
      </c>
      <c r="D2016" s="174" t="s">
        <v>4686</v>
      </c>
      <c r="E2016" s="16" t="s">
        <v>3718</v>
      </c>
      <c r="F2016" s="23" t="str">
        <f>IFERROR(INDEX(MaterialCode[รายละเอียด],MATCH(ProductInfo[[#This Row],[Material Code]],MaterialCode[Material Code],0)),"ไม่พบวัตถุดิบ")</f>
        <v>MATT FORDGE G M35</v>
      </c>
      <c r="G2016" s="59">
        <v>1</v>
      </c>
      <c r="H2016" s="59">
        <v>50</v>
      </c>
      <c r="I2016" s="1">
        <f>COUNTA(ProductInfo[[#This Row],[P1]:[P15]])</f>
        <v>2</v>
      </c>
      <c r="J20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6" s="7" t="s">
        <v>12</v>
      </c>
      <c r="M2016" s="7" t="s">
        <v>13</v>
      </c>
    </row>
    <row r="2017" spans="1:26">
      <c r="A2017" s="54" t="s">
        <v>4704</v>
      </c>
      <c r="B2017" s="8" t="s">
        <v>4703</v>
      </c>
      <c r="C2017" s="2" t="str">
        <f>RIGHT(ProductInfo[[#This Row],[Drawing No]],1)</f>
        <v>0</v>
      </c>
      <c r="D2017" s="174" t="s">
        <v>4705</v>
      </c>
      <c r="E2017" s="16" t="s">
        <v>6529</v>
      </c>
      <c r="F201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17" s="59">
        <v>68.5</v>
      </c>
      <c r="H2017" s="59">
        <v>100</v>
      </c>
      <c r="I2017" s="1">
        <f>COUNTA(ProductInfo[[#This Row],[P1]:[P15]])</f>
        <v>2</v>
      </c>
      <c r="J20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7" s="4" t="s">
        <v>12</v>
      </c>
      <c r="M2017" s="4" t="s">
        <v>13</v>
      </c>
    </row>
    <row r="2018" spans="1:26">
      <c r="A2018" s="54" t="s">
        <v>4698</v>
      </c>
      <c r="B2018" s="8" t="s">
        <v>4697</v>
      </c>
      <c r="C2018" s="2" t="str">
        <f>RIGHT(ProductInfo[[#This Row],[Drawing No]],1)</f>
        <v>0</v>
      </c>
      <c r="D2018" s="174" t="s">
        <v>4699</v>
      </c>
      <c r="E2018" s="16"/>
      <c r="F20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18" s="31"/>
      <c r="H2018" s="31"/>
      <c r="I2018" s="1">
        <f>COUNTA(ProductInfo[[#This Row],[P1]:[P15]])</f>
        <v>0</v>
      </c>
      <c r="J20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8" s="4"/>
    </row>
    <row r="2019" spans="1:26" ht="25.8">
      <c r="A2019" s="54" t="s">
        <v>4701</v>
      </c>
      <c r="B2019" s="8" t="s">
        <v>4700</v>
      </c>
      <c r="C2019" s="2" t="str">
        <f>RIGHT(ProductInfo[[#This Row],[Drawing No]],1)</f>
        <v>0</v>
      </c>
      <c r="D2019" s="176" t="s">
        <v>4702</v>
      </c>
      <c r="E2019" s="258" t="s">
        <v>7037</v>
      </c>
      <c r="F2019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019" s="59">
        <v>66</v>
      </c>
      <c r="H2019" s="59">
        <v>100</v>
      </c>
      <c r="I2019" s="1">
        <f>COUNTA(ProductInfo[[#This Row],[P1]:[P15]])</f>
        <v>2</v>
      </c>
      <c r="J20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19" s="4" t="s">
        <v>12</v>
      </c>
      <c r="M2019" s="4" t="s">
        <v>13</v>
      </c>
    </row>
    <row r="2020" spans="1:26">
      <c r="A2020" s="54" t="s">
        <v>4706</v>
      </c>
      <c r="B2020" s="8" t="s">
        <v>4709</v>
      </c>
      <c r="C2020" s="2" t="str">
        <f>RIGHT(ProductInfo[[#This Row],[Drawing No]],1)</f>
        <v>0</v>
      </c>
      <c r="D2020" s="174" t="s">
        <v>4708</v>
      </c>
      <c r="E2020" s="16"/>
      <c r="F20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20" s="31"/>
      <c r="H2020" s="31"/>
      <c r="I2020" s="1">
        <f>COUNTA(ProductInfo[[#This Row],[P1]:[P15]])</f>
        <v>2</v>
      </c>
      <c r="J20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0" s="4" t="s">
        <v>12</v>
      </c>
      <c r="M2020" s="4" t="s">
        <v>13</v>
      </c>
    </row>
    <row r="2021" spans="1:26">
      <c r="A2021" s="54" t="s">
        <v>4711</v>
      </c>
      <c r="B2021" s="8" t="s">
        <v>4710</v>
      </c>
      <c r="C2021" s="2" t="str">
        <f>RIGHT(ProductInfo[[#This Row],[Drawing No]],1)</f>
        <v>0</v>
      </c>
      <c r="D2021" s="176" t="s">
        <v>4715</v>
      </c>
      <c r="E2021" s="16"/>
      <c r="F20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21" s="31"/>
      <c r="H2021" s="31"/>
      <c r="I2021" s="1">
        <f>COUNTA(ProductInfo[[#This Row],[P1]:[P15]])</f>
        <v>2</v>
      </c>
      <c r="J20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1" s="7" t="s">
        <v>12</v>
      </c>
      <c r="M2021" s="7" t="s">
        <v>13</v>
      </c>
    </row>
    <row r="2022" spans="1:26">
      <c r="A2022" s="54" t="s">
        <v>4713</v>
      </c>
      <c r="B2022" s="8" t="s">
        <v>4710</v>
      </c>
      <c r="C2022" s="2" t="str">
        <f>RIGHT(ProductInfo[[#This Row],[Drawing No]],1)</f>
        <v>0</v>
      </c>
      <c r="D2022" s="174" t="s">
        <v>4714</v>
      </c>
      <c r="E2022" s="16"/>
      <c r="F20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22" s="31"/>
      <c r="H2022" s="31"/>
      <c r="I2022" s="1">
        <f>COUNTA(ProductInfo[[#This Row],[P1]:[P15]])</f>
        <v>2</v>
      </c>
      <c r="J20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2" s="7" t="s">
        <v>12</v>
      </c>
      <c r="M2022" s="7" t="s">
        <v>13</v>
      </c>
    </row>
    <row r="2023" spans="1:26">
      <c r="A2023" s="15" t="s">
        <v>4716</v>
      </c>
      <c r="B2023" s="21" t="s">
        <v>4719</v>
      </c>
      <c r="C2023" s="2" t="str">
        <f>RIGHT(ProductInfo[[#This Row],[Drawing No]],1)</f>
        <v>0</v>
      </c>
      <c r="D2023" s="191" t="s">
        <v>4718</v>
      </c>
      <c r="E2023" s="16" t="s">
        <v>3540</v>
      </c>
      <c r="F2023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023" s="59">
        <v>18</v>
      </c>
      <c r="H2023" s="59">
        <v>100</v>
      </c>
      <c r="I2023" s="1">
        <f>COUNTA(ProductInfo[[#This Row],[P1]:[P15]])</f>
        <v>2</v>
      </c>
      <c r="J20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3" s="4" t="s">
        <v>12</v>
      </c>
      <c r="M2023" s="4" t="s">
        <v>13</v>
      </c>
    </row>
    <row r="2024" spans="1:26">
      <c r="A2024" s="54" t="s">
        <v>4720</v>
      </c>
      <c r="B2024" s="8" t="s">
        <v>4717</v>
      </c>
      <c r="C2024" s="2" t="str">
        <f>RIGHT(ProductInfo[[#This Row],[Drawing No]],1)</f>
        <v>0</v>
      </c>
      <c r="D2024" s="174" t="s">
        <v>4721</v>
      </c>
      <c r="E2024" s="16" t="s">
        <v>3540</v>
      </c>
      <c r="F2024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024" s="59">
        <v>15</v>
      </c>
      <c r="H2024" s="59">
        <v>100</v>
      </c>
      <c r="I2024" s="1">
        <f>COUNTA(ProductInfo[[#This Row],[P1]:[P15]])</f>
        <v>2</v>
      </c>
      <c r="J20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4" s="4" t="s">
        <v>12</v>
      </c>
      <c r="M2024" s="4" t="s">
        <v>13</v>
      </c>
    </row>
    <row r="2025" spans="1:26">
      <c r="A2025" s="54" t="s">
        <v>4817</v>
      </c>
      <c r="B2025" s="8" t="s">
        <v>4816</v>
      </c>
      <c r="C2025" s="2" t="str">
        <f>RIGHT(ProductInfo[[#This Row],[Drawing No]],1)</f>
        <v>0</v>
      </c>
      <c r="D2025" s="174" t="s">
        <v>4715</v>
      </c>
      <c r="E2025" s="16" t="s">
        <v>3492</v>
      </c>
      <c r="F2025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025" s="59">
        <v>142</v>
      </c>
      <c r="H2025" s="59">
        <v>50</v>
      </c>
      <c r="I2025" s="1">
        <f>COUNTA(ProductInfo[[#This Row],[P1]:[P15]])</f>
        <v>0</v>
      </c>
      <c r="J20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5" s="4"/>
    </row>
    <row r="2026" spans="1:26">
      <c r="A2026" s="54" t="s">
        <v>4860</v>
      </c>
      <c r="B2026" s="21" t="s">
        <v>4859</v>
      </c>
      <c r="C2026" s="2" t="str">
        <f>RIGHT(ProductInfo[[#This Row],[Drawing No]],1)</f>
        <v>0</v>
      </c>
      <c r="D2026" s="191" t="s">
        <v>4861</v>
      </c>
      <c r="E2026" s="16" t="s">
        <v>6529</v>
      </c>
      <c r="F202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26" s="59">
        <v>53.5</v>
      </c>
      <c r="H2026" s="59">
        <v>100</v>
      </c>
      <c r="I2026" s="1">
        <f>COUNTA(ProductInfo[[#This Row],[P1]:[P15]])</f>
        <v>2</v>
      </c>
      <c r="J20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6" s="7" t="s">
        <v>12</v>
      </c>
      <c r="M2026" s="7" t="s">
        <v>13</v>
      </c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>
      <c r="A2027" s="8" t="s">
        <v>4857</v>
      </c>
      <c r="B2027" s="8" t="s">
        <v>4856</v>
      </c>
      <c r="C2027" s="2" t="str">
        <f>RIGHT(ProductInfo[[#This Row],[Drawing No]],1)</f>
        <v>0</v>
      </c>
      <c r="D2027" s="176" t="s">
        <v>4858</v>
      </c>
      <c r="E2027" s="16" t="s">
        <v>7030</v>
      </c>
      <c r="F2027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027" s="59">
        <v>85.5</v>
      </c>
      <c r="H2027" s="59">
        <v>100</v>
      </c>
      <c r="I2027" s="1">
        <f>COUNTA(ProductInfo[[#This Row],[P1]:[P15]])</f>
        <v>2</v>
      </c>
      <c r="J20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7" s="7" t="s">
        <v>12</v>
      </c>
      <c r="M2027" s="7" t="s">
        <v>13</v>
      </c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19.8">
      <c r="A2028" s="8" t="s">
        <v>4912</v>
      </c>
      <c r="B2028" s="8" t="s">
        <v>4910</v>
      </c>
      <c r="C2028" s="2" t="str">
        <f>RIGHT(ProductInfo[[#This Row],[Drawing No]],1)</f>
        <v>0</v>
      </c>
      <c r="D2028" s="176" t="s">
        <v>4911</v>
      </c>
      <c r="E2028" s="121" t="s">
        <v>6530</v>
      </c>
      <c r="F2028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28" s="59">
        <v>54.5</v>
      </c>
      <c r="H2028" s="59">
        <v>100</v>
      </c>
      <c r="I2028" s="1">
        <f>COUNTA(ProductInfo[[#This Row],[P1]:[P15]])</f>
        <v>2</v>
      </c>
      <c r="J20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8" s="4" t="s">
        <v>12</v>
      </c>
      <c r="M2028" s="4" t="s">
        <v>13</v>
      </c>
    </row>
    <row r="2029" spans="1:26">
      <c r="A2029" s="8" t="s">
        <v>4914</v>
      </c>
      <c r="B2029" s="8" t="s">
        <v>4913</v>
      </c>
      <c r="C2029" s="2" t="str">
        <f>RIGHT(ProductInfo[[#This Row],[Drawing No]],1)</f>
        <v>0</v>
      </c>
      <c r="D2029" s="176" t="s">
        <v>4915</v>
      </c>
      <c r="E2029" s="16" t="s">
        <v>6529</v>
      </c>
      <c r="F202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29" s="59">
        <v>48</v>
      </c>
      <c r="H2029" s="59">
        <v>100</v>
      </c>
      <c r="I2029" s="1">
        <f>COUNTA(ProductInfo[[#This Row],[P1]:[P15]])</f>
        <v>2</v>
      </c>
      <c r="J20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29" s="4" t="s">
        <v>12</v>
      </c>
      <c r="M2029" s="4" t="s">
        <v>13</v>
      </c>
    </row>
    <row r="2030" spans="1:26">
      <c r="A2030" s="8" t="s">
        <v>4917</v>
      </c>
      <c r="B2030" s="8" t="s">
        <v>4916</v>
      </c>
      <c r="C2030" s="2" t="str">
        <f>RIGHT(ProductInfo[[#This Row],[Drawing No]],1)</f>
        <v>0</v>
      </c>
      <c r="D2030" s="176" t="s">
        <v>4918</v>
      </c>
      <c r="E2030" s="16" t="s">
        <v>6529</v>
      </c>
      <c r="F203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30" s="59">
        <v>48</v>
      </c>
      <c r="H2030" s="59">
        <v>48</v>
      </c>
      <c r="I2030" s="1">
        <f>COUNTA(ProductInfo[[#This Row],[P1]:[P15]])</f>
        <v>2</v>
      </c>
      <c r="J20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0" s="4" t="s">
        <v>12</v>
      </c>
      <c r="M2030" s="4" t="s">
        <v>13</v>
      </c>
    </row>
    <row r="2031" spans="1:26">
      <c r="A2031" s="54" t="s">
        <v>4921</v>
      </c>
      <c r="B2031" s="8" t="s">
        <v>4920</v>
      </c>
      <c r="C2031" s="2" t="str">
        <f>RIGHT(ProductInfo[[#This Row],[Drawing No]],1)</f>
        <v>0</v>
      </c>
      <c r="D2031" s="176" t="s">
        <v>4922</v>
      </c>
      <c r="E2031" s="16" t="s">
        <v>3559</v>
      </c>
      <c r="F203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31" s="59">
        <v>95</v>
      </c>
      <c r="H2031" s="59">
        <v>100</v>
      </c>
      <c r="I2031" s="1">
        <f>COUNTA(ProductInfo[[#This Row],[P1]:[P15]])</f>
        <v>2</v>
      </c>
      <c r="J20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1" s="4" t="s">
        <v>12</v>
      </c>
      <c r="M2031" s="4" t="s">
        <v>13</v>
      </c>
    </row>
    <row r="2032" spans="1:26">
      <c r="A2032" s="54" t="s">
        <v>4995</v>
      </c>
      <c r="B2032" s="8" t="s">
        <v>4996</v>
      </c>
      <c r="C2032" s="2" t="str">
        <f>RIGHT(ProductInfo[[#This Row],[Drawing No]],1)</f>
        <v>0</v>
      </c>
      <c r="D2032" s="174" t="s">
        <v>4997</v>
      </c>
      <c r="E2032" s="16"/>
      <c r="F20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32" s="31"/>
      <c r="H2032" s="31"/>
      <c r="I2032" s="1">
        <f>COUNTA(ProductInfo[[#This Row],[P1]:[P15]])</f>
        <v>0</v>
      </c>
      <c r="J20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2" s="7"/>
      <c r="M2032" s="7"/>
    </row>
    <row r="2033" spans="1:13">
      <c r="A2033" s="54" t="s">
        <v>5070</v>
      </c>
      <c r="B2033" s="8" t="s">
        <v>5071</v>
      </c>
      <c r="C2033" s="2" t="str">
        <f>RIGHT(ProductInfo[[#This Row],[Drawing No]],1)</f>
        <v>0</v>
      </c>
      <c r="D2033" s="174" t="s">
        <v>5072</v>
      </c>
      <c r="E2033" s="16"/>
      <c r="F20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33" s="31"/>
      <c r="H2033" s="31"/>
      <c r="I2033" s="1">
        <f>COUNTA(ProductInfo[[#This Row],[P1]:[P15]])</f>
        <v>2</v>
      </c>
      <c r="J20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033" s="7" t="s">
        <v>15</v>
      </c>
      <c r="M2033" s="7" t="s">
        <v>16</v>
      </c>
    </row>
    <row r="2034" spans="1:13">
      <c r="A2034" s="54" t="s">
        <v>5067</v>
      </c>
      <c r="B2034" s="8" t="s">
        <v>5068</v>
      </c>
      <c r="C2034" s="2" t="str">
        <f>RIGHT(ProductInfo[[#This Row],[Drawing No]],1)</f>
        <v>0</v>
      </c>
      <c r="D2034" s="174" t="s">
        <v>5069</v>
      </c>
      <c r="E2034" s="16"/>
      <c r="F203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34" s="31"/>
      <c r="H2034" s="31"/>
      <c r="I2034" s="1">
        <f>COUNTA(ProductInfo[[#This Row],[P1]:[P15]])</f>
        <v>2</v>
      </c>
      <c r="J20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034" s="7" t="s">
        <v>15</v>
      </c>
      <c r="M2034" s="7" t="s">
        <v>16</v>
      </c>
    </row>
    <row r="2035" spans="1:13">
      <c r="A2035" s="54" t="s">
        <v>4964</v>
      </c>
      <c r="B2035" s="8" t="s">
        <v>4963</v>
      </c>
      <c r="C2035" s="2" t="str">
        <f>RIGHT(ProductInfo[[#This Row],[Drawing No]],1)</f>
        <v>0</v>
      </c>
      <c r="D2035" s="174" t="s">
        <v>4965</v>
      </c>
      <c r="E2035" s="16" t="s">
        <v>3559</v>
      </c>
      <c r="F203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35" s="59">
        <v>142</v>
      </c>
      <c r="H2035" s="59">
        <v>100</v>
      </c>
      <c r="I2035" s="1">
        <f>COUNTA(ProductInfo[[#This Row],[P1]:[P15]])</f>
        <v>2</v>
      </c>
      <c r="J20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5" s="4" t="s">
        <v>12</v>
      </c>
      <c r="M2035" s="4" t="s">
        <v>13</v>
      </c>
    </row>
    <row r="2036" spans="1:13">
      <c r="A2036" s="54" t="s">
        <v>4972</v>
      </c>
      <c r="B2036" s="8" t="s">
        <v>4971</v>
      </c>
      <c r="C2036" s="2" t="str">
        <f>RIGHT(ProductInfo[[#This Row],[Drawing No]],1)</f>
        <v>0</v>
      </c>
      <c r="D2036" s="174" t="s">
        <v>4973</v>
      </c>
      <c r="E2036" s="16" t="s">
        <v>3494</v>
      </c>
      <c r="F2036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036" s="59">
        <v>54</v>
      </c>
      <c r="H2036" s="59">
        <v>100</v>
      </c>
      <c r="I2036" s="1">
        <f>COUNTA(ProductInfo[[#This Row],[P1]:[P15]])</f>
        <v>2</v>
      </c>
      <c r="J20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6" s="4" t="s">
        <v>12</v>
      </c>
      <c r="M2036" s="4" t="s">
        <v>13</v>
      </c>
    </row>
    <row r="2037" spans="1:13">
      <c r="A2037" s="54" t="s">
        <v>4974</v>
      </c>
      <c r="B2037" s="8" t="s">
        <v>4976</v>
      </c>
      <c r="C2037" s="2" t="str">
        <f>RIGHT(ProductInfo[[#This Row],[Drawing No]],1)</f>
        <v>0</v>
      </c>
      <c r="D2037" s="174" t="s">
        <v>4975</v>
      </c>
      <c r="E2037" s="16" t="s">
        <v>3607</v>
      </c>
      <c r="F2037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2037" s="31"/>
      <c r="H2037" s="59">
        <v>80</v>
      </c>
      <c r="I2037" s="1">
        <f>COUNTA(ProductInfo[[#This Row],[P1]:[P15]])</f>
        <v>2</v>
      </c>
      <c r="J20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7" s="4" t="s">
        <v>12</v>
      </c>
      <c r="M2037" s="4" t="s">
        <v>13</v>
      </c>
    </row>
    <row r="2038" spans="1:13">
      <c r="A2038" s="54" t="s">
        <v>4978</v>
      </c>
      <c r="B2038" s="8" t="s">
        <v>4977</v>
      </c>
      <c r="C2038" s="2" t="str">
        <f>RIGHT(ProductInfo[[#This Row],[Drawing No]],1)</f>
        <v>0</v>
      </c>
      <c r="D2038" s="174" t="s">
        <v>4979</v>
      </c>
      <c r="E2038" s="16" t="s">
        <v>6529</v>
      </c>
      <c r="F2038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38" s="59">
        <v>51</v>
      </c>
      <c r="H2038" s="59">
        <v>100</v>
      </c>
      <c r="I2038" s="1">
        <f>COUNTA(ProductInfo[[#This Row],[P1]:[P15]])</f>
        <v>2</v>
      </c>
      <c r="J20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8" s="4" t="s">
        <v>12</v>
      </c>
      <c r="M2038" s="4" t="s">
        <v>13</v>
      </c>
    </row>
    <row r="2039" spans="1:13">
      <c r="A2039" s="54" t="s">
        <v>5033</v>
      </c>
      <c r="B2039" s="8" t="s">
        <v>5032</v>
      </c>
      <c r="C2039" s="2" t="str">
        <f>RIGHT(ProductInfo[[#This Row],[Drawing No]],1)</f>
        <v>0</v>
      </c>
      <c r="D2039" s="174" t="s">
        <v>5035</v>
      </c>
      <c r="E2039" s="16"/>
      <c r="F20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39" s="31"/>
      <c r="H2039" s="31"/>
      <c r="I2039" s="1">
        <f>COUNTA(ProductInfo[[#This Row],[P1]:[P15]])</f>
        <v>2</v>
      </c>
      <c r="J20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39" s="4" t="s">
        <v>12</v>
      </c>
      <c r="M2039" s="4" t="s">
        <v>13</v>
      </c>
    </row>
    <row r="2040" spans="1:13">
      <c r="A2040" s="54" t="s">
        <v>5076</v>
      </c>
      <c r="B2040" s="8" t="s">
        <v>5075</v>
      </c>
      <c r="C2040" s="2" t="str">
        <f>RIGHT(ProductInfo[[#This Row],[Drawing No]],1)</f>
        <v>0</v>
      </c>
      <c r="D2040" s="174" t="s">
        <v>5077</v>
      </c>
      <c r="E2040" s="16"/>
      <c r="F20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0" s="31"/>
      <c r="H2040" s="31"/>
      <c r="I2040" s="1">
        <f>COUNTA(ProductInfo[[#This Row],[P1]:[P15]])</f>
        <v>2</v>
      </c>
      <c r="J20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0" s="7" t="s">
        <v>12</v>
      </c>
      <c r="M2040" s="7" t="s">
        <v>13</v>
      </c>
    </row>
    <row r="2041" spans="1:13">
      <c r="A2041" s="54" t="s">
        <v>5079</v>
      </c>
      <c r="B2041" s="8" t="s">
        <v>5078</v>
      </c>
      <c r="C2041" s="2" t="str">
        <f>RIGHT(ProductInfo[[#This Row],[Drawing No]],1)</f>
        <v>0</v>
      </c>
      <c r="D2041" s="174" t="s">
        <v>3794</v>
      </c>
      <c r="E2041" s="16"/>
      <c r="F20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1" s="31"/>
      <c r="H2041" s="31"/>
      <c r="I2041" s="1">
        <f>COUNTA(ProductInfo[[#This Row],[P1]:[P15]])</f>
        <v>2</v>
      </c>
      <c r="J20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1" s="7" t="s">
        <v>12</v>
      </c>
      <c r="M2041" s="7" t="s">
        <v>13</v>
      </c>
    </row>
    <row r="2042" spans="1:13">
      <c r="A2042" s="54" t="s">
        <v>5081</v>
      </c>
      <c r="B2042" s="8" t="s">
        <v>5080</v>
      </c>
      <c r="C2042" s="2" t="str">
        <f>RIGHT(ProductInfo[[#This Row],[Drawing No]],1)</f>
        <v>0</v>
      </c>
      <c r="D2042" s="174" t="s">
        <v>5082</v>
      </c>
      <c r="E2042" s="16"/>
      <c r="F20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2" s="31"/>
      <c r="H2042" s="31"/>
      <c r="I2042" s="1">
        <f>COUNTA(ProductInfo[[#This Row],[P1]:[P15]])</f>
        <v>2</v>
      </c>
      <c r="J20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2" s="7" t="s">
        <v>12</v>
      </c>
      <c r="M2042" s="7" t="s">
        <v>13</v>
      </c>
    </row>
    <row r="2043" spans="1:13" ht="19.8">
      <c r="A2043" s="54" t="s">
        <v>5116</v>
      </c>
      <c r="B2043" s="8" t="s">
        <v>5115</v>
      </c>
      <c r="C2043" s="2" t="str">
        <f>RIGHT(ProductInfo[[#This Row],[Drawing No]],1)</f>
        <v>0</v>
      </c>
      <c r="D2043" s="192" t="s">
        <v>5118</v>
      </c>
      <c r="E2043" s="121" t="s">
        <v>6530</v>
      </c>
      <c r="F204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43" s="59">
        <v>75</v>
      </c>
      <c r="H2043" s="59">
        <v>50</v>
      </c>
      <c r="I2043" s="1">
        <f>COUNTA(ProductInfo[[#This Row],[P1]:[P15]])</f>
        <v>2</v>
      </c>
      <c r="J20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3" s="7" t="s">
        <v>12</v>
      </c>
      <c r="M2043" s="7" t="s">
        <v>13</v>
      </c>
    </row>
    <row r="2044" spans="1:13" ht="19.8">
      <c r="A2044" s="54" t="s">
        <v>5826</v>
      </c>
      <c r="B2044" s="8" t="s">
        <v>5825</v>
      </c>
      <c r="C2044" s="2" t="str">
        <f>RIGHT(ProductInfo[[#This Row],[Drawing No]],1)</f>
        <v>0</v>
      </c>
      <c r="D2044" s="192" t="s">
        <v>5118</v>
      </c>
      <c r="E2044" s="121" t="s">
        <v>6530</v>
      </c>
      <c r="F204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44" s="59">
        <v>75</v>
      </c>
      <c r="H2044" s="59">
        <v>50</v>
      </c>
      <c r="I2044" s="1">
        <f>COUNTA(ProductInfo[[#This Row],[P1]:[P15]])</f>
        <v>2</v>
      </c>
      <c r="J20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4" s="7" t="s">
        <v>12</v>
      </c>
      <c r="M2044" s="7" t="s">
        <v>13</v>
      </c>
    </row>
    <row r="2045" spans="1:13">
      <c r="A2045" s="54" t="s">
        <v>5108</v>
      </c>
      <c r="B2045" s="8" t="s">
        <v>5107</v>
      </c>
      <c r="C2045" s="2" t="str">
        <f>RIGHT(ProductInfo[[#This Row],[Drawing No]],1)</f>
        <v>0</v>
      </c>
      <c r="D2045" s="174" t="s">
        <v>5109</v>
      </c>
      <c r="E2045" s="16" t="s">
        <v>3421</v>
      </c>
      <c r="F2045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045" s="59">
        <v>73</v>
      </c>
      <c r="H2045" s="31"/>
      <c r="I2045" s="1">
        <f>COUNTA(ProductInfo[[#This Row],[P1]:[P15]])</f>
        <v>2</v>
      </c>
      <c r="J20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5" s="7" t="s">
        <v>12</v>
      </c>
      <c r="M2045" s="7" t="s">
        <v>13</v>
      </c>
    </row>
    <row r="2046" spans="1:13">
      <c r="A2046" s="54" t="s">
        <v>5682</v>
      </c>
      <c r="B2046" s="8" t="s">
        <v>5681</v>
      </c>
      <c r="C2046" s="2" t="str">
        <f>RIGHT(ProductInfo[[#This Row],[Drawing No]],1)</f>
        <v>0</v>
      </c>
      <c r="D2046" s="174" t="s">
        <v>5109</v>
      </c>
      <c r="E2046" s="16" t="s">
        <v>3421</v>
      </c>
      <c r="F2046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046" s="59">
        <v>73</v>
      </c>
      <c r="H2046" s="31"/>
      <c r="I2046" s="1">
        <f>COUNTA(ProductInfo[[#This Row],[P1]:[P15]])</f>
        <v>2</v>
      </c>
      <c r="J20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6" s="7" t="s">
        <v>12</v>
      </c>
      <c r="M2046" s="7" t="s">
        <v>13</v>
      </c>
    </row>
    <row r="2047" spans="1:13">
      <c r="A2047" s="54" t="s">
        <v>5829</v>
      </c>
      <c r="B2047" s="8" t="s">
        <v>5828</v>
      </c>
      <c r="C2047" s="2" t="str">
        <f>RIGHT(ProductInfo[[#This Row],[Drawing No]],1)</f>
        <v>0</v>
      </c>
      <c r="D2047" s="174" t="s">
        <v>5830</v>
      </c>
      <c r="E2047" s="16"/>
      <c r="F20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7" s="31"/>
      <c r="H2047" s="31"/>
      <c r="I2047" s="1">
        <f>COUNTA(ProductInfo[[#This Row],[P1]:[P15]])</f>
        <v>2</v>
      </c>
      <c r="J20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7" s="7" t="s">
        <v>12</v>
      </c>
      <c r="M2047" s="7" t="s">
        <v>13</v>
      </c>
    </row>
    <row r="2048" spans="1:13">
      <c r="A2048" s="54" t="s">
        <v>5064</v>
      </c>
      <c r="B2048" s="8" t="s">
        <v>5065</v>
      </c>
      <c r="C2048" s="2" t="str">
        <f>RIGHT(ProductInfo[[#This Row],[Drawing No]],1)</f>
        <v>0</v>
      </c>
      <c r="D2048" s="174" t="s">
        <v>5066</v>
      </c>
      <c r="E2048" s="16"/>
      <c r="F20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48" s="31"/>
      <c r="H2048" s="31"/>
      <c r="I2048" s="1">
        <f>COUNTA(ProductInfo[[#This Row],[P1]:[P15]])</f>
        <v>2</v>
      </c>
      <c r="J20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8" s="7" t="s">
        <v>12</v>
      </c>
      <c r="M2048" s="7" t="s">
        <v>13</v>
      </c>
    </row>
    <row r="2049" spans="1:18">
      <c r="A2049" s="54" t="s">
        <v>5105</v>
      </c>
      <c r="B2049" s="8" t="s">
        <v>5246</v>
      </c>
      <c r="C2049" s="2" t="str">
        <f>RIGHT(ProductInfo[[#This Row],[Drawing No]],1)</f>
        <v>1</v>
      </c>
      <c r="D2049" s="174" t="s">
        <v>5106</v>
      </c>
      <c r="E2049" s="16" t="s">
        <v>3459</v>
      </c>
      <c r="F2049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49" s="59">
        <v>132</v>
      </c>
      <c r="H2049" s="59">
        <v>100</v>
      </c>
      <c r="I2049" s="1">
        <f>COUNTA(ProductInfo[[#This Row],[P1]:[P15]])</f>
        <v>2</v>
      </c>
      <c r="J20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49" s="7" t="s">
        <v>12</v>
      </c>
      <c r="M2049" s="4" t="s">
        <v>13</v>
      </c>
      <c r="R2049" s="7"/>
    </row>
    <row r="2050" spans="1:18">
      <c r="A2050" s="54" t="s">
        <v>5326</v>
      </c>
      <c r="B2050" s="8" t="s">
        <v>5697</v>
      </c>
      <c r="C2050" s="2" t="str">
        <f>RIGHT(ProductInfo[[#This Row],[Drawing No]],1)</f>
        <v>1</v>
      </c>
      <c r="D2050" s="174" t="s">
        <v>5106</v>
      </c>
      <c r="E2050" s="16" t="s">
        <v>3459</v>
      </c>
      <c r="F2050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50" s="59">
        <v>132</v>
      </c>
      <c r="H2050" s="59">
        <v>100</v>
      </c>
      <c r="I2050" s="1">
        <f>COUNTA(ProductInfo[[#This Row],[P1]:[P15]])</f>
        <v>2</v>
      </c>
      <c r="J20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0" s="7" t="s">
        <v>12</v>
      </c>
      <c r="M2050" s="4" t="s">
        <v>13</v>
      </c>
      <c r="R2050" s="7"/>
    </row>
    <row r="2051" spans="1:18">
      <c r="A2051" s="15" t="s">
        <v>5101</v>
      </c>
      <c r="B2051" s="8" t="s">
        <v>5100</v>
      </c>
      <c r="C2051" s="2" t="str">
        <f>RIGHT(ProductInfo[[#This Row],[Drawing No]],1)</f>
        <v>0</v>
      </c>
      <c r="D2051" s="191" t="s">
        <v>5099</v>
      </c>
      <c r="E2051" s="16" t="s">
        <v>3559</v>
      </c>
      <c r="F205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51" s="59">
        <v>157</v>
      </c>
      <c r="H2051" s="59">
        <v>100</v>
      </c>
      <c r="I2051" s="1">
        <f>COUNTA(ProductInfo[[#This Row],[P1]:[P15]])</f>
        <v>2</v>
      </c>
      <c r="J20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1" s="7" t="s">
        <v>12</v>
      </c>
      <c r="M2051" s="7" t="s">
        <v>13</v>
      </c>
    </row>
    <row r="2052" spans="1:18">
      <c r="A2052" s="54" t="s">
        <v>5121</v>
      </c>
      <c r="B2052" s="8" t="s">
        <v>5785</v>
      </c>
      <c r="C2052" s="2" t="str">
        <f>RIGHT(ProductInfo[[#This Row],[Drawing No]],1)</f>
        <v>3</v>
      </c>
      <c r="D2052" s="174" t="s">
        <v>5790</v>
      </c>
      <c r="E2052" s="16" t="s">
        <v>3559</v>
      </c>
      <c r="F205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52" s="59">
        <v>157</v>
      </c>
      <c r="H2052" s="59">
        <v>100</v>
      </c>
      <c r="I2052" s="1">
        <f>COUNTA(ProductInfo[[#This Row],[P1]:[P15]])</f>
        <v>2</v>
      </c>
      <c r="J20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2" s="7" t="s">
        <v>12</v>
      </c>
      <c r="M2052" s="7" t="s">
        <v>13</v>
      </c>
    </row>
    <row r="2053" spans="1:18" ht="19.8">
      <c r="A2053" s="54" t="s">
        <v>5117</v>
      </c>
      <c r="B2053" s="8" t="s">
        <v>5115</v>
      </c>
      <c r="C2053" s="2" t="str">
        <f>RIGHT(ProductInfo[[#This Row],[Drawing No]],1)</f>
        <v>0</v>
      </c>
      <c r="D2053" s="174" t="s">
        <v>5119</v>
      </c>
      <c r="E2053" s="121" t="s">
        <v>6530</v>
      </c>
      <c r="F205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53" s="59">
        <v>75</v>
      </c>
      <c r="H2053" s="59">
        <v>50</v>
      </c>
      <c r="I2053" s="1">
        <f>COUNTA(ProductInfo[[#This Row],[P1]:[P15]])</f>
        <v>2</v>
      </c>
      <c r="J20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3" s="7" t="s">
        <v>12</v>
      </c>
      <c r="M2053" s="7" t="s">
        <v>13</v>
      </c>
    </row>
    <row r="2054" spans="1:18" ht="19.8">
      <c r="A2054" s="54" t="s">
        <v>5827</v>
      </c>
      <c r="B2054" s="8" t="s">
        <v>5825</v>
      </c>
      <c r="C2054" s="2" t="str">
        <f>RIGHT(ProductInfo[[#This Row],[Drawing No]],1)</f>
        <v>0</v>
      </c>
      <c r="D2054" s="174" t="s">
        <v>5119</v>
      </c>
      <c r="E2054" s="121" t="s">
        <v>6530</v>
      </c>
      <c r="F205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54" s="31">
        <v>75</v>
      </c>
      <c r="H2054" s="31">
        <v>50</v>
      </c>
      <c r="I2054" s="1">
        <f>COUNTA(ProductInfo[[#This Row],[P1]:[P15]])</f>
        <v>2</v>
      </c>
      <c r="J20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4" s="7" t="s">
        <v>12</v>
      </c>
      <c r="M2054" s="7" t="s">
        <v>13</v>
      </c>
    </row>
    <row r="2055" spans="1:18">
      <c r="A2055" s="15" t="s">
        <v>5185</v>
      </c>
      <c r="B2055" s="21" t="s">
        <v>5184</v>
      </c>
      <c r="C2055" s="2" t="str">
        <f>RIGHT(ProductInfo[[#This Row],[Drawing No]],1)</f>
        <v>0</v>
      </c>
      <c r="D2055" s="176" t="s">
        <v>5186</v>
      </c>
      <c r="E2055" s="16"/>
      <c r="F205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55" s="31"/>
      <c r="H2055" s="31"/>
      <c r="I2055" s="1">
        <f>COUNTA(ProductInfo[[#This Row],[P1]:[P15]])</f>
        <v>0</v>
      </c>
      <c r="J20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5" s="4"/>
    </row>
    <row r="2056" spans="1:18">
      <c r="A2056" s="15" t="s">
        <v>5247</v>
      </c>
      <c r="B2056" s="8" t="s">
        <v>5246</v>
      </c>
      <c r="C2056" s="2" t="str">
        <f>RIGHT(ProductInfo[[#This Row],[Drawing No]],1)</f>
        <v>1</v>
      </c>
      <c r="D2056" s="174" t="s">
        <v>5248</v>
      </c>
      <c r="E2056" s="16" t="s">
        <v>3459</v>
      </c>
      <c r="F2056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56" s="59">
        <v>152</v>
      </c>
      <c r="H2056" s="59">
        <v>100</v>
      </c>
      <c r="I2056" s="1">
        <f>COUNTA(ProductInfo[[#This Row],[P1]:[P15]])</f>
        <v>2</v>
      </c>
      <c r="J20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6" s="7" t="s">
        <v>12</v>
      </c>
      <c r="M2056" s="4" t="s">
        <v>13</v>
      </c>
      <c r="R2056" s="7"/>
    </row>
    <row r="2057" spans="1:18">
      <c r="A2057" s="54" t="s">
        <v>5329</v>
      </c>
      <c r="B2057" s="8" t="s">
        <v>5697</v>
      </c>
      <c r="C2057" s="2" t="str">
        <f>RIGHT(ProductInfo[[#This Row],[Drawing No]],1)</f>
        <v>1</v>
      </c>
      <c r="D2057" s="174" t="s">
        <v>5248</v>
      </c>
      <c r="E2057" s="16" t="s">
        <v>3459</v>
      </c>
      <c r="F2057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57" s="59">
        <v>152</v>
      </c>
      <c r="H2057" s="59">
        <v>100</v>
      </c>
      <c r="I2057" s="1">
        <f>COUNTA(ProductInfo[[#This Row],[P1]:[P15]])</f>
        <v>2</v>
      </c>
      <c r="J20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7" s="7" t="s">
        <v>12</v>
      </c>
      <c r="M2057" s="4" t="s">
        <v>13</v>
      </c>
      <c r="R2057" s="7"/>
    </row>
    <row r="2058" spans="1:18">
      <c r="A2058" s="8" t="s">
        <v>5249</v>
      </c>
      <c r="B2058" s="8" t="s">
        <v>5246</v>
      </c>
      <c r="C2058" s="2" t="str">
        <f>RIGHT(ProductInfo[[#This Row],[Drawing No]],1)</f>
        <v>1</v>
      </c>
      <c r="D2058" s="176" t="s">
        <v>5250</v>
      </c>
      <c r="E2058" s="16" t="s">
        <v>3459</v>
      </c>
      <c r="F2058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58" s="59">
        <v>202</v>
      </c>
      <c r="H2058" s="59">
        <v>100</v>
      </c>
      <c r="I2058" s="1">
        <f>COUNTA(ProductInfo[[#This Row],[P1]:[P15]])</f>
        <v>2</v>
      </c>
      <c r="J20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8" s="7" t="s">
        <v>12</v>
      </c>
      <c r="M2058" s="4" t="s">
        <v>13</v>
      </c>
      <c r="R2058" s="7"/>
    </row>
    <row r="2059" spans="1:18">
      <c r="A2059" s="8" t="s">
        <v>5328</v>
      </c>
      <c r="B2059" s="8" t="s">
        <v>5697</v>
      </c>
      <c r="C2059" s="2" t="str">
        <f>RIGHT(ProductInfo[[#This Row],[Drawing No]],1)</f>
        <v>1</v>
      </c>
      <c r="D2059" s="176" t="s">
        <v>5250</v>
      </c>
      <c r="E2059" s="16" t="s">
        <v>3459</v>
      </c>
      <c r="F2059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59" s="59">
        <v>202</v>
      </c>
      <c r="H2059" s="59">
        <v>100</v>
      </c>
      <c r="I2059" s="1">
        <f>COUNTA(ProductInfo[[#This Row],[P1]:[P15]])</f>
        <v>2</v>
      </c>
      <c r="J20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59" s="7" t="s">
        <v>12</v>
      </c>
      <c r="M2059" s="4" t="s">
        <v>13</v>
      </c>
      <c r="R2059" s="7"/>
    </row>
    <row r="2060" spans="1:18">
      <c r="A2060" s="8" t="s">
        <v>5241</v>
      </c>
      <c r="B2060" s="8" t="s">
        <v>5785</v>
      </c>
      <c r="C2060" s="2" t="str">
        <f>RIGHT(ProductInfo[[#This Row],[Drawing No]],1)</f>
        <v>3</v>
      </c>
      <c r="D2060" s="176" t="s">
        <v>5791</v>
      </c>
      <c r="E2060" s="16" t="s">
        <v>3559</v>
      </c>
      <c r="F206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60" s="59">
        <v>172</v>
      </c>
      <c r="H2060" s="59">
        <v>100</v>
      </c>
      <c r="I2060" s="1">
        <f>COUNTA(ProductInfo[[#This Row],[P1]:[P15]])</f>
        <v>2</v>
      </c>
      <c r="J20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0" s="7" t="s">
        <v>12</v>
      </c>
      <c r="M2060" s="7" t="s">
        <v>13</v>
      </c>
    </row>
    <row r="2061" spans="1:18">
      <c r="A2061" s="8" t="s">
        <v>5244</v>
      </c>
      <c r="B2061" s="8" t="s">
        <v>5785</v>
      </c>
      <c r="C2061" s="2" t="str">
        <f>RIGHT(ProductInfo[[#This Row],[Drawing No]],1)</f>
        <v>3</v>
      </c>
      <c r="D2061" s="176" t="s">
        <v>5792</v>
      </c>
      <c r="E2061" s="16" t="s">
        <v>3559</v>
      </c>
      <c r="F206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61" s="59">
        <v>182</v>
      </c>
      <c r="H2061" s="59">
        <v>100</v>
      </c>
      <c r="I2061" s="1">
        <f>COUNTA(ProductInfo[[#This Row],[P1]:[P15]])</f>
        <v>2</v>
      </c>
      <c r="J20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1" s="7" t="s">
        <v>12</v>
      </c>
      <c r="M2061" s="7" t="s">
        <v>13</v>
      </c>
    </row>
    <row r="2062" spans="1:18" ht="19.8">
      <c r="A2062" s="54" t="s">
        <v>5702</v>
      </c>
      <c r="B2062" s="8" t="s">
        <v>5701</v>
      </c>
      <c r="C2062" s="2" t="str">
        <f>RIGHT(ProductInfo[[#This Row],[Drawing No]],1)</f>
        <v>0</v>
      </c>
      <c r="D2062" s="174" t="s">
        <v>5703</v>
      </c>
      <c r="E2062" s="121" t="s">
        <v>6530</v>
      </c>
      <c r="F2062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62" s="59">
        <v>80.5</v>
      </c>
      <c r="H2062" s="59">
        <v>105</v>
      </c>
      <c r="I2062" s="1">
        <f>COUNTA(ProductInfo[[#This Row],[P1]:[P15]])</f>
        <v>2</v>
      </c>
      <c r="J20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2" s="7" t="s">
        <v>12</v>
      </c>
      <c r="M2062" s="7" t="s">
        <v>13</v>
      </c>
    </row>
    <row r="2063" spans="1:18" ht="19.8">
      <c r="A2063" s="54" t="s">
        <v>5704</v>
      </c>
      <c r="B2063" s="8" t="s">
        <v>5701</v>
      </c>
      <c r="C2063" s="2" t="str">
        <f>RIGHT(ProductInfo[[#This Row],[Drawing No]],1)</f>
        <v>0</v>
      </c>
      <c r="D2063" s="174" t="s">
        <v>5703</v>
      </c>
      <c r="E2063" s="121" t="s">
        <v>6530</v>
      </c>
      <c r="F206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063" s="59">
        <v>80.5</v>
      </c>
      <c r="H2063" s="59">
        <v>105</v>
      </c>
      <c r="I2063" s="1">
        <f>COUNTA(ProductInfo[[#This Row],[P1]:[P15]])</f>
        <v>2</v>
      </c>
      <c r="J20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3" s="7" t="s">
        <v>12</v>
      </c>
      <c r="M2063" s="7" t="s">
        <v>13</v>
      </c>
    </row>
    <row r="2064" spans="1:18">
      <c r="A2064" s="54" t="s">
        <v>5238</v>
      </c>
      <c r="B2064" s="8" t="s">
        <v>5237</v>
      </c>
      <c r="C2064" s="2" t="str">
        <f>RIGHT(ProductInfo[[#This Row],[Drawing No]],1)</f>
        <v>0</v>
      </c>
      <c r="D2064" s="174" t="s">
        <v>5239</v>
      </c>
      <c r="E2064" s="16" t="s">
        <v>3421</v>
      </c>
      <c r="F2064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064" s="59">
        <v>73</v>
      </c>
      <c r="H2064" s="59">
        <v>50</v>
      </c>
      <c r="I2064" s="1">
        <f>COUNTA(ProductInfo[[#This Row],[P1]:[P15]])</f>
        <v>2</v>
      </c>
      <c r="J20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4" s="4" t="s">
        <v>12</v>
      </c>
      <c r="M2064" s="4" t="s">
        <v>13</v>
      </c>
    </row>
    <row r="2065" spans="1:18">
      <c r="A2065" s="54" t="s">
        <v>5579</v>
      </c>
      <c r="B2065" s="8" t="s">
        <v>6252</v>
      </c>
      <c r="C2065" s="2" t="str">
        <f>RIGHT(ProductInfo[[#This Row],[Drawing No]],1)</f>
        <v>1</v>
      </c>
      <c r="D2065" s="174" t="s">
        <v>5578</v>
      </c>
      <c r="E2065" s="16"/>
      <c r="F206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65" s="31"/>
      <c r="H2065" s="31"/>
      <c r="I2065" s="1">
        <f>COUNTA(ProductInfo[[#This Row],[P1]:[P15]])</f>
        <v>0</v>
      </c>
      <c r="J20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5" s="7"/>
      <c r="M2065" s="7"/>
    </row>
    <row r="2066" spans="1:18">
      <c r="A2066" s="54" t="s">
        <v>5653</v>
      </c>
      <c r="B2066" s="8" t="s">
        <v>5652</v>
      </c>
      <c r="C2066" s="2" t="str">
        <f>RIGHT(ProductInfo[[#This Row],[Drawing No]],1)</f>
        <v>0</v>
      </c>
      <c r="D2066" s="174" t="s">
        <v>5657</v>
      </c>
      <c r="E2066" s="16"/>
      <c r="F20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66" s="31"/>
      <c r="H2066" s="31"/>
      <c r="I2066" s="1">
        <f>COUNTA(ProductInfo[[#This Row],[P1]:[P15]])</f>
        <v>0</v>
      </c>
      <c r="J20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6" s="7"/>
      <c r="M2066" s="7"/>
    </row>
    <row r="2067" spans="1:18">
      <c r="A2067" s="54" t="s">
        <v>5655</v>
      </c>
      <c r="B2067" s="8" t="s">
        <v>5656</v>
      </c>
      <c r="C2067" s="2" t="str">
        <f>RIGHT(ProductInfo[[#This Row],[Drawing No]],1)</f>
        <v>0</v>
      </c>
      <c r="D2067" s="174" t="s">
        <v>5654</v>
      </c>
      <c r="E2067" s="16"/>
      <c r="F20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67" s="31"/>
      <c r="H2067" s="31"/>
      <c r="I2067" s="1">
        <f>COUNTA(ProductInfo[[#This Row],[P1]:[P15]])</f>
        <v>2</v>
      </c>
      <c r="J20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7" s="7" t="s">
        <v>12</v>
      </c>
      <c r="M2067" s="7" t="s">
        <v>13</v>
      </c>
    </row>
    <row r="2068" spans="1:18">
      <c r="A2068" s="54" t="s">
        <v>5659</v>
      </c>
      <c r="B2068" s="8" t="s">
        <v>5658</v>
      </c>
      <c r="C2068" s="2" t="str">
        <f>RIGHT(ProductInfo[[#This Row],[Drawing No]],1)</f>
        <v>0</v>
      </c>
      <c r="D2068" s="176" t="s">
        <v>5660</v>
      </c>
      <c r="E2068" s="16"/>
      <c r="F20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68" s="31"/>
      <c r="H2068" s="31"/>
      <c r="I2068" s="1">
        <f>COUNTA(ProductInfo[[#This Row],[P1]:[P15]])</f>
        <v>2</v>
      </c>
      <c r="J20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0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068" s="7" t="s">
        <v>12</v>
      </c>
      <c r="M2068" s="7" t="s">
        <v>15</v>
      </c>
    </row>
    <row r="2069" spans="1:18">
      <c r="A2069" s="54" t="s">
        <v>5675</v>
      </c>
      <c r="B2069" s="8" t="s">
        <v>5674</v>
      </c>
      <c r="C2069" s="2" t="str">
        <f>RIGHT(ProductInfo[[#This Row],[Drawing No]],1)</f>
        <v>1</v>
      </c>
      <c r="D2069" s="174" t="s">
        <v>5676</v>
      </c>
      <c r="E2069" s="16" t="s">
        <v>3559</v>
      </c>
      <c r="F2069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69" s="59">
        <v>122</v>
      </c>
      <c r="H2069" s="59">
        <v>50</v>
      </c>
      <c r="I2069" s="1">
        <f>COUNTA(ProductInfo[[#This Row],[P1]:[P15]])</f>
        <v>2</v>
      </c>
      <c r="J20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69" s="7" t="s">
        <v>12</v>
      </c>
      <c r="M2069" s="7" t="s">
        <v>13</v>
      </c>
    </row>
    <row r="2070" spans="1:18">
      <c r="A2070" s="8" t="s">
        <v>5677</v>
      </c>
      <c r="B2070" s="8" t="s">
        <v>5674</v>
      </c>
      <c r="C2070" s="2" t="str">
        <f>RIGHT(ProductInfo[[#This Row],[Drawing No]],1)</f>
        <v>1</v>
      </c>
      <c r="D2070" s="176" t="s">
        <v>5678</v>
      </c>
      <c r="E2070" s="16" t="s">
        <v>3559</v>
      </c>
      <c r="F207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70" s="59">
        <v>127</v>
      </c>
      <c r="H2070" s="59">
        <v>50</v>
      </c>
      <c r="I2070" s="1">
        <f>COUNTA(ProductInfo[[#This Row],[P1]:[P15]])</f>
        <v>2</v>
      </c>
      <c r="J20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0" s="7" t="s">
        <v>12</v>
      </c>
      <c r="M2070" s="7" t="s">
        <v>13</v>
      </c>
    </row>
    <row r="2071" spans="1:18">
      <c r="A2071" s="8" t="s">
        <v>5679</v>
      </c>
      <c r="B2071" s="8" t="s">
        <v>5674</v>
      </c>
      <c r="C2071" s="2" t="str">
        <f>RIGHT(ProductInfo[[#This Row],[Drawing No]],1)</f>
        <v>1</v>
      </c>
      <c r="D2071" s="176" t="s">
        <v>5680</v>
      </c>
      <c r="E2071" s="16" t="s">
        <v>3559</v>
      </c>
      <c r="F207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71" s="59">
        <v>132</v>
      </c>
      <c r="H2071" s="59">
        <v>50</v>
      </c>
      <c r="I2071" s="1">
        <f>COUNTA(ProductInfo[[#This Row],[P1]:[P15]])</f>
        <v>2</v>
      </c>
      <c r="J20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1" s="7" t="s">
        <v>12</v>
      </c>
      <c r="M2071" s="7" t="s">
        <v>13</v>
      </c>
    </row>
    <row r="2072" spans="1:18">
      <c r="A2072" s="8" t="s">
        <v>5687</v>
      </c>
      <c r="B2072" s="8" t="s">
        <v>5686</v>
      </c>
      <c r="C2072" s="2" t="str">
        <f>RIGHT(ProductInfo[[#This Row],[Drawing No]],1)</f>
        <v>0</v>
      </c>
      <c r="D2072" s="176" t="s">
        <v>5691</v>
      </c>
      <c r="E2072" s="16" t="s">
        <v>7032</v>
      </c>
      <c r="F2072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072" s="59">
        <v>61</v>
      </c>
      <c r="H2072" s="59">
        <v>110</v>
      </c>
      <c r="I2072" s="1">
        <f>COUNTA(ProductInfo[[#This Row],[P1]:[P15]])</f>
        <v>2</v>
      </c>
      <c r="J20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2" s="7" t="s">
        <v>12</v>
      </c>
      <c r="M2072" s="7" t="s">
        <v>13</v>
      </c>
    </row>
    <row r="2073" spans="1:18">
      <c r="A2073" s="8" t="s">
        <v>5684</v>
      </c>
      <c r="B2073" s="8" t="s">
        <v>5683</v>
      </c>
      <c r="C2073" s="2" t="str">
        <f>RIGHT(ProductInfo[[#This Row],[Drawing No]],1)</f>
        <v>0</v>
      </c>
      <c r="D2073" s="176" t="s">
        <v>5685</v>
      </c>
      <c r="E2073" s="16" t="s">
        <v>6529</v>
      </c>
      <c r="F207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73" s="59">
        <v>72</v>
      </c>
      <c r="H2073" s="59">
        <v>110</v>
      </c>
      <c r="I2073" s="1">
        <f>COUNTA(ProductInfo[[#This Row],[P1]:[P15]])</f>
        <v>2</v>
      </c>
      <c r="J20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3" s="7" t="s">
        <v>12</v>
      </c>
      <c r="M2073" s="7" t="s">
        <v>13</v>
      </c>
    </row>
    <row r="2074" spans="1:18">
      <c r="A2074" s="8" t="s">
        <v>5690</v>
      </c>
      <c r="B2074" s="8" t="s">
        <v>5689</v>
      </c>
      <c r="C2074" s="2" t="str">
        <f>RIGHT(ProductInfo[[#This Row],[Drawing No]],1)</f>
        <v>0</v>
      </c>
      <c r="D2074" s="176" t="s">
        <v>5688</v>
      </c>
      <c r="E2074" s="16" t="s">
        <v>6529</v>
      </c>
      <c r="F207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074" s="59">
        <v>69</v>
      </c>
      <c r="H2074" s="59">
        <v>110</v>
      </c>
      <c r="I2074" s="1">
        <f>COUNTA(ProductInfo[[#This Row],[P1]:[P15]])</f>
        <v>2</v>
      </c>
      <c r="J20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4" s="7" t="s">
        <v>12</v>
      </c>
      <c r="M2074" s="7" t="s">
        <v>13</v>
      </c>
    </row>
    <row r="2075" spans="1:18">
      <c r="A2075" s="8" t="s">
        <v>5647</v>
      </c>
      <c r="B2075" s="8" t="s">
        <v>5646</v>
      </c>
      <c r="C2075" s="2" t="str">
        <f>RIGHT(ProductInfo[[#This Row],[Drawing No]],1)</f>
        <v>0</v>
      </c>
      <c r="D2075" s="176" t="s">
        <v>5648</v>
      </c>
      <c r="E2075" s="16" t="s">
        <v>3437</v>
      </c>
      <c r="F2075" s="23" t="str">
        <f>IFERROR(INDEX(MaterialCode[รายละเอียด],MATCH(ProductInfo[[#This Row],[Material Code]],MaterialCode[Material Code],0)),"ไม่พบวัตถุดิบ")</f>
        <v>ท่ออลูมีเนียมรูทำ CLAMP 34 MM.</v>
      </c>
      <c r="G2075" s="59">
        <v>30</v>
      </c>
      <c r="H2075" s="59">
        <v>100</v>
      </c>
      <c r="I2075" s="1">
        <f>COUNTA(ProductInfo[[#This Row],[P1]:[P15]])</f>
        <v>2</v>
      </c>
      <c r="J20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075" s="7" t="s">
        <v>15</v>
      </c>
      <c r="M2075" s="7" t="s">
        <v>16</v>
      </c>
    </row>
    <row r="2076" spans="1:18">
      <c r="A2076" s="54" t="s">
        <v>5667</v>
      </c>
      <c r="B2076" s="8" t="s">
        <v>5666</v>
      </c>
      <c r="C2076" s="2" t="str">
        <f>RIGHT(ProductInfo[[#This Row],[Drawing No]],1)</f>
        <v>0</v>
      </c>
      <c r="D2076" s="174" t="s">
        <v>5668</v>
      </c>
      <c r="E2076" s="16" t="s">
        <v>5150</v>
      </c>
      <c r="F2076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076" s="59">
        <v>68</v>
      </c>
      <c r="H2076" s="59">
        <v>60</v>
      </c>
      <c r="I2076" s="1">
        <f>COUNTA(ProductInfo[[#This Row],[P1]:[P15]])</f>
        <v>3</v>
      </c>
      <c r="J20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0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6" s="7" t="s">
        <v>12</v>
      </c>
      <c r="M2076" s="7" t="s">
        <v>13</v>
      </c>
      <c r="N2076" s="4" t="s">
        <v>14</v>
      </c>
    </row>
    <row r="2077" spans="1:18">
      <c r="A2077" s="15" t="s">
        <v>5672</v>
      </c>
      <c r="B2077" s="21" t="s">
        <v>5671</v>
      </c>
      <c r="C2077" s="2" t="str">
        <f>RIGHT(ProductInfo[[#This Row],[Drawing No]],1)</f>
        <v>0</v>
      </c>
      <c r="D2077" s="192" t="s">
        <v>5673</v>
      </c>
      <c r="E2077" s="16" t="s">
        <v>3421</v>
      </c>
      <c r="F2077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077" s="59">
        <v>78</v>
      </c>
      <c r="H2077" s="59">
        <v>60</v>
      </c>
      <c r="I2077" s="1">
        <f>COUNTA(ProductInfo[[#This Row],[P1]:[P15]])</f>
        <v>2</v>
      </c>
      <c r="J20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7" s="7" t="s">
        <v>12</v>
      </c>
      <c r="M2077" s="7" t="s">
        <v>13</v>
      </c>
    </row>
    <row r="2078" spans="1:18">
      <c r="A2078" s="15" t="s">
        <v>5700</v>
      </c>
      <c r="B2078" s="21" t="s">
        <v>5697</v>
      </c>
      <c r="C2078" s="2" t="str">
        <f>RIGHT(ProductInfo[[#This Row],[Drawing No]],1)</f>
        <v>1</v>
      </c>
      <c r="D2078" s="191" t="s">
        <v>5699</v>
      </c>
      <c r="E2078" s="16" t="s">
        <v>3459</v>
      </c>
      <c r="F2078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78" s="59">
        <v>182</v>
      </c>
      <c r="H2078" s="59">
        <v>100</v>
      </c>
      <c r="I2078" s="1">
        <f>COUNTA(ProductInfo[[#This Row],[P1]:[P15]])</f>
        <v>2</v>
      </c>
      <c r="J20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8" s="7" t="s">
        <v>12</v>
      </c>
      <c r="M2078" s="4" t="s">
        <v>13</v>
      </c>
      <c r="R2078" s="7"/>
    </row>
    <row r="2079" spans="1:18">
      <c r="A2079" s="54" t="s">
        <v>5700</v>
      </c>
      <c r="B2079" s="8" t="s">
        <v>5697</v>
      </c>
      <c r="C2079" s="2" t="str">
        <f>RIGHT(ProductInfo[[#This Row],[Drawing No]],1)</f>
        <v>1</v>
      </c>
      <c r="D2079" s="174" t="s">
        <v>5699</v>
      </c>
      <c r="E2079" s="16" t="s">
        <v>3459</v>
      </c>
      <c r="F2079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079" s="59">
        <v>182</v>
      </c>
      <c r="H2079" s="59">
        <v>100</v>
      </c>
      <c r="I2079" s="1">
        <f>COUNTA(ProductInfo[[#This Row],[P1]:[P15]])</f>
        <v>2</v>
      </c>
      <c r="J20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79" s="7" t="s">
        <v>12</v>
      </c>
      <c r="M2079" s="4" t="s">
        <v>13</v>
      </c>
      <c r="R2079" s="7"/>
    </row>
    <row r="2080" spans="1:18">
      <c r="A2080" s="54" t="s">
        <v>5695</v>
      </c>
      <c r="B2080" s="8" t="s">
        <v>5785</v>
      </c>
      <c r="C2080" s="2" t="str">
        <f>RIGHT(ProductInfo[[#This Row],[Drawing No]],1)</f>
        <v>3</v>
      </c>
      <c r="D2080" s="174" t="s">
        <v>5793</v>
      </c>
      <c r="E2080" s="16" t="s">
        <v>3559</v>
      </c>
      <c r="F208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0" s="59">
        <v>202</v>
      </c>
      <c r="H2080" s="59">
        <v>100</v>
      </c>
      <c r="I2080" s="1">
        <f>COUNTA(ProductInfo[[#This Row],[P1]:[P15]])</f>
        <v>2</v>
      </c>
      <c r="J20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0" s="7" t="s">
        <v>12</v>
      </c>
      <c r="M2080" s="7" t="s">
        <v>13</v>
      </c>
    </row>
    <row r="2081" spans="1:26">
      <c r="A2081" s="54" t="s">
        <v>5696</v>
      </c>
      <c r="B2081" s="8" t="s">
        <v>5785</v>
      </c>
      <c r="C2081" s="2" t="str">
        <f>RIGHT(ProductInfo[[#This Row],[Drawing No]],1)</f>
        <v>3</v>
      </c>
      <c r="D2081" s="174" t="s">
        <v>5794</v>
      </c>
      <c r="E2081" s="16" t="s">
        <v>3559</v>
      </c>
      <c r="F208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1" s="59">
        <v>232</v>
      </c>
      <c r="H2081" s="59">
        <v>100</v>
      </c>
      <c r="I2081" s="1">
        <f>COUNTA(ProductInfo[[#This Row],[P1]:[P15]])</f>
        <v>2</v>
      </c>
      <c r="J20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1" s="7" t="s">
        <v>12</v>
      </c>
      <c r="M2081" s="7" t="s">
        <v>13</v>
      </c>
    </row>
    <row r="2082" spans="1:26">
      <c r="A2082" s="54" t="s">
        <v>5798</v>
      </c>
      <c r="B2082" s="8" t="s">
        <v>5797</v>
      </c>
      <c r="C2082" s="2" t="str">
        <f>RIGHT(ProductInfo[[#This Row],[Drawing No]],1)</f>
        <v>0</v>
      </c>
      <c r="D2082" s="174" t="s">
        <v>5799</v>
      </c>
      <c r="E2082" s="16" t="s">
        <v>4522</v>
      </c>
      <c r="F2082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082" s="59">
        <v>58</v>
      </c>
      <c r="H2082" s="59">
        <v>60</v>
      </c>
      <c r="I2082" s="1">
        <f>COUNTA(ProductInfo[[#This Row],[P1]:[P15]])</f>
        <v>0</v>
      </c>
      <c r="J20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2" s="7"/>
      <c r="M2082" s="7"/>
    </row>
    <row r="2083" spans="1:26">
      <c r="A2083" s="54" t="s">
        <v>5786</v>
      </c>
      <c r="B2083" s="8" t="s">
        <v>5785</v>
      </c>
      <c r="C2083" s="2" t="str">
        <f>RIGHT(ProductInfo[[#This Row],[Drawing No]],1)</f>
        <v>3</v>
      </c>
      <c r="D2083" s="174" t="s">
        <v>5795</v>
      </c>
      <c r="E2083" s="16" t="s">
        <v>3559</v>
      </c>
      <c r="F208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3" s="59">
        <v>142</v>
      </c>
      <c r="H2083" s="59">
        <v>100</v>
      </c>
      <c r="I2083" s="1">
        <f>COUNTA(ProductInfo[[#This Row],[P1]:[P15]])</f>
        <v>2</v>
      </c>
      <c r="J20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3" s="7" t="s">
        <v>12</v>
      </c>
      <c r="M2083" s="7" t="s">
        <v>13</v>
      </c>
    </row>
    <row r="2084" spans="1:26">
      <c r="A2084" s="54" t="s">
        <v>5788</v>
      </c>
      <c r="B2084" s="8" t="s">
        <v>5785</v>
      </c>
      <c r="C2084" s="2" t="str">
        <f>RIGHT(ProductInfo[[#This Row],[Drawing No]],1)</f>
        <v>3</v>
      </c>
      <c r="D2084" s="174" t="s">
        <v>5796</v>
      </c>
      <c r="E2084" s="16" t="s">
        <v>3559</v>
      </c>
      <c r="F208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4" s="59">
        <v>147</v>
      </c>
      <c r="H2084" s="59">
        <v>100</v>
      </c>
      <c r="I2084" s="1">
        <f>COUNTA(ProductInfo[[#This Row],[P1]:[P15]])</f>
        <v>2</v>
      </c>
      <c r="J20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4" s="7" t="s">
        <v>12</v>
      </c>
      <c r="M2084" s="7" t="s">
        <v>13</v>
      </c>
    </row>
    <row r="2085" spans="1:26">
      <c r="A2085" s="54" t="s">
        <v>5823</v>
      </c>
      <c r="B2085" s="8" t="s">
        <v>5785</v>
      </c>
      <c r="C2085" s="2" t="str">
        <f>RIGHT(ProductInfo[[#This Row],[Drawing No]],1)</f>
        <v>3</v>
      </c>
      <c r="D2085" s="174" t="s">
        <v>5824</v>
      </c>
      <c r="E2085" s="16" t="s">
        <v>3559</v>
      </c>
      <c r="F208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5" s="59">
        <v>152</v>
      </c>
      <c r="H2085" s="59">
        <v>100</v>
      </c>
      <c r="I2085" s="1">
        <f>COUNTA(ProductInfo[[#This Row],[P1]:[P15]])</f>
        <v>2</v>
      </c>
      <c r="J20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5" s="7" t="s">
        <v>12</v>
      </c>
      <c r="M2085" s="7" t="s">
        <v>13</v>
      </c>
    </row>
    <row r="2086" spans="1:26">
      <c r="A2086" s="54" t="s">
        <v>5819</v>
      </c>
      <c r="B2086" s="8" t="s">
        <v>5821</v>
      </c>
      <c r="C2086" s="2" t="str">
        <f>RIGHT(ProductInfo[[#This Row],[Drawing No]],1)</f>
        <v>0</v>
      </c>
      <c r="D2086" s="174" t="s">
        <v>5820</v>
      </c>
      <c r="E2086" s="16" t="s">
        <v>3559</v>
      </c>
      <c r="F208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086" s="59">
        <v>132</v>
      </c>
      <c r="H2086" s="59">
        <v>60</v>
      </c>
      <c r="I2086" s="1">
        <f>COUNTA(ProductInfo[[#This Row],[P1]:[P15]])</f>
        <v>2</v>
      </c>
      <c r="J20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6" s="7" t="s">
        <v>12</v>
      </c>
      <c r="M2086" s="7" t="s">
        <v>13</v>
      </c>
    </row>
    <row r="2087" spans="1:26">
      <c r="A2087" s="54" t="s">
        <v>5816</v>
      </c>
      <c r="B2087" s="8" t="s">
        <v>5815</v>
      </c>
      <c r="C2087" s="2" t="str">
        <f>RIGHT(ProductInfo[[#This Row],[Drawing No]],1)</f>
        <v>0</v>
      </c>
      <c r="D2087" s="174" t="s">
        <v>5817</v>
      </c>
      <c r="E2087" s="16"/>
      <c r="F20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87" s="59">
        <v>127</v>
      </c>
      <c r="H2087" s="59">
        <v>60</v>
      </c>
      <c r="I2087" s="1">
        <f>COUNTA(ProductInfo[[#This Row],[P1]:[P15]])</f>
        <v>2</v>
      </c>
      <c r="J20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087" s="7" t="s">
        <v>15</v>
      </c>
      <c r="M2087" s="7" t="s">
        <v>16</v>
      </c>
    </row>
    <row r="2088" spans="1:26">
      <c r="A2088" s="54" t="s">
        <v>5190</v>
      </c>
      <c r="B2088" s="8" t="s">
        <v>5189</v>
      </c>
      <c r="C2088" s="2" t="str">
        <f>RIGHT(ProductInfo[[#This Row],[Drawing No]],1)</f>
        <v>0</v>
      </c>
      <c r="D2088" s="174" t="s">
        <v>5191</v>
      </c>
      <c r="E2088" s="16"/>
      <c r="F20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88" s="31"/>
      <c r="H2088" s="31"/>
      <c r="I2088" s="1">
        <f>COUNTA(ProductInfo[[#This Row],[P1]:[P15]])</f>
        <v>2</v>
      </c>
      <c r="J20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0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8" s="4" t="s">
        <v>12</v>
      </c>
      <c r="M2088" s="4" t="s">
        <v>13</v>
      </c>
      <c r="R2088" s="7"/>
    </row>
    <row r="2089" spans="1:26">
      <c r="A2089" s="54" t="s">
        <v>2181</v>
      </c>
      <c r="B2089" s="8" t="s">
        <v>2181</v>
      </c>
      <c r="C2089" s="2" t="str">
        <f>RIGHT(ProductInfo[[#This Row],[Drawing No]],1)</f>
        <v>1</v>
      </c>
      <c r="D2089" s="195" t="s">
        <v>3272</v>
      </c>
      <c r="E2089" s="18"/>
      <c r="F208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89" s="32"/>
      <c r="H2089" s="32"/>
      <c r="I2089" s="2">
        <f>COUNTA(ProductInfo[[#This Row],[P1]:[P15]])</f>
        <v>0</v>
      </c>
      <c r="J2089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89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89" s="7"/>
      <c r="T2089" s="7"/>
      <c r="U2089" s="7"/>
      <c r="V2089" s="7"/>
      <c r="W2089" s="7"/>
      <c r="X2089" s="7"/>
      <c r="Y2089" s="7"/>
      <c r="Z2089" s="7"/>
    </row>
    <row r="2090" spans="1:26">
      <c r="A2090" s="54" t="s">
        <v>2182</v>
      </c>
      <c r="B2090" s="8" t="s">
        <v>2182</v>
      </c>
      <c r="C2090" s="1" t="str">
        <f>RIGHT(ProductInfo[[#This Row],[Drawing No]],1)</f>
        <v>4</v>
      </c>
      <c r="D2090" s="199" t="s">
        <v>3202</v>
      </c>
      <c r="E2090" s="17"/>
      <c r="F209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0" s="38"/>
      <c r="H2090" s="38"/>
      <c r="I2090" s="1">
        <f>COUNTA(ProductInfo[[#This Row],[P1]:[P15]])</f>
        <v>0</v>
      </c>
      <c r="J20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0" s="7"/>
      <c r="M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>
      <c r="A2091" s="54" t="s">
        <v>2183</v>
      </c>
      <c r="B2091" s="8" t="s">
        <v>2183</v>
      </c>
      <c r="C2091" s="1" t="str">
        <f>RIGHT(ProductInfo[[#This Row],[Drawing No]],1)</f>
        <v>4</v>
      </c>
      <c r="D2091" s="199" t="s">
        <v>2184</v>
      </c>
      <c r="E2091" s="17"/>
      <c r="F209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1" s="38"/>
      <c r="H2091" s="38"/>
      <c r="I2091" s="1">
        <f>COUNTA(ProductInfo[[#This Row],[P1]:[P15]])</f>
        <v>0</v>
      </c>
      <c r="J20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1" s="7"/>
      <c r="M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>
      <c r="A2092" s="54" t="s">
        <v>2185</v>
      </c>
      <c r="B2092" s="8" t="s">
        <v>2185</v>
      </c>
      <c r="C2092" s="1" t="str">
        <f>RIGHT(ProductInfo[[#This Row],[Drawing No]],1)</f>
        <v>5</v>
      </c>
      <c r="D2092" s="199" t="s">
        <v>2186</v>
      </c>
      <c r="E2092" s="17"/>
      <c r="F2092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2" s="38"/>
      <c r="H2092" s="38"/>
      <c r="I2092" s="1">
        <f>COUNTA(ProductInfo[[#This Row],[P1]:[P15]])</f>
        <v>0</v>
      </c>
      <c r="J20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2" s="7"/>
      <c r="M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>
      <c r="A2093" s="54" t="s">
        <v>2187</v>
      </c>
      <c r="B2093" s="8" t="s">
        <v>2187</v>
      </c>
      <c r="C2093" s="1" t="str">
        <f>RIGHT(ProductInfo[[#This Row],[Drawing No]],1)</f>
        <v>6</v>
      </c>
      <c r="D2093" s="199" t="s">
        <v>2744</v>
      </c>
      <c r="E2093" s="17"/>
      <c r="F209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3" s="38"/>
      <c r="H2093" s="38"/>
      <c r="I2093" s="1">
        <f>COUNTA(ProductInfo[[#This Row],[P1]:[P15]])</f>
        <v>0</v>
      </c>
      <c r="J20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3" s="7"/>
      <c r="M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>
      <c r="A2094" s="54" t="s">
        <v>2188</v>
      </c>
      <c r="B2094" s="8" t="s">
        <v>2188</v>
      </c>
      <c r="C2094" s="1" t="str">
        <f>RIGHT(ProductInfo[[#This Row],[Drawing No]],1)</f>
        <v>5</v>
      </c>
      <c r="D2094" s="174" t="s">
        <v>2745</v>
      </c>
      <c r="E2094" s="16"/>
      <c r="F209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4" s="31"/>
      <c r="H2094" s="31"/>
      <c r="I2094" s="1">
        <f>COUNTA(ProductInfo[[#This Row],[P1]:[P15]])</f>
        <v>0</v>
      </c>
      <c r="J20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4" s="7"/>
      <c r="M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>
      <c r="A2095" s="54" t="s">
        <v>2189</v>
      </c>
      <c r="B2095" s="8" t="s">
        <v>2189</v>
      </c>
      <c r="C2095" s="1" t="str">
        <f>RIGHT(ProductInfo[[#This Row],[Drawing No]],1)</f>
        <v>3</v>
      </c>
      <c r="D2095" s="174" t="s">
        <v>3086</v>
      </c>
      <c r="E2095" s="16"/>
      <c r="F20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5" s="31"/>
      <c r="H2095" s="31"/>
      <c r="I2095" s="1">
        <f>COUNTA(ProductInfo[[#This Row],[P1]:[P15]])</f>
        <v>0</v>
      </c>
      <c r="J20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5" s="7"/>
      <c r="M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>
      <c r="A2096" s="54" t="s">
        <v>2190</v>
      </c>
      <c r="B2096" s="8" t="s">
        <v>2190</v>
      </c>
      <c r="C2096" s="1" t="str">
        <f>RIGHT(ProductInfo[[#This Row],[Drawing No]],1)</f>
        <v>6</v>
      </c>
      <c r="D2096" s="199" t="s">
        <v>2746</v>
      </c>
      <c r="E2096" s="17"/>
      <c r="F209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6" s="38"/>
      <c r="H2096" s="38"/>
      <c r="I2096" s="1">
        <f>COUNTA(ProductInfo[[#This Row],[P1]:[P15]])</f>
        <v>0</v>
      </c>
      <c r="J20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6" s="7"/>
      <c r="M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>
      <c r="A2097" s="54" t="s">
        <v>2191</v>
      </c>
      <c r="B2097" s="8" t="s">
        <v>2191</v>
      </c>
      <c r="C2097" s="1" t="str">
        <f>RIGHT(ProductInfo[[#This Row],[Drawing No]],1)</f>
        <v>3</v>
      </c>
      <c r="D2097" s="199" t="s">
        <v>2747</v>
      </c>
      <c r="E2097" s="17"/>
      <c r="F2097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7" s="38"/>
      <c r="H2097" s="38"/>
      <c r="I2097" s="1">
        <f>COUNTA(ProductInfo[[#This Row],[P1]:[P15]])</f>
        <v>0</v>
      </c>
      <c r="J20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7" s="7"/>
      <c r="M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>
      <c r="A2098" s="54" t="s">
        <v>2192</v>
      </c>
      <c r="B2098" s="8" t="s">
        <v>2192</v>
      </c>
      <c r="C2098" s="1" t="str">
        <f>RIGHT(ProductInfo[[#This Row],[Drawing No]],1)</f>
        <v>4</v>
      </c>
      <c r="D2098" s="199" t="s">
        <v>2748</v>
      </c>
      <c r="E2098" s="17"/>
      <c r="F2098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8" s="38"/>
      <c r="H2098" s="38"/>
      <c r="I2098" s="1">
        <f>COUNTA(ProductInfo[[#This Row],[P1]:[P15]])</f>
        <v>0</v>
      </c>
      <c r="J20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8" s="7"/>
      <c r="M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>
      <c r="A2099" s="15" t="s">
        <v>2193</v>
      </c>
      <c r="B2099" s="8" t="s">
        <v>2193</v>
      </c>
      <c r="C2099" s="1" t="str">
        <f>RIGHT(ProductInfo[[#This Row],[Drawing No]],1)</f>
        <v>3</v>
      </c>
      <c r="D2099" s="199" t="s">
        <v>2749</v>
      </c>
      <c r="E2099" s="17"/>
      <c r="F209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099" s="38"/>
      <c r="H2099" s="38"/>
      <c r="I2099" s="1">
        <f>COUNTA(ProductInfo[[#This Row],[P1]:[P15]])</f>
        <v>0</v>
      </c>
      <c r="J20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0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099" s="7"/>
      <c r="M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>
      <c r="A2100" s="15" t="s">
        <v>2194</v>
      </c>
      <c r="B2100" s="8" t="s">
        <v>2194</v>
      </c>
      <c r="C2100" s="1" t="str">
        <f>RIGHT(ProductInfo[[#This Row],[Drawing No]],1)</f>
        <v>3</v>
      </c>
      <c r="D2100" s="199" t="s">
        <v>2750</v>
      </c>
      <c r="E2100" s="17"/>
      <c r="F210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0" s="38"/>
      <c r="H2100" s="38"/>
      <c r="I2100" s="1">
        <f>COUNTA(ProductInfo[[#This Row],[P1]:[P15]])</f>
        <v>0</v>
      </c>
      <c r="J21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0" s="7"/>
      <c r="M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>
      <c r="A2101" s="54" t="s">
        <v>2195</v>
      </c>
      <c r="B2101" s="8" t="s">
        <v>2195</v>
      </c>
      <c r="C2101" s="1" t="str">
        <f>RIGHT(ProductInfo[[#This Row],[Drawing No]],1)</f>
        <v>4</v>
      </c>
      <c r="D2101" s="199" t="s">
        <v>2751</v>
      </c>
      <c r="E2101" s="17"/>
      <c r="F210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1" s="38"/>
      <c r="H2101" s="38"/>
      <c r="I2101" s="1">
        <f>COUNTA(ProductInfo[[#This Row],[P1]:[P15]])</f>
        <v>0</v>
      </c>
      <c r="J21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1" s="7"/>
      <c r="M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>
      <c r="A2102" s="54" t="s">
        <v>2196</v>
      </c>
      <c r="B2102" s="8" t="s">
        <v>3613</v>
      </c>
      <c r="C2102" s="1" t="str">
        <f>RIGHT(ProductInfo[[#This Row],[Drawing No]],1)</f>
        <v>1</v>
      </c>
      <c r="D2102" s="195" t="s">
        <v>3087</v>
      </c>
      <c r="E2102" s="18" t="s">
        <v>4561</v>
      </c>
      <c r="F2102" s="26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102" s="3">
        <v>73.099999999999994</v>
      </c>
      <c r="H2102" s="3"/>
      <c r="I2102" s="1">
        <f>COUNTA(ProductInfo[[#This Row],[P1]:[P15]])</f>
        <v>2</v>
      </c>
      <c r="J21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2" s="7" t="s">
        <v>12</v>
      </c>
      <c r="M2102" s="7" t="s">
        <v>13</v>
      </c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>
      <c r="A2103" s="54" t="s">
        <v>2197</v>
      </c>
      <c r="B2103" s="8" t="s">
        <v>2197</v>
      </c>
      <c r="C2103" s="1" t="str">
        <f>RIGHT(ProductInfo[[#This Row],[Drawing No]],1)</f>
        <v>2</v>
      </c>
      <c r="D2103" s="199" t="s">
        <v>2752</v>
      </c>
      <c r="E2103" s="17"/>
      <c r="F210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3" s="38"/>
      <c r="H2103" s="38"/>
      <c r="I2103" s="1">
        <f>COUNTA(ProductInfo[[#This Row],[P1]:[P15]])</f>
        <v>0</v>
      </c>
      <c r="J21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3" s="7"/>
      <c r="M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>
      <c r="A2104" s="54" t="s">
        <v>2198</v>
      </c>
      <c r="B2104" s="8" t="s">
        <v>2198</v>
      </c>
      <c r="C2104" s="1" t="str">
        <f>RIGHT(ProductInfo[[#This Row],[Drawing No]],1)</f>
        <v>3</v>
      </c>
      <c r="D2104" s="199" t="s">
        <v>2752</v>
      </c>
      <c r="E2104" s="17"/>
      <c r="F210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4" s="38"/>
      <c r="H2104" s="38"/>
      <c r="I2104" s="1">
        <f>COUNTA(ProductInfo[[#This Row],[P1]:[P15]])</f>
        <v>0</v>
      </c>
      <c r="J21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4" s="7"/>
      <c r="M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>
      <c r="A2105" s="54" t="s">
        <v>2199</v>
      </c>
      <c r="B2105" s="8" t="s">
        <v>2199</v>
      </c>
      <c r="C2105" s="1" t="str">
        <f>RIGHT(ProductInfo[[#This Row],[Drawing No]],1)</f>
        <v>4</v>
      </c>
      <c r="D2105" s="199" t="s">
        <v>2860</v>
      </c>
      <c r="E2105" s="17"/>
      <c r="F2105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5" s="38"/>
      <c r="H2105" s="38"/>
      <c r="I2105" s="1">
        <f>COUNTA(ProductInfo[[#This Row],[P1]:[P15]])</f>
        <v>0</v>
      </c>
      <c r="J21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5" s="7"/>
      <c r="M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>
      <c r="A2106" s="54" t="s">
        <v>2200</v>
      </c>
      <c r="B2106" s="8" t="s">
        <v>2200</v>
      </c>
      <c r="C2106" s="1" t="str">
        <f>RIGHT(ProductInfo[[#This Row],[Drawing No]],1)</f>
        <v>1</v>
      </c>
      <c r="D2106" s="199" t="s">
        <v>2753</v>
      </c>
      <c r="E2106" s="17"/>
      <c r="F210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6" s="38"/>
      <c r="H2106" s="38"/>
      <c r="I2106" s="1">
        <f>COUNTA(ProductInfo[[#This Row],[P1]:[P15]])</f>
        <v>0</v>
      </c>
      <c r="J21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6" s="4"/>
      <c r="M2106" s="7"/>
      <c r="R2106" s="7"/>
      <c r="S2106" s="7"/>
    </row>
    <row r="2107" spans="1:26">
      <c r="A2107" s="54" t="s">
        <v>2201</v>
      </c>
      <c r="B2107" s="8" t="s">
        <v>2201</v>
      </c>
      <c r="C2107" s="1" t="str">
        <f>RIGHT(ProductInfo[[#This Row],[Drawing No]],1)</f>
        <v>1</v>
      </c>
      <c r="D2107" s="199" t="s">
        <v>2861</v>
      </c>
      <c r="E2107" s="17"/>
      <c r="F2107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7" s="38"/>
      <c r="H2107" s="38"/>
      <c r="I2107" s="1">
        <f>COUNTA(ProductInfo[[#This Row],[P1]:[P15]])</f>
        <v>0</v>
      </c>
      <c r="J21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7" s="7"/>
      <c r="M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>
      <c r="A2108" s="54" t="s">
        <v>2202</v>
      </c>
      <c r="B2108" s="8" t="s">
        <v>2202</v>
      </c>
      <c r="C2108" s="2" t="str">
        <f>RIGHT(ProductInfo[[#This Row],[Drawing No]],1)</f>
        <v>2</v>
      </c>
      <c r="D2108" s="200" t="s">
        <v>3273</v>
      </c>
      <c r="F2108" s="22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H2108" s="3">
        <v>50</v>
      </c>
      <c r="I2108" s="2">
        <f>COUNTA(ProductInfo[[#This Row],[P1]:[P15]])</f>
        <v>0</v>
      </c>
      <c r="J210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8" s="7"/>
      <c r="T2108" s="7"/>
      <c r="U2108" s="7"/>
      <c r="V2108" s="7"/>
      <c r="W2108" s="7"/>
      <c r="X2108" s="7"/>
      <c r="Y2108" s="7"/>
      <c r="Z2108" s="7"/>
    </row>
    <row r="2109" spans="1:26">
      <c r="A2109" s="54" t="s">
        <v>2203</v>
      </c>
      <c r="B2109" s="8" t="s">
        <v>2203</v>
      </c>
      <c r="C2109" s="1" t="str">
        <f>RIGHT(ProductInfo[[#This Row],[Drawing No]],1)</f>
        <v>2</v>
      </c>
      <c r="D2109" s="199" t="s">
        <v>3203</v>
      </c>
      <c r="E2109" s="17"/>
      <c r="F210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09" s="38"/>
      <c r="H2109" s="38"/>
      <c r="I2109" s="1">
        <f>COUNTA(ProductInfo[[#This Row],[P1]:[P15]])</f>
        <v>0</v>
      </c>
      <c r="J21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09" s="4"/>
      <c r="M2109" s="7"/>
      <c r="R2109" s="7"/>
      <c r="S2109" s="7"/>
    </row>
    <row r="2110" spans="1:26">
      <c r="A2110" s="54" t="s">
        <v>2204</v>
      </c>
      <c r="B2110" s="8" t="s">
        <v>2204</v>
      </c>
      <c r="C2110" s="1" t="str">
        <f>RIGHT(ProductInfo[[#This Row],[Drawing No]],1)</f>
        <v>0</v>
      </c>
      <c r="D2110" s="199" t="s">
        <v>2754</v>
      </c>
      <c r="E2110" s="17"/>
      <c r="F211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0" s="38"/>
      <c r="H2110" s="38"/>
      <c r="I2110" s="1">
        <f>COUNTA(ProductInfo[[#This Row],[P1]:[P15]])</f>
        <v>0</v>
      </c>
      <c r="J21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0" s="4"/>
      <c r="M2110" s="7"/>
      <c r="R2110" s="7"/>
      <c r="S2110" s="7"/>
    </row>
    <row r="2111" spans="1:26">
      <c r="A2111" s="54" t="s">
        <v>2205</v>
      </c>
      <c r="B2111" s="8" t="s">
        <v>2205</v>
      </c>
      <c r="C2111" s="1" t="str">
        <f>RIGHT(ProductInfo[[#This Row],[Drawing No]],1)</f>
        <v>4</v>
      </c>
      <c r="D2111" s="199" t="s">
        <v>3204</v>
      </c>
      <c r="E2111" s="17"/>
      <c r="F211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1" s="38"/>
      <c r="H2111" s="3">
        <v>50</v>
      </c>
      <c r="I2111" s="1">
        <f>COUNTA(ProductInfo[[#This Row],[P1]:[P15]])</f>
        <v>0</v>
      </c>
      <c r="J21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1" s="7"/>
      <c r="M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>
      <c r="A2112" s="54" t="s">
        <v>2206</v>
      </c>
      <c r="B2112" s="8" t="s">
        <v>2206</v>
      </c>
      <c r="C2112" s="1" t="str">
        <f>RIGHT(ProductInfo[[#This Row],[Drawing No]],1)</f>
        <v>5</v>
      </c>
      <c r="D2112" s="199" t="s">
        <v>3205</v>
      </c>
      <c r="E2112" s="17"/>
      <c r="F2112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2" s="38"/>
      <c r="H2112" s="3">
        <v>50</v>
      </c>
      <c r="I2112" s="1">
        <f>COUNTA(ProductInfo[[#This Row],[P1]:[P15]])</f>
        <v>0</v>
      </c>
      <c r="J21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2" s="7"/>
      <c r="M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>
      <c r="A2113" s="54" t="s">
        <v>2207</v>
      </c>
      <c r="B2113" s="8" t="s">
        <v>2207</v>
      </c>
      <c r="C2113" s="1" t="str">
        <f>RIGHT(ProductInfo[[#This Row],[Drawing No]],1)</f>
        <v>5</v>
      </c>
      <c r="D2113" s="199" t="s">
        <v>2755</v>
      </c>
      <c r="E2113" s="17"/>
      <c r="F211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3" s="38"/>
      <c r="H2113" s="3">
        <v>50</v>
      </c>
      <c r="I2113" s="1">
        <f>COUNTA(ProductInfo[[#This Row],[P1]:[P15]])</f>
        <v>0</v>
      </c>
      <c r="J21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3" s="7"/>
      <c r="M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>
      <c r="A2114" s="54" t="s">
        <v>2208</v>
      </c>
      <c r="B2114" s="8" t="s">
        <v>2208</v>
      </c>
      <c r="C2114" s="1" t="str">
        <f>RIGHT(ProductInfo[[#This Row],[Drawing No]],1)</f>
        <v>2</v>
      </c>
      <c r="D2114" s="199" t="s">
        <v>3206</v>
      </c>
      <c r="E2114" s="17"/>
      <c r="F211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4" s="38"/>
      <c r="H2114" s="3">
        <v>50</v>
      </c>
      <c r="I2114" s="1">
        <f>COUNTA(ProductInfo[[#This Row],[P1]:[P15]])</f>
        <v>0</v>
      </c>
      <c r="J21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4" s="7"/>
      <c r="M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>
      <c r="A2115" s="54" t="s">
        <v>2209</v>
      </c>
      <c r="B2115" s="8" t="s">
        <v>2209</v>
      </c>
      <c r="C2115" s="1" t="str">
        <f>RIGHT(ProductInfo[[#This Row],[Drawing No]],1)</f>
        <v>1</v>
      </c>
      <c r="D2115" s="174" t="s">
        <v>3088</v>
      </c>
      <c r="E2115" s="16"/>
      <c r="F21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5" s="31"/>
      <c r="H2115" s="31"/>
      <c r="I2115" s="1">
        <f>COUNTA(ProductInfo[[#This Row],[P1]:[P15]])</f>
        <v>0</v>
      </c>
      <c r="J21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5" s="7"/>
      <c r="M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>
      <c r="A2116" s="54" t="s">
        <v>2210</v>
      </c>
      <c r="B2116" s="8" t="s">
        <v>2210</v>
      </c>
      <c r="C2116" s="1" t="str">
        <f>RIGHT(ProductInfo[[#This Row],[Drawing No]],1)</f>
        <v>4</v>
      </c>
      <c r="D2116" s="199" t="s">
        <v>3207</v>
      </c>
      <c r="E2116" s="17"/>
      <c r="F211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6" s="38"/>
      <c r="H2116" s="38"/>
      <c r="I2116" s="1">
        <f>COUNTA(ProductInfo[[#This Row],[P1]:[P15]])</f>
        <v>0</v>
      </c>
      <c r="J21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6" s="7"/>
      <c r="M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>
      <c r="A2117" s="54" t="s">
        <v>2211</v>
      </c>
      <c r="B2117" s="8" t="s">
        <v>2211</v>
      </c>
      <c r="C2117" s="1" t="str">
        <f>RIGHT(ProductInfo[[#This Row],[Drawing No]],1)</f>
        <v>0</v>
      </c>
      <c r="D2117" s="199" t="s">
        <v>2212</v>
      </c>
      <c r="E2117" s="17"/>
      <c r="F2117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7" s="38"/>
      <c r="H2117" s="3">
        <v>50</v>
      </c>
      <c r="I2117" s="1">
        <f>COUNTA(ProductInfo[[#This Row],[P1]:[P15]])</f>
        <v>0</v>
      </c>
      <c r="J21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7" s="7"/>
      <c r="M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>
      <c r="A2118" s="54" t="s">
        <v>2213</v>
      </c>
      <c r="B2118" s="8" t="s">
        <v>2213</v>
      </c>
      <c r="C2118" s="1" t="str">
        <f>RIGHT(ProductInfo[[#This Row],[Drawing No]],1)</f>
        <v>0</v>
      </c>
      <c r="D2118" s="199" t="s">
        <v>2862</v>
      </c>
      <c r="E2118" s="17" t="s">
        <v>3722</v>
      </c>
      <c r="F2118" s="25" t="str">
        <f>IFERROR(INDEX(MaterialCode[รายละเอียด],MATCH(ProductInfo[[#This Row],[Material Code]],MaterialCode[Material Code],0)),"ไม่พบวัตถุดิบ")</f>
        <v>MATT FORDGE G M42</v>
      </c>
      <c r="G2118" s="38"/>
      <c r="H2118" s="3">
        <v>40</v>
      </c>
      <c r="I2118" s="1">
        <f>COUNTA(ProductInfo[[#This Row],[P1]:[P15]])</f>
        <v>0</v>
      </c>
      <c r="J21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8" s="7"/>
      <c r="M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>
      <c r="A2119" s="54" t="s">
        <v>2214</v>
      </c>
      <c r="B2119" s="8" t="s">
        <v>2214</v>
      </c>
      <c r="C2119" s="1" t="str">
        <f>RIGHT(ProductInfo[[#This Row],[Drawing No]],1)</f>
        <v>0</v>
      </c>
      <c r="D2119" s="199" t="s">
        <v>2863</v>
      </c>
      <c r="E2119" s="17"/>
      <c r="F211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19" s="38"/>
      <c r="H2119" s="3">
        <v>50</v>
      </c>
      <c r="I2119" s="1">
        <f>COUNTA(ProductInfo[[#This Row],[P1]:[P15]])</f>
        <v>0</v>
      </c>
      <c r="J21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19" s="7"/>
      <c r="M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>
      <c r="A2120" s="54" t="s">
        <v>2215</v>
      </c>
      <c r="B2120" s="8" t="s">
        <v>2215</v>
      </c>
      <c r="C2120" s="1" t="str">
        <f>RIGHT(ProductInfo[[#This Row],[Drawing No]],1)</f>
        <v>0</v>
      </c>
      <c r="D2120" s="199" t="s">
        <v>2864</v>
      </c>
      <c r="E2120" s="17"/>
      <c r="F212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0" s="38"/>
      <c r="H2120" s="3">
        <v>50</v>
      </c>
      <c r="I2120" s="1">
        <f>COUNTA(ProductInfo[[#This Row],[P1]:[P15]])</f>
        <v>0</v>
      </c>
      <c r="J21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0" s="7"/>
      <c r="M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>
      <c r="A2121" s="54" t="s">
        <v>2216</v>
      </c>
      <c r="B2121" s="8" t="s">
        <v>2216</v>
      </c>
      <c r="C2121" s="1" t="str">
        <f>RIGHT(ProductInfo[[#This Row],[Drawing No]],1)</f>
        <v>1</v>
      </c>
      <c r="D2121" s="199" t="s">
        <v>3208</v>
      </c>
      <c r="E2121" s="17"/>
      <c r="F212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1" s="38"/>
      <c r="H2121" s="3">
        <v>50</v>
      </c>
      <c r="I2121" s="1">
        <f>COUNTA(ProductInfo[[#This Row],[P1]:[P15]])</f>
        <v>0</v>
      </c>
      <c r="J21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1" s="7"/>
      <c r="M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>
      <c r="A2122" s="54" t="s">
        <v>2217</v>
      </c>
      <c r="B2122" s="8" t="s">
        <v>2217</v>
      </c>
      <c r="C2122" s="1" t="str">
        <f>RIGHT(ProductInfo[[#This Row],[Drawing No]],1)</f>
        <v>2</v>
      </c>
      <c r="D2122" s="199" t="s">
        <v>3254</v>
      </c>
      <c r="E2122" s="17"/>
      <c r="F2122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2" s="38"/>
      <c r="H2122" s="38"/>
      <c r="I2122" s="1">
        <f>COUNTA(ProductInfo[[#This Row],[P1]:[P15]])</f>
        <v>0</v>
      </c>
      <c r="J21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2" s="7"/>
      <c r="M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>
      <c r="A2123" s="54" t="s">
        <v>2218</v>
      </c>
      <c r="B2123" s="8" t="s">
        <v>2218</v>
      </c>
      <c r="C2123" s="1" t="str">
        <f>RIGHT(ProductInfo[[#This Row],[Drawing No]],1)</f>
        <v>4</v>
      </c>
      <c r="D2123" s="199" t="s">
        <v>2756</v>
      </c>
      <c r="E2123" s="17"/>
      <c r="F212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3" s="38"/>
      <c r="H2123" s="61">
        <v>50</v>
      </c>
      <c r="I2123" s="1">
        <f>COUNTA(ProductInfo[[#This Row],[P1]:[P15]])</f>
        <v>0</v>
      </c>
      <c r="J21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3" s="7"/>
      <c r="M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>
      <c r="A2124" s="54" t="s">
        <v>2219</v>
      </c>
      <c r="B2124" s="8" t="s">
        <v>2219</v>
      </c>
      <c r="C2124" s="1" t="str">
        <f>RIGHT(ProductInfo[[#This Row],[Drawing No]],1)</f>
        <v>4</v>
      </c>
      <c r="D2124" s="199" t="s">
        <v>2865</v>
      </c>
      <c r="E2124" s="17"/>
      <c r="F212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4" s="38"/>
      <c r="H2124" s="64">
        <v>50</v>
      </c>
      <c r="I2124" s="1">
        <f>COUNTA(ProductInfo[[#This Row],[P1]:[P15]])</f>
        <v>0</v>
      </c>
      <c r="J21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4" s="7"/>
      <c r="M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>
      <c r="A2125" s="54" t="s">
        <v>2220</v>
      </c>
      <c r="B2125" s="8" t="s">
        <v>2220</v>
      </c>
      <c r="C2125" s="1" t="str">
        <f>RIGHT(ProductInfo[[#This Row],[Drawing No]],1)</f>
        <v>5</v>
      </c>
      <c r="D2125" s="199" t="s">
        <v>2757</v>
      </c>
      <c r="E2125" s="17"/>
      <c r="F2125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5" s="38"/>
      <c r="H2125" s="38"/>
      <c r="I2125" s="1">
        <f>COUNTA(ProductInfo[[#This Row],[P1]:[P15]])</f>
        <v>0</v>
      </c>
      <c r="J21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5" s="7"/>
      <c r="M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>
      <c r="A2126" s="54" t="s">
        <v>2221</v>
      </c>
      <c r="B2126" s="8" t="s">
        <v>2221</v>
      </c>
      <c r="C2126" s="1" t="str">
        <f>RIGHT(ProductInfo[[#This Row],[Drawing No]],1)</f>
        <v>0</v>
      </c>
      <c r="D2126" s="199" t="s">
        <v>2758</v>
      </c>
      <c r="E2126" s="17"/>
      <c r="F212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6" s="38"/>
      <c r="H2126" s="38"/>
      <c r="I2126" s="1">
        <f>COUNTA(ProductInfo[[#This Row],[P1]:[P15]])</f>
        <v>0</v>
      </c>
      <c r="J21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6" s="7"/>
      <c r="M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>
      <c r="A2127" s="54" t="s">
        <v>2222</v>
      </c>
      <c r="B2127" s="8" t="s">
        <v>2222</v>
      </c>
      <c r="C2127" s="1" t="str">
        <f>RIGHT(ProductInfo[[#This Row],[Drawing No]],1)</f>
        <v>0</v>
      </c>
      <c r="D2127" s="199" t="s">
        <v>2759</v>
      </c>
      <c r="E2127" s="17"/>
      <c r="F2127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7" s="38"/>
      <c r="H2127" s="38"/>
      <c r="I2127" s="1">
        <f>COUNTA(ProductInfo[[#This Row],[P1]:[P15]])</f>
        <v>0</v>
      </c>
      <c r="J21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7" s="7"/>
      <c r="M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>
      <c r="A2128" s="54" t="s">
        <v>2223</v>
      </c>
      <c r="B2128" s="8" t="s">
        <v>2223</v>
      </c>
      <c r="C2128" s="1" t="str">
        <f>RIGHT(ProductInfo[[#This Row],[Drawing No]],1)</f>
        <v>1</v>
      </c>
      <c r="D2128" s="199" t="s">
        <v>2760</v>
      </c>
      <c r="E2128" s="17"/>
      <c r="F2128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8" s="38"/>
      <c r="H2128" s="38"/>
      <c r="I2128" s="1">
        <f>COUNTA(ProductInfo[[#This Row],[P1]:[P15]])</f>
        <v>0</v>
      </c>
      <c r="J21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8" s="7"/>
      <c r="M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>
      <c r="A2129" s="54" t="s">
        <v>2224</v>
      </c>
      <c r="B2129" s="8" t="s">
        <v>2224</v>
      </c>
      <c r="C2129" s="1" t="str">
        <f>RIGHT(ProductInfo[[#This Row],[Drawing No]],1)</f>
        <v>0</v>
      </c>
      <c r="D2129" s="199" t="s">
        <v>2761</v>
      </c>
      <c r="E2129" s="17"/>
      <c r="F212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29" s="38"/>
      <c r="H2129" s="38"/>
      <c r="I2129" s="1">
        <f>COUNTA(ProductInfo[[#This Row],[P1]:[P15]])</f>
        <v>0</v>
      </c>
      <c r="J21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29" s="7"/>
      <c r="M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>
      <c r="A2130" s="54" t="s">
        <v>2225</v>
      </c>
      <c r="B2130" s="8" t="s">
        <v>2225</v>
      </c>
      <c r="C2130" s="1" t="str">
        <f>RIGHT(ProductInfo[[#This Row],[Drawing No]],1)</f>
        <v>1</v>
      </c>
      <c r="D2130" s="199" t="s">
        <v>2762</v>
      </c>
      <c r="E2130" s="17"/>
      <c r="F213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0" s="38"/>
      <c r="H2130" s="38"/>
      <c r="I2130" s="1">
        <f>COUNTA(ProductInfo[[#This Row],[P1]:[P15]])</f>
        <v>0</v>
      </c>
      <c r="J21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0" s="7"/>
      <c r="M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>
      <c r="A2131" s="54" t="s">
        <v>2226</v>
      </c>
      <c r="B2131" s="8" t="s">
        <v>2226</v>
      </c>
      <c r="C2131" s="1" t="str">
        <f>RIGHT(ProductInfo[[#This Row],[Drawing No]],1)</f>
        <v>2</v>
      </c>
      <c r="D2131" s="199" t="s">
        <v>2866</v>
      </c>
      <c r="E2131" s="17"/>
      <c r="F213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1" s="38"/>
      <c r="H2131" s="38"/>
      <c r="I2131" s="1">
        <f>COUNTA(ProductInfo[[#This Row],[P1]:[P15]])</f>
        <v>0</v>
      </c>
      <c r="J21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1" s="7"/>
      <c r="M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>
      <c r="A2132" s="54" t="s">
        <v>2227</v>
      </c>
      <c r="B2132" s="8" t="s">
        <v>2227</v>
      </c>
      <c r="C2132" s="1" t="str">
        <f>RIGHT(ProductInfo[[#This Row],[Drawing No]],1)</f>
        <v>4</v>
      </c>
      <c r="D2132" s="201" t="s">
        <v>2867</v>
      </c>
      <c r="E2132" s="19"/>
      <c r="F2132" s="27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2" s="41"/>
      <c r="H2132" s="41"/>
      <c r="I2132" s="1">
        <f>COUNTA(ProductInfo[[#This Row],[P1]:[P15]])</f>
        <v>0</v>
      </c>
      <c r="J21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2" s="7"/>
      <c r="M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>
      <c r="A2133" s="54" t="s">
        <v>2228</v>
      </c>
      <c r="B2133" s="8" t="s">
        <v>2228</v>
      </c>
      <c r="C2133" s="1" t="str">
        <f>RIGHT(ProductInfo[[#This Row],[Drawing No]],1)</f>
        <v>4</v>
      </c>
      <c r="D2133" s="199" t="s">
        <v>2868</v>
      </c>
      <c r="E2133" s="17"/>
      <c r="F213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3" s="38"/>
      <c r="H2133" s="38"/>
      <c r="I2133" s="1">
        <f>COUNTA(ProductInfo[[#This Row],[P1]:[P15]])</f>
        <v>0</v>
      </c>
      <c r="J21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3" s="7"/>
      <c r="M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>
      <c r="A2134" s="15" t="s">
        <v>2229</v>
      </c>
      <c r="B2134" s="21" t="s">
        <v>2229</v>
      </c>
      <c r="C2134" s="1" t="str">
        <f>RIGHT(ProductInfo[[#This Row],[Drawing No]],1)</f>
        <v>0</v>
      </c>
      <c r="D2134" s="202" t="s">
        <v>2763</v>
      </c>
      <c r="E2134" s="17"/>
      <c r="F213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4" s="38"/>
      <c r="H2134" s="38"/>
      <c r="I2134" s="1">
        <f>COUNTA(ProductInfo[[#This Row],[P1]:[P15]])</f>
        <v>0</v>
      </c>
      <c r="J21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4" s="7"/>
      <c r="M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>
      <c r="A2135" s="54" t="s">
        <v>2230</v>
      </c>
      <c r="B2135" s="8" t="s">
        <v>2230</v>
      </c>
      <c r="C2135" s="1" t="str">
        <f>RIGHT(ProductInfo[[#This Row],[Drawing No]],1)</f>
        <v>5</v>
      </c>
      <c r="D2135" s="199" t="s">
        <v>3255</v>
      </c>
      <c r="E2135" s="17"/>
      <c r="F2135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5" s="38"/>
      <c r="H2135" s="3">
        <v>50</v>
      </c>
      <c r="I2135" s="1">
        <f>COUNTA(ProductInfo[[#This Row],[P1]:[P15]])</f>
        <v>0</v>
      </c>
      <c r="J21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5" s="7"/>
      <c r="M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>
      <c r="A2136" s="54" t="s">
        <v>2231</v>
      </c>
      <c r="B2136" s="8" t="s">
        <v>2231</v>
      </c>
      <c r="C2136" s="1" t="str">
        <f>RIGHT(ProductInfo[[#This Row],[Drawing No]],1)</f>
        <v>4</v>
      </c>
      <c r="D2136" s="199" t="s">
        <v>2764</v>
      </c>
      <c r="E2136" s="17"/>
      <c r="F213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6" s="38"/>
      <c r="H2136" s="38"/>
      <c r="I2136" s="1">
        <f>COUNTA(ProductInfo[[#This Row],[P1]:[P15]])</f>
        <v>0</v>
      </c>
      <c r="J21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6" s="7"/>
      <c r="M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>
      <c r="A2137" s="54" t="s">
        <v>2232</v>
      </c>
      <c r="B2137" s="8" t="s">
        <v>2232</v>
      </c>
      <c r="C2137" s="1" t="str">
        <f>RIGHT(ProductInfo[[#This Row],[Drawing No]],1)</f>
        <v>3</v>
      </c>
      <c r="D2137" s="195" t="s">
        <v>3089</v>
      </c>
      <c r="E2137" s="18"/>
      <c r="F213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7" s="32"/>
      <c r="H2137" s="32"/>
      <c r="I2137" s="1">
        <f>COUNTA(ProductInfo[[#This Row],[P1]:[P15]])</f>
        <v>0</v>
      </c>
      <c r="J21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7" s="7"/>
      <c r="M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>
      <c r="A2138" s="54" t="s">
        <v>2233</v>
      </c>
      <c r="B2138" s="8" t="s">
        <v>2233</v>
      </c>
      <c r="C2138" s="1" t="str">
        <f>RIGHT(ProductInfo[[#This Row],[Drawing No]],1)</f>
        <v>2</v>
      </c>
      <c r="D2138" s="199" t="s">
        <v>2765</v>
      </c>
      <c r="E2138" s="17"/>
      <c r="F2138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8" s="38"/>
      <c r="H2138" s="38"/>
      <c r="I2138" s="1">
        <f>COUNTA(ProductInfo[[#This Row],[P1]:[P15]])</f>
        <v>0</v>
      </c>
      <c r="J21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8" s="7"/>
      <c r="M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>
      <c r="A2139" s="54" t="s">
        <v>2234</v>
      </c>
      <c r="B2139" s="8" t="s">
        <v>2234</v>
      </c>
      <c r="C2139" s="1" t="str">
        <f>RIGHT(ProductInfo[[#This Row],[Drawing No]],1)</f>
        <v>0</v>
      </c>
      <c r="D2139" s="199" t="s">
        <v>2766</v>
      </c>
      <c r="E2139" s="17"/>
      <c r="F2139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39" s="38"/>
      <c r="H2139" s="38"/>
      <c r="I2139" s="1">
        <f>COUNTA(ProductInfo[[#This Row],[P1]:[P15]])</f>
        <v>0</v>
      </c>
      <c r="J21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39" s="7"/>
      <c r="M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>
      <c r="A2140" s="54" t="s">
        <v>2235</v>
      </c>
      <c r="B2140" s="8" t="s">
        <v>2235</v>
      </c>
      <c r="C2140" s="1" t="str">
        <f>RIGHT(ProductInfo[[#This Row],[Drawing No]],1)</f>
        <v>2</v>
      </c>
      <c r="D2140" s="199" t="s">
        <v>2767</v>
      </c>
      <c r="E2140" s="17"/>
      <c r="F2140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0" s="38"/>
      <c r="H2140" s="38"/>
      <c r="I2140" s="1">
        <f>COUNTA(ProductInfo[[#This Row],[P1]:[P15]])</f>
        <v>0</v>
      </c>
      <c r="J21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0" s="7"/>
      <c r="M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>
      <c r="A2141" s="54" t="s">
        <v>2236</v>
      </c>
      <c r="B2141" s="8" t="s">
        <v>2236</v>
      </c>
      <c r="C2141" s="1" t="str">
        <f>RIGHT(ProductInfo[[#This Row],[Drawing No]],1)</f>
        <v>1</v>
      </c>
      <c r="D2141" s="199" t="s">
        <v>2768</v>
      </c>
      <c r="E2141" s="17"/>
      <c r="F2141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1" s="38"/>
      <c r="H2141" s="38"/>
      <c r="I2141" s="1">
        <f>COUNTA(ProductInfo[[#This Row],[P1]:[P15]])</f>
        <v>0</v>
      </c>
      <c r="J21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1" s="7"/>
      <c r="M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15" customHeight="1">
      <c r="A2142" s="54" t="s">
        <v>2237</v>
      </c>
      <c r="B2142" s="8" t="s">
        <v>3626</v>
      </c>
      <c r="C2142" s="1" t="str">
        <f>RIGHT(ProductInfo[[#This Row],[Drawing No]],1)</f>
        <v>0</v>
      </c>
      <c r="D2142" s="195" t="s">
        <v>2985</v>
      </c>
      <c r="E2142" s="18" t="s">
        <v>3441</v>
      </c>
      <c r="F2142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142" s="3">
        <v>62</v>
      </c>
      <c r="H2142" s="3"/>
      <c r="I2142" s="1">
        <f>COUNTA(ProductInfo[[#This Row],[P1]:[P15]])</f>
        <v>2</v>
      </c>
      <c r="J21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2" s="7" t="s">
        <v>12</v>
      </c>
      <c r="M2142" s="7" t="s">
        <v>13</v>
      </c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>
      <c r="A2143" s="54" t="s">
        <v>2238</v>
      </c>
      <c r="B2143" s="8" t="s">
        <v>2238</v>
      </c>
      <c r="C2143" s="1" t="str">
        <f>RIGHT(ProductInfo[[#This Row],[Drawing No]],1)</f>
        <v>0</v>
      </c>
      <c r="D2143" s="199" t="s">
        <v>2769</v>
      </c>
      <c r="E2143" s="17"/>
      <c r="F214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3" s="38"/>
      <c r="H2143" s="38"/>
      <c r="I2143" s="1">
        <f>COUNTA(ProductInfo[[#This Row],[P1]:[P15]])</f>
        <v>2</v>
      </c>
      <c r="J21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3" s="4" t="s">
        <v>12</v>
      </c>
      <c r="M2143" s="4" t="s">
        <v>13</v>
      </c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>
      <c r="A2144" s="54" t="s">
        <v>2239</v>
      </c>
      <c r="B2144" s="8" t="s">
        <v>2239</v>
      </c>
      <c r="C2144" s="1" t="str">
        <f>RIGHT(ProductInfo[[#This Row],[Drawing No]],1)</f>
        <v>0</v>
      </c>
      <c r="D2144" s="174" t="s">
        <v>3090</v>
      </c>
      <c r="E2144" s="16"/>
      <c r="F21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4" s="31"/>
      <c r="H2144" s="31"/>
      <c r="I2144" s="1">
        <f>COUNTA(ProductInfo[[#This Row],[P1]:[P15]])</f>
        <v>0</v>
      </c>
      <c r="J21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4" s="7"/>
      <c r="M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>
      <c r="A2145" s="54" t="s">
        <v>2240</v>
      </c>
      <c r="B2145" s="8" t="s">
        <v>2240</v>
      </c>
      <c r="C2145" s="1" t="str">
        <f>RIGHT(ProductInfo[[#This Row],[Drawing No]],1)</f>
        <v>1</v>
      </c>
      <c r="D2145" s="174" t="s">
        <v>2770</v>
      </c>
      <c r="E2145" s="16"/>
      <c r="F21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5" s="31"/>
      <c r="H2145" s="31"/>
      <c r="I2145" s="1">
        <f>COUNTA(ProductInfo[[#This Row],[P1]:[P15]])</f>
        <v>0</v>
      </c>
      <c r="J21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5" s="7"/>
      <c r="M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>
      <c r="A2146" s="54" t="s">
        <v>2241</v>
      </c>
      <c r="B2146" s="8" t="s">
        <v>2241</v>
      </c>
      <c r="C2146" s="2" t="str">
        <f>RIGHT(ProductInfo[[#This Row],[Drawing No]],1)</f>
        <v>1</v>
      </c>
      <c r="D2146" s="174" t="s">
        <v>3274</v>
      </c>
      <c r="E2146" s="16"/>
      <c r="F21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6" s="31"/>
      <c r="H2146" s="31"/>
      <c r="I2146" s="2">
        <f>COUNTA(ProductInfo[[#This Row],[P1]:[P15]])</f>
        <v>0</v>
      </c>
      <c r="J2146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6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6" s="7"/>
      <c r="T2146" s="7"/>
      <c r="U2146" s="7"/>
      <c r="V2146" s="7"/>
      <c r="W2146" s="7"/>
      <c r="X2146" s="7"/>
      <c r="Y2146" s="7"/>
      <c r="Z2146" s="7"/>
    </row>
    <row r="2147" spans="1:26">
      <c r="A2147" s="54" t="s">
        <v>2242</v>
      </c>
      <c r="B2147" s="8" t="s">
        <v>2242</v>
      </c>
      <c r="C2147" s="1" t="str">
        <f>RIGHT(ProductInfo[[#This Row],[Drawing No]],1)</f>
        <v>1</v>
      </c>
      <c r="D2147" s="174" t="s">
        <v>2771</v>
      </c>
      <c r="E2147" s="16"/>
      <c r="F21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7" s="31"/>
      <c r="H2147" s="31"/>
      <c r="I2147" s="1">
        <f>COUNTA(ProductInfo[[#This Row],[P1]:[P15]])</f>
        <v>0</v>
      </c>
      <c r="J21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7" s="7"/>
      <c r="M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>
      <c r="A2148" s="54" t="s">
        <v>2243</v>
      </c>
      <c r="B2148" s="8" t="s">
        <v>2243</v>
      </c>
      <c r="C2148" s="2" t="str">
        <f>RIGHT(ProductInfo[[#This Row],[Drawing No]],1)</f>
        <v>1</v>
      </c>
      <c r="D2148" s="174" t="s">
        <v>3275</v>
      </c>
      <c r="E2148" s="16"/>
      <c r="F21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8" s="31"/>
      <c r="H2148" s="31"/>
      <c r="I2148" s="2">
        <f>COUNTA(ProductInfo[[#This Row],[P1]:[P15]])</f>
        <v>0</v>
      </c>
      <c r="J214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8" s="7"/>
      <c r="T2148" s="7"/>
      <c r="U2148" s="7"/>
      <c r="V2148" s="7"/>
      <c r="W2148" s="7"/>
      <c r="X2148" s="7"/>
      <c r="Y2148" s="7"/>
      <c r="Z2148" s="7"/>
    </row>
    <row r="2149" spans="1:26">
      <c r="A2149" s="54" t="s">
        <v>2244</v>
      </c>
      <c r="B2149" s="8" t="s">
        <v>2244</v>
      </c>
      <c r="C2149" s="1" t="str">
        <f>RIGHT(ProductInfo[[#This Row],[Drawing No]],1)</f>
        <v>2</v>
      </c>
      <c r="D2149" s="174" t="s">
        <v>2772</v>
      </c>
      <c r="E2149" s="16"/>
      <c r="F21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49" s="31"/>
      <c r="H2149" s="31"/>
      <c r="I2149" s="1">
        <f>COUNTA(ProductInfo[[#This Row],[P1]:[P15]])</f>
        <v>0</v>
      </c>
      <c r="J21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49" s="7"/>
      <c r="M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>
      <c r="A2150" s="54" t="s">
        <v>2245</v>
      </c>
      <c r="B2150" s="8" t="s">
        <v>2245</v>
      </c>
      <c r="C2150" s="1" t="str">
        <f>RIGHT(ProductInfo[[#This Row],[Drawing No]],1)</f>
        <v>2</v>
      </c>
      <c r="D2150" s="174" t="s">
        <v>2773</v>
      </c>
      <c r="E2150" s="16"/>
      <c r="F21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50" s="31"/>
      <c r="H2150" s="31"/>
      <c r="I2150" s="1">
        <f>COUNTA(ProductInfo[[#This Row],[P1]:[P15]])</f>
        <v>0</v>
      </c>
      <c r="J21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0" s="7"/>
      <c r="M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>
      <c r="A2151" s="54" t="s">
        <v>2246</v>
      </c>
      <c r="B2151" s="8" t="s">
        <v>4285</v>
      </c>
      <c r="C2151" s="1" t="str">
        <f>RIGHT(ProductInfo[[#This Row],[Drawing No]],1)</f>
        <v>7</v>
      </c>
      <c r="D2151" s="174" t="s">
        <v>6712</v>
      </c>
      <c r="E2151" s="16" t="s">
        <v>6529</v>
      </c>
      <c r="F215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151" s="31" t="s">
        <v>5664</v>
      </c>
      <c r="H2151" s="31" t="s">
        <v>5999</v>
      </c>
      <c r="I2151" s="1">
        <f>COUNTA(ProductInfo[[#This Row],[P1]:[P15]])</f>
        <v>4</v>
      </c>
      <c r="J21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51" s="7" t="s">
        <v>12</v>
      </c>
      <c r="M2151" s="7" t="s">
        <v>13</v>
      </c>
      <c r="N2151" s="4" t="s">
        <v>15</v>
      </c>
      <c r="O2151" s="4" t="s">
        <v>16</v>
      </c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>
      <c r="A2152" s="54" t="s">
        <v>2247</v>
      </c>
      <c r="B2152" s="8" t="s">
        <v>4285</v>
      </c>
      <c r="C2152" s="1" t="str">
        <f>RIGHT(ProductInfo[[#This Row],[Drawing No]],1)</f>
        <v>7</v>
      </c>
      <c r="D2152" s="174" t="s">
        <v>5583</v>
      </c>
      <c r="E2152" s="16" t="s">
        <v>6529</v>
      </c>
      <c r="F215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152" s="59">
        <v>78.5</v>
      </c>
      <c r="H2152" s="59">
        <v>100</v>
      </c>
      <c r="I2152" s="1">
        <f>COUNTA(ProductInfo[[#This Row],[P1]:[P15]])</f>
        <v>2</v>
      </c>
      <c r="J21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2" s="7" t="s">
        <v>12</v>
      </c>
      <c r="M2152" s="7" t="s">
        <v>13</v>
      </c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19.8">
      <c r="A2153" s="54" t="s">
        <v>2248</v>
      </c>
      <c r="B2153" s="8" t="s">
        <v>4285</v>
      </c>
      <c r="C2153" s="1" t="str">
        <f>RIGHT(ProductInfo[[#This Row],[Drawing No]],1)</f>
        <v>7</v>
      </c>
      <c r="D2153" s="174" t="s">
        <v>5663</v>
      </c>
      <c r="E2153" s="121" t="s">
        <v>6530</v>
      </c>
      <c r="F215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53" s="31" t="s">
        <v>5664</v>
      </c>
      <c r="H2153" s="31" t="s">
        <v>5999</v>
      </c>
      <c r="I2153" s="1">
        <f>COUNTA(ProductInfo[[#This Row],[P1]:[P15]])</f>
        <v>4</v>
      </c>
      <c r="J21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53" s="7" t="s">
        <v>12</v>
      </c>
      <c r="M2153" s="7" t="s">
        <v>13</v>
      </c>
      <c r="N2153" s="4" t="s">
        <v>15</v>
      </c>
      <c r="O2153" s="4" t="s">
        <v>16</v>
      </c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19.8">
      <c r="A2154" s="54" t="s">
        <v>2249</v>
      </c>
      <c r="B2154" s="8" t="s">
        <v>3661</v>
      </c>
      <c r="C2154" s="1" t="str">
        <f>RIGHT(ProductInfo[[#This Row],[Drawing No]],1)</f>
        <v>8</v>
      </c>
      <c r="D2154" s="195" t="s">
        <v>2995</v>
      </c>
      <c r="E2154" s="121" t="s">
        <v>6530</v>
      </c>
      <c r="F2154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54" s="3">
        <v>78.5</v>
      </c>
      <c r="H2154" s="59">
        <v>100</v>
      </c>
      <c r="I2154" s="1">
        <f>COUNTA(ProductInfo[[#This Row],[P1]:[P15]])</f>
        <v>4</v>
      </c>
      <c r="J21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54" s="7" t="s">
        <v>12</v>
      </c>
      <c r="M2154" s="7" t="s">
        <v>13</v>
      </c>
      <c r="N2154" s="4" t="s">
        <v>15</v>
      </c>
      <c r="O2154" s="4" t="s">
        <v>16</v>
      </c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>
      <c r="A2155" s="54" t="s">
        <v>2250</v>
      </c>
      <c r="B2155" s="8" t="s">
        <v>2250</v>
      </c>
      <c r="C2155" s="1" t="str">
        <f>RIGHT(ProductInfo[[#This Row],[Drawing No]],1)</f>
        <v>2</v>
      </c>
      <c r="D2155" s="174" t="s">
        <v>2774</v>
      </c>
      <c r="E2155" s="16" t="s">
        <v>3441</v>
      </c>
      <c r="F2155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155" s="59">
        <v>105.5</v>
      </c>
      <c r="H2155" s="59">
        <v>60</v>
      </c>
      <c r="I2155" s="1">
        <f>COUNTA(ProductInfo[[#This Row],[P1]:[P15]])</f>
        <v>2</v>
      </c>
      <c r="J21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5" s="7" t="s">
        <v>12</v>
      </c>
      <c r="M2155" s="7" t="s">
        <v>13</v>
      </c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>
      <c r="A2156" s="54" t="s">
        <v>2252</v>
      </c>
      <c r="B2156" s="8" t="s">
        <v>2252</v>
      </c>
      <c r="C2156" s="1" t="str">
        <f>RIGHT(ProductInfo[[#This Row],[Drawing No]],1)</f>
        <v>3</v>
      </c>
      <c r="D2156" s="199" t="s">
        <v>2775</v>
      </c>
      <c r="E2156" s="17"/>
      <c r="F215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56" s="38"/>
      <c r="H2156" s="38"/>
      <c r="I2156" s="1">
        <f>COUNTA(ProductInfo[[#This Row],[P1]:[P15]])</f>
        <v>0</v>
      </c>
      <c r="J21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6" s="7"/>
      <c r="M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>
      <c r="A2157" s="54" t="s">
        <v>2253</v>
      </c>
      <c r="B2157" s="8" t="s">
        <v>3661</v>
      </c>
      <c r="C2157" s="1" t="str">
        <f>RIGHT(ProductInfo[[#This Row],[Drawing No]],1)</f>
        <v>8</v>
      </c>
      <c r="D2157" s="174" t="s">
        <v>4849</v>
      </c>
      <c r="E2157" s="16" t="s">
        <v>7030</v>
      </c>
      <c r="F2157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157" s="59">
        <v>78.5</v>
      </c>
      <c r="H2157" s="59">
        <v>100</v>
      </c>
      <c r="I2157" s="1">
        <f>COUNTA(ProductInfo[[#This Row],[P1]:[P15]])</f>
        <v>4</v>
      </c>
      <c r="J21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57" s="7" t="s">
        <v>12</v>
      </c>
      <c r="M2157" s="7" t="s">
        <v>13</v>
      </c>
      <c r="N2157" s="4" t="s">
        <v>15</v>
      </c>
      <c r="O2157" s="4" t="s">
        <v>16</v>
      </c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>
      <c r="A2158" s="54" t="s">
        <v>2254</v>
      </c>
      <c r="B2158" s="8" t="s">
        <v>2254</v>
      </c>
      <c r="C2158" s="2" t="str">
        <f>RIGHT(ProductInfo[[#This Row],[Drawing No]],1)</f>
        <v>2</v>
      </c>
      <c r="D2158" s="174" t="s">
        <v>3212</v>
      </c>
      <c r="E2158" s="16"/>
      <c r="F21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58" s="31"/>
      <c r="H2158" s="31"/>
      <c r="I2158" s="2">
        <f>COUNTA(ProductInfo[[#This Row],[P1]:[P15]])</f>
        <v>0</v>
      </c>
      <c r="J215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5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8" s="4"/>
      <c r="T2158" s="7"/>
      <c r="U2158" s="7"/>
      <c r="V2158" s="7"/>
      <c r="W2158" s="7"/>
      <c r="X2158" s="7"/>
      <c r="Y2158" s="7"/>
      <c r="Z2158" s="7"/>
    </row>
    <row r="2159" spans="1:26">
      <c r="A2159" s="54" t="s">
        <v>2255</v>
      </c>
      <c r="B2159" s="8" t="s">
        <v>2255</v>
      </c>
      <c r="C2159" s="1" t="str">
        <f>RIGHT(ProductInfo[[#This Row],[Drawing No]],1)</f>
        <v>2</v>
      </c>
      <c r="D2159" s="174" t="s">
        <v>7022</v>
      </c>
      <c r="E2159" s="16"/>
      <c r="F21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59" s="31"/>
      <c r="H2159" s="31"/>
      <c r="I2159" s="1">
        <f>COUNTA(ProductInfo[[#This Row],[P1]:[P15]])</f>
        <v>0</v>
      </c>
      <c r="J21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59" s="7"/>
      <c r="M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19.8">
      <c r="A2160" s="54" t="s">
        <v>2256</v>
      </c>
      <c r="B2160" s="8" t="s">
        <v>4875</v>
      </c>
      <c r="C2160" s="1" t="str">
        <f>RIGHT(ProductInfo[[#This Row],[Drawing No]],1)</f>
        <v>0</v>
      </c>
      <c r="D2160" s="174" t="s">
        <v>5988</v>
      </c>
      <c r="E2160" s="121" t="s">
        <v>6530</v>
      </c>
      <c r="F2160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0" s="59">
        <v>78.5</v>
      </c>
      <c r="H2160" s="59">
        <v>100</v>
      </c>
      <c r="I2160" s="1">
        <f>COUNTA(ProductInfo[[#This Row],[P1]:[P15]])</f>
        <v>2</v>
      </c>
      <c r="J21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0" s="7" t="s">
        <v>12</v>
      </c>
      <c r="M2160" s="7" t="s">
        <v>13</v>
      </c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>
      <c r="A2161" s="54" t="s">
        <v>2257</v>
      </c>
      <c r="B2161" s="8" t="s">
        <v>2257</v>
      </c>
      <c r="C2161" s="1" t="str">
        <f>RIGHT(ProductInfo[[#This Row],[Drawing No]],1)</f>
        <v>1</v>
      </c>
      <c r="D2161" s="174" t="s">
        <v>2776</v>
      </c>
      <c r="E2161" s="16"/>
      <c r="F216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61" s="31"/>
      <c r="H2161" s="31"/>
      <c r="I2161" s="1">
        <f>COUNTA(ProductInfo[[#This Row],[P1]:[P15]])</f>
        <v>0</v>
      </c>
      <c r="J21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1" s="7"/>
      <c r="M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>
      <c r="A2162" s="54" t="s">
        <v>2258</v>
      </c>
      <c r="B2162" s="8" t="s">
        <v>2258</v>
      </c>
      <c r="C2162" s="1" t="str">
        <f>RIGHT(ProductInfo[[#This Row],[Drawing No]],1)</f>
        <v>1</v>
      </c>
      <c r="D2162" s="174" t="s">
        <v>2777</v>
      </c>
      <c r="E2162" s="16"/>
      <c r="F21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62" s="31"/>
      <c r="H2162" s="31"/>
      <c r="I2162" s="1">
        <f>COUNTA(ProductInfo[[#This Row],[P1]:[P15]])</f>
        <v>0</v>
      </c>
      <c r="J21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2" s="7"/>
      <c r="M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19.8">
      <c r="A2163" s="54" t="s">
        <v>2259</v>
      </c>
      <c r="B2163" s="8" t="s">
        <v>3661</v>
      </c>
      <c r="C2163" s="1" t="str">
        <f>RIGHT(ProductInfo[[#This Row],[Drawing No]],1)</f>
        <v>8</v>
      </c>
      <c r="D2163" s="174" t="s">
        <v>5134</v>
      </c>
      <c r="E2163" s="121" t="s">
        <v>6530</v>
      </c>
      <c r="F216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3" s="59">
        <v>78.5</v>
      </c>
      <c r="H2163" s="59">
        <v>100</v>
      </c>
      <c r="I2163" s="1">
        <f>COUNTA(ProductInfo[[#This Row],[P1]:[P15]])</f>
        <v>4</v>
      </c>
      <c r="J21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63" s="7" t="s">
        <v>12</v>
      </c>
      <c r="M2163" s="7" t="s">
        <v>13</v>
      </c>
      <c r="N2163" s="4" t="s">
        <v>15</v>
      </c>
      <c r="O2163" s="4" t="s">
        <v>16</v>
      </c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19.8">
      <c r="A2164" s="54" t="s">
        <v>2260</v>
      </c>
      <c r="B2164" s="8" t="s">
        <v>3661</v>
      </c>
      <c r="C2164" s="1" t="str">
        <f>RIGHT(ProductInfo[[#This Row],[Drawing No]],1)</f>
        <v>8</v>
      </c>
      <c r="D2164" s="195" t="s">
        <v>3022</v>
      </c>
      <c r="E2164" s="121" t="s">
        <v>6530</v>
      </c>
      <c r="F2164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4" s="3">
        <v>78.5</v>
      </c>
      <c r="H2164" s="59">
        <v>100</v>
      </c>
      <c r="I2164" s="1">
        <f>COUNTA(ProductInfo[[#This Row],[P1]:[P15]])</f>
        <v>4</v>
      </c>
      <c r="J21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64" s="7" t="s">
        <v>12</v>
      </c>
      <c r="M2164" s="7" t="s">
        <v>13</v>
      </c>
      <c r="N2164" s="4" t="s">
        <v>15</v>
      </c>
      <c r="O2164" s="4" t="s">
        <v>16</v>
      </c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19.8">
      <c r="A2165" s="54" t="s">
        <v>2261</v>
      </c>
      <c r="B2165" s="8" t="s">
        <v>3662</v>
      </c>
      <c r="C2165" s="1" t="str">
        <f>RIGHT(ProductInfo[[#This Row],[Drawing No]],1)</f>
        <v>0</v>
      </c>
      <c r="D2165" s="174" t="s">
        <v>2778</v>
      </c>
      <c r="E2165" s="121" t="s">
        <v>6530</v>
      </c>
      <c r="F2165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5" s="59">
        <v>83.5</v>
      </c>
      <c r="H2165" s="59"/>
      <c r="I2165" s="1">
        <f>COUNTA(ProductInfo[[#This Row],[P1]:[P15]])</f>
        <v>1</v>
      </c>
      <c r="J21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1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5" s="7" t="s">
        <v>13</v>
      </c>
      <c r="M2165" s="7"/>
      <c r="R2165" s="7"/>
      <c r="S2165" s="7"/>
    </row>
    <row r="2166" spans="1:26">
      <c r="A2166" s="54" t="s">
        <v>2262</v>
      </c>
      <c r="B2166" s="8" t="s">
        <v>3663</v>
      </c>
      <c r="C2166" s="1" t="str">
        <f>RIGHT(ProductInfo[[#This Row],[Drawing No]],1)</f>
        <v>0</v>
      </c>
      <c r="D2166" s="195" t="s">
        <v>3091</v>
      </c>
      <c r="E2166" s="18"/>
      <c r="F216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66" s="32"/>
      <c r="H2166" s="32"/>
      <c r="I2166" s="1">
        <f>COUNTA(ProductInfo[[#This Row],[P1]:[P15]])</f>
        <v>1</v>
      </c>
      <c r="J21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1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6" s="7" t="s">
        <v>13</v>
      </c>
      <c r="M2166" s="7"/>
      <c r="R2166" s="7"/>
      <c r="S2166" s="7"/>
    </row>
    <row r="2167" spans="1:26" ht="19.8">
      <c r="A2167" s="54" t="s">
        <v>2263</v>
      </c>
      <c r="B2167" s="8" t="s">
        <v>3664</v>
      </c>
      <c r="C2167" s="1" t="str">
        <f>RIGHT(ProductInfo[[#This Row],[Drawing No]],1)</f>
        <v>0</v>
      </c>
      <c r="D2167" s="174" t="s">
        <v>2779</v>
      </c>
      <c r="E2167" s="121" t="s">
        <v>6530</v>
      </c>
      <c r="F2167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7" s="59">
        <v>78.5</v>
      </c>
      <c r="H2167" s="59"/>
      <c r="I2167" s="1">
        <f>COUNTA(ProductInfo[[#This Row],[P1]:[P15]])</f>
        <v>1</v>
      </c>
      <c r="J21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1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7" s="7" t="s">
        <v>13</v>
      </c>
      <c r="M2167" s="7"/>
      <c r="R2167" s="7"/>
      <c r="S2167" s="7"/>
    </row>
    <row r="2168" spans="1:26" ht="19.8">
      <c r="A2168" s="54" t="s">
        <v>2264</v>
      </c>
      <c r="B2168" s="8" t="s">
        <v>3665</v>
      </c>
      <c r="C2168" s="1" t="str">
        <f>RIGHT(ProductInfo[[#This Row],[Drawing No]],1)</f>
        <v>0</v>
      </c>
      <c r="D2168" s="174" t="s">
        <v>2780</v>
      </c>
      <c r="E2168" s="121" t="s">
        <v>6530</v>
      </c>
      <c r="F2168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68" s="59">
        <v>78.5</v>
      </c>
      <c r="H2168" s="59"/>
      <c r="I2168" s="1">
        <f>COUNTA(ProductInfo[[#This Row],[P1]:[P15]])</f>
        <v>1</v>
      </c>
      <c r="J21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1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68" s="7" t="s">
        <v>13</v>
      </c>
      <c r="M2168" s="7"/>
      <c r="R2168" s="7"/>
      <c r="S2168" s="7"/>
    </row>
    <row r="2169" spans="1:26">
      <c r="A2169" s="54" t="s">
        <v>2265</v>
      </c>
      <c r="B2169" s="8" t="s">
        <v>3661</v>
      </c>
      <c r="C2169" s="1" t="str">
        <f>RIGHT(ProductInfo[[#This Row],[Drawing No]],1)</f>
        <v>8</v>
      </c>
      <c r="D2169" s="174" t="s">
        <v>5540</v>
      </c>
      <c r="E2169" s="18" t="s">
        <v>3441</v>
      </c>
      <c r="F2169" s="26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169" s="3">
        <v>78.5</v>
      </c>
      <c r="H2169" s="59">
        <v>100</v>
      </c>
      <c r="I2169" s="1">
        <f>COUNTA(ProductInfo[[#This Row],[P1]:[P15]])</f>
        <v>4</v>
      </c>
      <c r="J21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69" s="7" t="s">
        <v>12</v>
      </c>
      <c r="M2169" s="7" t="s">
        <v>13</v>
      </c>
      <c r="N2169" s="4" t="s">
        <v>15</v>
      </c>
      <c r="O2169" s="4" t="s">
        <v>16</v>
      </c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>
      <c r="A2170" s="54" t="s">
        <v>2266</v>
      </c>
      <c r="B2170" s="8" t="s">
        <v>3661</v>
      </c>
      <c r="C2170" s="1" t="str">
        <f>RIGHT(ProductInfo[[#This Row],[Drawing No]],1)</f>
        <v>8</v>
      </c>
      <c r="D2170" s="174" t="s">
        <v>5452</v>
      </c>
      <c r="E2170" s="16" t="s">
        <v>3441</v>
      </c>
      <c r="F2170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170" s="59">
        <v>78.5</v>
      </c>
      <c r="H2170" s="59">
        <v>60</v>
      </c>
      <c r="I2170" s="1">
        <f>COUNTA(ProductInfo[[#This Row],[P1]:[P15]])</f>
        <v>4</v>
      </c>
      <c r="J21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0" s="7" t="s">
        <v>12</v>
      </c>
      <c r="M2170" s="7" t="s">
        <v>13</v>
      </c>
      <c r="N2170" s="4" t="s">
        <v>15</v>
      </c>
      <c r="O2170" s="4" t="s">
        <v>16</v>
      </c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19.8">
      <c r="A2171" s="54" t="s">
        <v>2267</v>
      </c>
      <c r="B2171" s="8" t="s">
        <v>2267</v>
      </c>
      <c r="C2171" s="1" t="str">
        <f>RIGHT(ProductInfo[[#This Row],[Drawing No]],1)</f>
        <v>2</v>
      </c>
      <c r="D2171" s="174" t="s">
        <v>2781</v>
      </c>
      <c r="E2171" s="121" t="s">
        <v>6530</v>
      </c>
      <c r="F217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71" s="31" t="s">
        <v>5664</v>
      </c>
      <c r="H2171" s="31" t="s">
        <v>5999</v>
      </c>
      <c r="I2171" s="1">
        <f>COUNTA(ProductInfo[[#This Row],[P1]:[P15]])</f>
        <v>4</v>
      </c>
      <c r="J21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1" s="7" t="s">
        <v>12</v>
      </c>
      <c r="M2171" s="7" t="s">
        <v>13</v>
      </c>
      <c r="N2171" s="4" t="s">
        <v>15</v>
      </c>
      <c r="O2171" s="4" t="s">
        <v>16</v>
      </c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19.8">
      <c r="A2172" s="54" t="s">
        <v>2268</v>
      </c>
      <c r="B2172" s="8" t="s">
        <v>3661</v>
      </c>
      <c r="C2172" s="2" t="str">
        <f>RIGHT(ProductInfo[[#This Row],[Drawing No]],1)</f>
        <v>8</v>
      </c>
      <c r="D2172" s="201" t="s">
        <v>2446</v>
      </c>
      <c r="E2172" s="121" t="s">
        <v>6530</v>
      </c>
      <c r="F2172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172" s="59">
        <v>78.5</v>
      </c>
      <c r="H2172" s="59">
        <v>100</v>
      </c>
      <c r="I2172" s="1">
        <f>COUNTA(ProductInfo[[#This Row],[P1]:[P15]])</f>
        <v>4</v>
      </c>
      <c r="J21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2" s="7" t="s">
        <v>12</v>
      </c>
      <c r="M2172" s="7" t="s">
        <v>13</v>
      </c>
      <c r="N2172" s="4" t="s">
        <v>15</v>
      </c>
      <c r="O2172" s="4" t="s">
        <v>16</v>
      </c>
      <c r="R2172" s="7"/>
      <c r="S2172" s="7"/>
    </row>
    <row r="2173" spans="1:26">
      <c r="A2173" s="54" t="s">
        <v>2269</v>
      </c>
      <c r="B2173" s="8" t="s">
        <v>3661</v>
      </c>
      <c r="C2173" s="1" t="str">
        <f>RIGHT(ProductInfo[[#This Row],[Drawing No]],1)</f>
        <v>8</v>
      </c>
      <c r="D2173" s="199" t="s">
        <v>6667</v>
      </c>
      <c r="E2173" s="17" t="s">
        <v>3441</v>
      </c>
      <c r="F2173" s="25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173" s="61">
        <v>105.5</v>
      </c>
      <c r="H2173" s="61">
        <v>100</v>
      </c>
      <c r="I2173" s="1">
        <f>COUNTA(ProductInfo[[#This Row],[P1]:[P15]])</f>
        <v>4</v>
      </c>
      <c r="J21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3" s="7" t="s">
        <v>12</v>
      </c>
      <c r="M2173" s="7" t="s">
        <v>13</v>
      </c>
      <c r="N2173" s="4" t="s">
        <v>15</v>
      </c>
      <c r="O2173" s="4" t="s">
        <v>16</v>
      </c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>
      <c r="A2174" s="54" t="s">
        <v>2270</v>
      </c>
      <c r="B2174" s="8" t="s">
        <v>3661</v>
      </c>
      <c r="C2174" s="1" t="str">
        <f>RIGHT(ProductInfo[[#This Row],[Drawing No]],1)</f>
        <v>8</v>
      </c>
      <c r="D2174" s="195" t="s">
        <v>6776</v>
      </c>
      <c r="E2174" s="18" t="s">
        <v>6529</v>
      </c>
      <c r="F2174" s="26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174" s="32" t="s">
        <v>5664</v>
      </c>
      <c r="H2174" s="32" t="s">
        <v>5999</v>
      </c>
      <c r="I2174" s="1">
        <f>COUNTA(ProductInfo[[#This Row],[P1]:[P15]])</f>
        <v>4</v>
      </c>
      <c r="J21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4" s="7" t="s">
        <v>12</v>
      </c>
      <c r="M2174" s="7" t="s">
        <v>13</v>
      </c>
      <c r="N2174" s="4" t="s">
        <v>15</v>
      </c>
      <c r="O2174" s="4" t="s">
        <v>16</v>
      </c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>
      <c r="A2175" s="54" t="s">
        <v>2271</v>
      </c>
      <c r="B2175" s="8" t="s">
        <v>3661</v>
      </c>
      <c r="C2175" s="1" t="str">
        <f>RIGHT(ProductInfo[[#This Row],[Drawing No]],1)</f>
        <v>8</v>
      </c>
      <c r="D2175" s="174" t="s">
        <v>6030</v>
      </c>
      <c r="E2175" s="18" t="s">
        <v>3421</v>
      </c>
      <c r="F2175" s="26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175" s="3">
        <v>78.5</v>
      </c>
      <c r="H2175" s="59">
        <v>100</v>
      </c>
      <c r="I2175" s="1">
        <f>COUNTA(ProductInfo[[#This Row],[P1]:[P15]])</f>
        <v>4</v>
      </c>
      <c r="J21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75" s="7" t="s">
        <v>12</v>
      </c>
      <c r="M2175" s="7" t="s">
        <v>13</v>
      </c>
      <c r="N2175" s="4" t="s">
        <v>15</v>
      </c>
      <c r="O2175" s="4" t="s">
        <v>16</v>
      </c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>
      <c r="A2176" s="54" t="s">
        <v>2272</v>
      </c>
      <c r="B2176" s="8" t="s">
        <v>2272</v>
      </c>
      <c r="C2176" s="1" t="str">
        <f>RIGHT(ProductInfo[[#This Row],[Drawing No]],1)</f>
        <v>2</v>
      </c>
      <c r="D2176" s="174" t="s">
        <v>2782</v>
      </c>
      <c r="E2176" s="16"/>
      <c r="F21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76" s="31"/>
      <c r="H2176" s="31"/>
      <c r="I2176" s="1">
        <f>COUNTA(ProductInfo[[#This Row],[P1]:[P15]])</f>
        <v>0</v>
      </c>
      <c r="J21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76" s="7"/>
      <c r="M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>
      <c r="A2177" s="54" t="s">
        <v>2273</v>
      </c>
      <c r="B2177" s="8" t="s">
        <v>2273</v>
      </c>
      <c r="C2177" s="1" t="str">
        <f>RIGHT(ProductInfo[[#This Row],[Drawing No]],1)</f>
        <v>2</v>
      </c>
      <c r="D2177" s="174" t="s">
        <v>2783</v>
      </c>
      <c r="E2177" s="16"/>
      <c r="F21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77" s="31"/>
      <c r="H2177" s="31"/>
      <c r="I2177" s="1">
        <f>COUNTA(ProductInfo[[#This Row],[P1]:[P15]])</f>
        <v>0</v>
      </c>
      <c r="J21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77" s="7"/>
      <c r="M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>
      <c r="A2178" s="54" t="s">
        <v>2274</v>
      </c>
      <c r="B2178" s="8" t="s">
        <v>2274</v>
      </c>
      <c r="C2178" s="1" t="str">
        <f>RIGHT(ProductInfo[[#This Row],[Drawing No]],1)</f>
        <v>2</v>
      </c>
      <c r="D2178" s="174" t="s">
        <v>2784</v>
      </c>
      <c r="E2178" s="16"/>
      <c r="F217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78" s="31"/>
      <c r="H2178" s="31"/>
      <c r="I2178" s="1">
        <f>COUNTA(ProductInfo[[#This Row],[P1]:[P15]])</f>
        <v>0</v>
      </c>
      <c r="J21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78" s="7"/>
      <c r="M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>
      <c r="A2179" s="54" t="s">
        <v>2275</v>
      </c>
      <c r="B2179" s="8" t="s">
        <v>3666</v>
      </c>
      <c r="C2179" s="1" t="str">
        <f>RIGHT(ProductInfo[[#This Row],[Drawing No]],1)</f>
        <v>1</v>
      </c>
      <c r="D2179" s="195" t="s">
        <v>2785</v>
      </c>
      <c r="E2179" s="18" t="s">
        <v>3660</v>
      </c>
      <c r="F217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79" s="3">
        <v>78.8</v>
      </c>
      <c r="H2179" s="3"/>
      <c r="I2179" s="1">
        <f>COUNTA(ProductInfo[[#This Row],[P1]:[P15]])</f>
        <v>2</v>
      </c>
      <c r="J21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79" s="7" t="s">
        <v>12</v>
      </c>
      <c r="M2179" s="7" t="s">
        <v>13</v>
      </c>
      <c r="R2179" s="7"/>
      <c r="S2179" s="7"/>
    </row>
    <row r="2180" spans="1:26">
      <c r="A2180" s="54" t="s">
        <v>2276</v>
      </c>
      <c r="B2180" s="8" t="s">
        <v>2276</v>
      </c>
      <c r="C2180" s="1" t="str">
        <f>RIGHT(ProductInfo[[#This Row],[Drawing No]],1)</f>
        <v>1</v>
      </c>
      <c r="D2180" s="195" t="s">
        <v>2786</v>
      </c>
      <c r="E2180" s="18"/>
      <c r="F218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0" s="32"/>
      <c r="H2180" s="32"/>
      <c r="I2180" s="1">
        <f>COUNTA(ProductInfo[[#This Row],[P1]:[P15]])</f>
        <v>0</v>
      </c>
      <c r="J21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0" s="7"/>
      <c r="M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>
      <c r="A2181" s="54" t="s">
        <v>3709</v>
      </c>
      <c r="B2181" s="8" t="s">
        <v>3710</v>
      </c>
      <c r="C2181" s="2" t="str">
        <f>RIGHT(ProductInfo[[#This Row],[Drawing No]],1)</f>
        <v>1</v>
      </c>
      <c r="D2181" s="174" t="s">
        <v>3689</v>
      </c>
      <c r="E2181" s="16"/>
      <c r="F21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1" s="42" t="s">
        <v>3690</v>
      </c>
      <c r="H2181" s="93">
        <v>100</v>
      </c>
      <c r="I2181" s="1">
        <f>COUNTA(ProductInfo[[#This Row],[P1]:[P15]])</f>
        <v>2</v>
      </c>
      <c r="J21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1" s="4" t="s">
        <v>12</v>
      </c>
      <c r="M2181" s="4" t="s">
        <v>13</v>
      </c>
    </row>
    <row r="2182" spans="1:26">
      <c r="A2182" s="54" t="s">
        <v>4328</v>
      </c>
      <c r="B2182" s="8" t="s">
        <v>4327</v>
      </c>
      <c r="C2182" s="2" t="str">
        <f>RIGHT(ProductInfo[[#This Row],[Drawing No]],1)</f>
        <v>0</v>
      </c>
      <c r="D2182" s="174" t="s">
        <v>4329</v>
      </c>
      <c r="E2182" s="16" t="s">
        <v>7030</v>
      </c>
      <c r="F2182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182" s="59">
        <v>75</v>
      </c>
      <c r="H2182" s="59">
        <v>100</v>
      </c>
      <c r="I2182" s="1">
        <f>COUNTA(ProductInfo[[#This Row],[P1]:[P15]])</f>
        <v>2</v>
      </c>
      <c r="J21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2" s="4" t="s">
        <v>12</v>
      </c>
      <c r="M2182" s="4" t="s">
        <v>13</v>
      </c>
    </row>
    <row r="2183" spans="1:26">
      <c r="A2183" s="54" t="s">
        <v>2277</v>
      </c>
      <c r="B2183" s="8" t="s">
        <v>2277</v>
      </c>
      <c r="C2183" s="1" t="str">
        <f>RIGHT(ProductInfo[[#This Row],[Drawing No]],1)</f>
        <v>1</v>
      </c>
      <c r="D2183" s="174" t="s">
        <v>2787</v>
      </c>
      <c r="E2183" s="16"/>
      <c r="F21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3" s="31"/>
      <c r="H2183" s="31"/>
      <c r="I2183" s="1">
        <f>COUNTA(ProductInfo[[#This Row],[P1]:[P15]])</f>
        <v>0</v>
      </c>
      <c r="J21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3" s="7"/>
      <c r="M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>
      <c r="A2184" s="54" t="s">
        <v>2278</v>
      </c>
      <c r="B2184" s="8" t="s">
        <v>2278</v>
      </c>
      <c r="C2184" s="1" t="str">
        <f>RIGHT(ProductInfo[[#This Row],[Drawing No]],1)</f>
        <v>1</v>
      </c>
      <c r="D2184" s="174" t="s">
        <v>2788</v>
      </c>
      <c r="E2184" s="16"/>
      <c r="F2184" s="23"/>
      <c r="G2184" s="31"/>
      <c r="H2184" s="31"/>
      <c r="I2184" s="1">
        <f>COUNTA(ProductInfo[[#This Row],[P1]:[P15]])</f>
        <v>0</v>
      </c>
      <c r="J21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4" s="7"/>
      <c r="M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>
      <c r="A2185" s="54" t="s">
        <v>2279</v>
      </c>
      <c r="B2185" s="8" t="s">
        <v>3661</v>
      </c>
      <c r="C2185" s="1" t="str">
        <f>RIGHT(ProductInfo[[#This Row],[Drawing No]],1)</f>
        <v>8</v>
      </c>
      <c r="D2185" s="174" t="s">
        <v>5114</v>
      </c>
      <c r="E2185" s="16" t="s">
        <v>6529</v>
      </c>
      <c r="F218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185" s="59">
        <v>78.5</v>
      </c>
      <c r="H2185" s="59">
        <v>100</v>
      </c>
      <c r="I2185" s="1">
        <f>COUNTA(ProductInfo[[#This Row],[P1]:[P15]])</f>
        <v>4</v>
      </c>
      <c r="J21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85" s="7" t="s">
        <v>12</v>
      </c>
      <c r="M2185" s="7" t="s">
        <v>13</v>
      </c>
      <c r="N2185" s="4" t="s">
        <v>15</v>
      </c>
      <c r="O2185" s="4" t="s">
        <v>16</v>
      </c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>
      <c r="A2186" s="54" t="s">
        <v>2280</v>
      </c>
      <c r="B2186" s="8" t="s">
        <v>2280</v>
      </c>
      <c r="C2186" s="1" t="str">
        <f>RIGHT(ProductInfo[[#This Row],[Drawing No]],1)</f>
        <v>2</v>
      </c>
      <c r="D2186" s="174" t="s">
        <v>2789</v>
      </c>
      <c r="E2186" s="16"/>
      <c r="F21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6" s="31"/>
      <c r="H2186" s="31"/>
      <c r="I2186" s="1">
        <f>COUNTA(ProductInfo[[#This Row],[P1]:[P15]])</f>
        <v>0</v>
      </c>
      <c r="J21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6" s="7"/>
      <c r="M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>
      <c r="A2187" s="54" t="s">
        <v>4845</v>
      </c>
      <c r="B2187" s="8" t="s">
        <v>3661</v>
      </c>
      <c r="C2187" s="1" t="str">
        <f>RIGHT(ProductInfo[[#This Row],[Drawing No]],1)</f>
        <v>8</v>
      </c>
      <c r="D2187" s="201" t="s">
        <v>4868</v>
      </c>
      <c r="E2187" s="19" t="s">
        <v>7030</v>
      </c>
      <c r="F2187" s="27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187" s="60">
        <v>78.5</v>
      </c>
      <c r="H2187" s="59">
        <v>100</v>
      </c>
      <c r="I2187" s="1">
        <f>COUNTA(ProductInfo[[#This Row],[P1]:[P15]])</f>
        <v>4</v>
      </c>
      <c r="J21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87" s="7" t="s">
        <v>12</v>
      </c>
      <c r="M2187" s="7" t="s">
        <v>13</v>
      </c>
      <c r="N2187" s="4" t="s">
        <v>15</v>
      </c>
      <c r="O2187" s="4" t="s">
        <v>16</v>
      </c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>
      <c r="A2188" s="54" t="s">
        <v>2281</v>
      </c>
      <c r="B2188" s="8" t="s">
        <v>2281</v>
      </c>
      <c r="C2188" s="2" t="str">
        <f>RIGHT(ProductInfo[[#This Row],[Drawing No]],1)</f>
        <v>1</v>
      </c>
      <c r="D2188" s="174" t="s">
        <v>3276</v>
      </c>
      <c r="E2188" s="16"/>
      <c r="F21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8" s="31"/>
      <c r="H2188" s="31"/>
      <c r="I2188" s="2">
        <f>COUNTA(ProductInfo[[#This Row],[P1]:[P15]])</f>
        <v>0</v>
      </c>
      <c r="J218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8" s="7"/>
      <c r="T2188" s="7"/>
      <c r="U2188" s="7"/>
      <c r="V2188" s="7"/>
      <c r="W2188" s="7"/>
      <c r="X2188" s="7"/>
      <c r="Y2188" s="7"/>
      <c r="Z2188" s="7"/>
    </row>
    <row r="2189" spans="1:26">
      <c r="A2189" s="54" t="s">
        <v>2282</v>
      </c>
      <c r="B2189" s="8" t="s">
        <v>2282</v>
      </c>
      <c r="C2189" s="1" t="str">
        <f>RIGHT(ProductInfo[[#This Row],[Drawing No]],1)</f>
        <v>1</v>
      </c>
      <c r="D2189" s="174" t="s">
        <v>2790</v>
      </c>
      <c r="E2189" s="16"/>
      <c r="F218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89" s="31"/>
      <c r="H2189" s="31"/>
      <c r="I2189" s="1">
        <f>COUNTA(ProductInfo[[#This Row],[P1]:[P15]])</f>
        <v>0</v>
      </c>
      <c r="J21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89" s="7"/>
      <c r="M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>
      <c r="A2190" s="54" t="s">
        <v>2283</v>
      </c>
      <c r="B2190" s="8" t="s">
        <v>2283</v>
      </c>
      <c r="C2190" s="2" t="str">
        <f>RIGHT(ProductInfo[[#This Row],[Drawing No]],1)</f>
        <v>1</v>
      </c>
      <c r="D2190" s="174" t="s">
        <v>3277</v>
      </c>
      <c r="E2190" s="16"/>
      <c r="F219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90" s="31"/>
      <c r="H2190" s="31"/>
      <c r="I2190" s="2">
        <f>COUNTA(ProductInfo[[#This Row],[P1]:[P15]])</f>
        <v>0</v>
      </c>
      <c r="J2190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90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0" s="7"/>
      <c r="T2190" s="7"/>
      <c r="U2190" s="7"/>
      <c r="V2190" s="7"/>
      <c r="W2190" s="7"/>
      <c r="X2190" s="7"/>
      <c r="Y2190" s="7"/>
      <c r="Z2190" s="7"/>
    </row>
    <row r="2191" spans="1:26">
      <c r="A2191" s="54" t="s">
        <v>2284</v>
      </c>
      <c r="B2191" s="8" t="s">
        <v>2284</v>
      </c>
      <c r="C2191" s="1" t="str">
        <f>RIGHT(ProductInfo[[#This Row],[Drawing No]],1)</f>
        <v>2</v>
      </c>
      <c r="D2191" s="174" t="s">
        <v>2791</v>
      </c>
      <c r="E2191" s="16"/>
      <c r="F219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191" s="31"/>
      <c r="H2191" s="31"/>
      <c r="I2191" s="1">
        <f>COUNTA(ProductInfo[[#This Row],[P1]:[P15]])</f>
        <v>0</v>
      </c>
      <c r="J21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1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1" s="7"/>
      <c r="M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>
      <c r="A2192" s="54" t="s">
        <v>2285</v>
      </c>
      <c r="B2192" s="8" t="s">
        <v>4285</v>
      </c>
      <c r="C2192" s="1" t="str">
        <f>RIGHT(ProductInfo[[#This Row],[Drawing No]],1)</f>
        <v>7</v>
      </c>
      <c r="D2192" s="174" t="s">
        <v>2792</v>
      </c>
      <c r="E2192" s="16" t="s">
        <v>7030</v>
      </c>
      <c r="F2192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192" s="59">
        <v>78.5</v>
      </c>
      <c r="H2192" s="59"/>
      <c r="I2192" s="1">
        <f>COUNTA(ProductInfo[[#This Row],[P1]:[P15]])</f>
        <v>2</v>
      </c>
      <c r="J21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2" s="7" t="s">
        <v>12</v>
      </c>
      <c r="M2192" s="7" t="s">
        <v>13</v>
      </c>
      <c r="R2192" s="7"/>
      <c r="S2192" s="7"/>
    </row>
    <row r="2193" spans="1:26">
      <c r="A2193" s="54" t="s">
        <v>2286</v>
      </c>
      <c r="B2193" s="8" t="s">
        <v>3661</v>
      </c>
      <c r="C2193" s="1" t="str">
        <f>RIGHT(ProductInfo[[#This Row],[Drawing No]],1)</f>
        <v>8</v>
      </c>
      <c r="D2193" s="174" t="s">
        <v>2793</v>
      </c>
      <c r="E2193" s="16" t="s">
        <v>4561</v>
      </c>
      <c r="F2193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193" s="59">
        <v>78.5</v>
      </c>
      <c r="H2193" s="59">
        <v>60</v>
      </c>
      <c r="I2193" s="1">
        <f>COUNTA(ProductInfo[[#This Row],[P1]:[P15]])</f>
        <v>4</v>
      </c>
      <c r="J21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193" s="7" t="s">
        <v>12</v>
      </c>
      <c r="M2193" s="7" t="s">
        <v>13</v>
      </c>
      <c r="N2193" s="4" t="s">
        <v>15</v>
      </c>
      <c r="O2193" s="4" t="s">
        <v>16</v>
      </c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>
      <c r="A2194" s="54" t="s">
        <v>2288</v>
      </c>
      <c r="B2194" s="8" t="s">
        <v>4041</v>
      </c>
      <c r="C2194" s="1" t="str">
        <f>RIGHT(ProductInfo[[#This Row],[Drawing No]],1)</f>
        <v>1</v>
      </c>
      <c r="D2194" s="174" t="s">
        <v>2794</v>
      </c>
      <c r="E2194" s="19" t="s">
        <v>6529</v>
      </c>
      <c r="F2194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194" s="60">
        <v>88.5</v>
      </c>
      <c r="H2194" s="60">
        <v>100</v>
      </c>
      <c r="I2194" s="1">
        <f>COUNTA(ProductInfo[[#This Row],[P1]:[P15]])</f>
        <v>2</v>
      </c>
      <c r="J21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4" s="7" t="s">
        <v>12</v>
      </c>
      <c r="M2194" s="7" t="s">
        <v>13</v>
      </c>
      <c r="R2194" s="7"/>
      <c r="S2194" s="7"/>
    </row>
    <row r="2195" spans="1:26">
      <c r="A2195" s="54" t="s">
        <v>2289</v>
      </c>
      <c r="B2195" s="8" t="s">
        <v>3671</v>
      </c>
      <c r="C2195" s="1" t="str">
        <f>RIGHT(ProductInfo[[#This Row],[Drawing No]],1)</f>
        <v>0</v>
      </c>
      <c r="D2195" s="174" t="s">
        <v>2795</v>
      </c>
      <c r="E2195" s="16" t="s">
        <v>7030</v>
      </c>
      <c r="F2195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195" s="31" t="s">
        <v>5664</v>
      </c>
      <c r="H2195" s="31" t="s">
        <v>5999</v>
      </c>
      <c r="I2195" s="1">
        <f>COUNTA(ProductInfo[[#This Row],[P1]:[P15]])</f>
        <v>2</v>
      </c>
      <c r="J21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5" s="7" t="s">
        <v>12</v>
      </c>
      <c r="M2195" s="7" t="s">
        <v>13</v>
      </c>
      <c r="R2195" s="7"/>
      <c r="S2195" s="7"/>
    </row>
    <row r="2196" spans="1:26" ht="25.8">
      <c r="A2196" s="54" t="s">
        <v>4533</v>
      </c>
      <c r="B2196" s="8" t="s">
        <v>4532</v>
      </c>
      <c r="C2196" s="2" t="str">
        <f>RIGHT(ProductInfo[[#This Row],[Drawing No]],1)</f>
        <v>0</v>
      </c>
      <c r="D2196" s="174" t="s">
        <v>4534</v>
      </c>
      <c r="E2196" s="258" t="s">
        <v>7037</v>
      </c>
      <c r="F2196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196" s="59">
        <v>51</v>
      </c>
      <c r="H2196" s="59">
        <v>100</v>
      </c>
      <c r="I2196" s="1">
        <f>COUNTA(ProductInfo[[#This Row],[P1]:[P15]])</f>
        <v>2</v>
      </c>
      <c r="J21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6" s="4" t="s">
        <v>12</v>
      </c>
      <c r="M2196" s="4" t="s">
        <v>13</v>
      </c>
    </row>
    <row r="2197" spans="1:26" ht="25.8">
      <c r="A2197" s="54" t="s">
        <v>2290</v>
      </c>
      <c r="B2197" s="8" t="s">
        <v>6566</v>
      </c>
      <c r="C2197" s="1" t="str">
        <f>RIGHT(ProductInfo[[#This Row],[Drawing No]],1)</f>
        <v>0</v>
      </c>
      <c r="D2197" s="174" t="s">
        <v>6565</v>
      </c>
      <c r="E2197" s="258" t="s">
        <v>7037</v>
      </c>
      <c r="F2197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197" s="31" t="s">
        <v>6467</v>
      </c>
      <c r="H2197" s="31" t="s">
        <v>5999</v>
      </c>
      <c r="I2197" s="1">
        <f>COUNTA(ProductInfo[[#This Row],[P1]:[P15]])</f>
        <v>3</v>
      </c>
      <c r="J21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197" s="4" t="s">
        <v>12</v>
      </c>
      <c r="M2197" s="4" t="s">
        <v>13</v>
      </c>
      <c r="N2197" s="4" t="s">
        <v>15</v>
      </c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>
      <c r="A2198" s="54" t="s">
        <v>2292</v>
      </c>
      <c r="B2198" s="8" t="s">
        <v>2292</v>
      </c>
      <c r="C2198" s="1" t="str">
        <f>RIGHT(ProductInfo[[#This Row],[Drawing No]],1)</f>
        <v>1</v>
      </c>
      <c r="D2198" s="174" t="s">
        <v>6663</v>
      </c>
      <c r="E2198" s="16"/>
      <c r="F2198" s="23"/>
      <c r="G2198" s="31"/>
      <c r="H2198" s="31"/>
      <c r="I2198" s="1">
        <f>COUNTA(ProductInfo[[#This Row],[P1]:[P15]])</f>
        <v>3</v>
      </c>
      <c r="J21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198" s="7" t="s">
        <v>12</v>
      </c>
      <c r="M2198" s="7" t="s">
        <v>15</v>
      </c>
      <c r="N2198" s="4" t="s">
        <v>13</v>
      </c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>
      <c r="A2199" s="54" t="s">
        <v>5217</v>
      </c>
      <c r="B2199" s="8" t="s">
        <v>5216</v>
      </c>
      <c r="C2199" s="2" t="str">
        <f>RIGHT(ProductInfo[[#This Row],[Drawing No]],1)</f>
        <v>0</v>
      </c>
      <c r="D2199" s="174" t="s">
        <v>4973</v>
      </c>
      <c r="E2199" s="16" t="s">
        <v>3494</v>
      </c>
      <c r="F2199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199" s="59">
        <v>54</v>
      </c>
      <c r="H2199" s="59">
        <v>100</v>
      </c>
      <c r="I2199" s="1">
        <f>COUNTA(ProductInfo[[#This Row],[P1]:[P15]])</f>
        <v>2</v>
      </c>
      <c r="J21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1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199" s="4" t="s">
        <v>12</v>
      </c>
      <c r="M2199" s="4" t="s">
        <v>13</v>
      </c>
    </row>
    <row r="2200" spans="1:26" ht="24.75" customHeight="1">
      <c r="A2200" s="54" t="s">
        <v>4291</v>
      </c>
      <c r="B2200" s="8" t="s">
        <v>4290</v>
      </c>
      <c r="C2200" s="2" t="str">
        <f>RIGHT(ProductInfo[[#This Row],[Drawing No]],1)</f>
        <v>0</v>
      </c>
      <c r="D2200" s="174" t="s">
        <v>6664</v>
      </c>
      <c r="E2200" s="242" t="s">
        <v>6728</v>
      </c>
      <c r="F2200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200" s="59">
        <v>56</v>
      </c>
      <c r="H2200" s="59">
        <v>100</v>
      </c>
      <c r="I2200" s="1">
        <f>COUNTA(ProductInfo[[#This Row],[P1]:[P15]])</f>
        <v>2</v>
      </c>
      <c r="J22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0" s="4" t="s">
        <v>12</v>
      </c>
      <c r="M2200" s="4" t="s">
        <v>13</v>
      </c>
    </row>
    <row r="2201" spans="1:26">
      <c r="A2201" s="54" t="s">
        <v>2293</v>
      </c>
      <c r="B2201" s="8" t="s">
        <v>2293</v>
      </c>
      <c r="C2201" s="1" t="str">
        <f>RIGHT(ProductInfo[[#This Row],[Drawing No]],1)</f>
        <v>1</v>
      </c>
      <c r="D2201" s="174" t="s">
        <v>2796</v>
      </c>
      <c r="E2201" s="16"/>
      <c r="F220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1" s="31"/>
      <c r="H2201" s="31"/>
      <c r="I2201" s="1">
        <f>COUNTA(ProductInfo[[#This Row],[P1]:[P15]])</f>
        <v>0</v>
      </c>
      <c r="J22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1" s="7"/>
      <c r="M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>
      <c r="A2202" s="54" t="s">
        <v>2294</v>
      </c>
      <c r="B2202" s="8" t="s">
        <v>2294</v>
      </c>
      <c r="C2202" s="1" t="str">
        <f>RIGHT(ProductInfo[[#This Row],[Drawing No]],1)</f>
        <v>0</v>
      </c>
      <c r="D2202" s="174" t="s">
        <v>2797</v>
      </c>
      <c r="E2202" s="16" t="s">
        <v>3718</v>
      </c>
      <c r="F2202" s="23" t="str">
        <f>IFERROR(INDEX(MaterialCode[รายละเอียด],MATCH(ProductInfo[[#This Row],[Material Code]],MaterialCode[Material Code],0)),"ไม่พบวัตถุดิบ")</f>
        <v>MATT FORDGE G M35</v>
      </c>
      <c r="G2202" s="59">
        <v>1</v>
      </c>
      <c r="H2202" s="3">
        <v>50</v>
      </c>
      <c r="I2202" s="1">
        <f>COUNTA(ProductInfo[[#This Row],[P1]:[P15]])</f>
        <v>0</v>
      </c>
      <c r="J22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2" s="7"/>
      <c r="M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>
      <c r="A2203" s="110" t="s">
        <v>3675</v>
      </c>
      <c r="B2203" s="39" t="s">
        <v>3676</v>
      </c>
      <c r="C2203" s="2" t="str">
        <f>RIGHT(ProductInfo[[#This Row],[Drawing No]],1)</f>
        <v>0</v>
      </c>
      <c r="D2203" s="203" t="s">
        <v>3677</v>
      </c>
      <c r="E2203" s="16" t="s">
        <v>4851</v>
      </c>
      <c r="F22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3" s="59">
        <v>62</v>
      </c>
      <c r="H2203" s="59">
        <v>100</v>
      </c>
      <c r="I2203" s="1">
        <f>COUNTA(ProductInfo[[#This Row],[P1]:[P15]])</f>
        <v>2</v>
      </c>
      <c r="J22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3" s="4" t="s">
        <v>12</v>
      </c>
      <c r="M2203" s="4" t="s">
        <v>13</v>
      </c>
    </row>
    <row r="2204" spans="1:26">
      <c r="A2204" s="54" t="s">
        <v>5171</v>
      </c>
      <c r="B2204" s="8" t="s">
        <v>5173</v>
      </c>
      <c r="C2204" s="2" t="str">
        <f>RIGHT(ProductInfo[[#This Row],[Drawing No]],1)</f>
        <v>0</v>
      </c>
      <c r="D2204" s="174" t="s">
        <v>5669</v>
      </c>
      <c r="E2204" s="16" t="s">
        <v>4851</v>
      </c>
      <c r="F220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4" s="59">
        <v>62</v>
      </c>
      <c r="H2204" s="59">
        <v>100</v>
      </c>
      <c r="I2204" s="1">
        <f>COUNTA(ProductInfo[[#This Row],[P1]:[P15]])</f>
        <v>2</v>
      </c>
      <c r="J22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4" s="7" t="s">
        <v>12</v>
      </c>
      <c r="M2204" s="7" t="s">
        <v>13</v>
      </c>
      <c r="S2204" s="7"/>
    </row>
    <row r="2205" spans="1:26">
      <c r="A2205" s="54" t="s">
        <v>4161</v>
      </c>
      <c r="B2205" s="8" t="s">
        <v>4251</v>
      </c>
      <c r="C2205" s="2" t="str">
        <f>RIGHT(ProductInfo[[#This Row],[Drawing No]],1)</f>
        <v>0</v>
      </c>
      <c r="D2205" s="174" t="s">
        <v>4252</v>
      </c>
      <c r="E2205" s="57" t="s">
        <v>4253</v>
      </c>
      <c r="F220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5" s="59">
        <v>72</v>
      </c>
      <c r="H2205" s="59"/>
      <c r="I2205" s="1">
        <f>COUNTA(ProductInfo[[#This Row],[P1]:[P15]])</f>
        <v>2</v>
      </c>
      <c r="J22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5" s="4" t="s">
        <v>12</v>
      </c>
      <c r="M2205" s="4" t="s">
        <v>13</v>
      </c>
    </row>
    <row r="2206" spans="1:26">
      <c r="A2206" s="54" t="s">
        <v>5175</v>
      </c>
      <c r="B2206" s="8" t="s">
        <v>5176</v>
      </c>
      <c r="C2206" s="2" t="str">
        <f>RIGHT(ProductInfo[[#This Row],[Drawing No]],1)</f>
        <v>0</v>
      </c>
      <c r="D2206" s="174" t="s">
        <v>4252</v>
      </c>
      <c r="E2206" s="57" t="s">
        <v>4253</v>
      </c>
      <c r="F220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6" s="59">
        <v>72</v>
      </c>
      <c r="H2206" s="59"/>
      <c r="I2206" s="1">
        <f>COUNTA(ProductInfo[[#This Row],[P1]:[P15]])</f>
        <v>2</v>
      </c>
      <c r="J22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6" s="4" t="s">
        <v>12</v>
      </c>
      <c r="M2206" s="4" t="s">
        <v>13</v>
      </c>
    </row>
    <row r="2207" spans="1:26">
      <c r="A2207" s="15" t="s">
        <v>4162</v>
      </c>
      <c r="B2207" s="21" t="s">
        <v>4166</v>
      </c>
      <c r="C2207" s="2" t="str">
        <f>RIGHT(ProductInfo[[#This Row],[Drawing No]],1)</f>
        <v>0</v>
      </c>
      <c r="D2207" s="191" t="s">
        <v>4254</v>
      </c>
      <c r="E2207" s="57" t="s">
        <v>4253</v>
      </c>
      <c r="F22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7" s="59">
        <v>82</v>
      </c>
      <c r="H2207" s="59"/>
      <c r="I2207" s="1">
        <f>COUNTA(ProductInfo[[#This Row],[P1]:[P15]])</f>
        <v>2</v>
      </c>
      <c r="J22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7" s="4" t="s">
        <v>12</v>
      </c>
      <c r="M2207" s="4" t="s">
        <v>13</v>
      </c>
    </row>
    <row r="2208" spans="1:26">
      <c r="A2208" s="15" t="s">
        <v>5177</v>
      </c>
      <c r="B2208" s="21" t="s">
        <v>5178</v>
      </c>
      <c r="C2208" s="2" t="str">
        <f>RIGHT(ProductInfo[[#This Row],[Drawing No]],1)</f>
        <v>0</v>
      </c>
      <c r="D2208" s="191" t="s">
        <v>4254</v>
      </c>
      <c r="E2208" s="57" t="s">
        <v>4253</v>
      </c>
      <c r="F22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8" s="59">
        <v>82</v>
      </c>
      <c r="H2208" s="59"/>
      <c r="I2208" s="1">
        <f>COUNTA(ProductInfo[[#This Row],[P1]:[P15]])</f>
        <v>2</v>
      </c>
      <c r="J22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8" s="4" t="s">
        <v>12</v>
      </c>
      <c r="M2208" s="4" t="s">
        <v>13</v>
      </c>
    </row>
    <row r="2209" spans="1:26">
      <c r="A2209" s="15" t="s">
        <v>5234</v>
      </c>
      <c r="B2209" s="21" t="s">
        <v>5233</v>
      </c>
      <c r="C2209" s="2" t="str">
        <f>RIGHT(ProductInfo[[#This Row],[Drawing No]],1)</f>
        <v>0</v>
      </c>
      <c r="D2209" s="191" t="s">
        <v>5235</v>
      </c>
      <c r="E2209" s="16"/>
      <c r="F220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09" s="31"/>
      <c r="H2209" s="31"/>
      <c r="I2209" s="1">
        <f>COUNTA(ProductInfo[[#This Row],[P1]:[P15]])</f>
        <v>2</v>
      </c>
      <c r="J22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09" s="4" t="s">
        <v>12</v>
      </c>
      <c r="M2209" s="4" t="s">
        <v>13</v>
      </c>
    </row>
    <row r="2210" spans="1:26">
      <c r="A2210" s="15" t="s">
        <v>4174</v>
      </c>
      <c r="B2210" s="21" t="s">
        <v>4274</v>
      </c>
      <c r="C2210" s="2" t="str">
        <f>RIGHT(ProductInfo[[#This Row],[Drawing No]],1)</f>
        <v>2</v>
      </c>
      <c r="D2210" s="191" t="s">
        <v>4250</v>
      </c>
      <c r="E2210" s="56" t="s">
        <v>4249</v>
      </c>
      <c r="F221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0" s="59">
        <v>78.5</v>
      </c>
      <c r="H2210" s="59"/>
      <c r="I2210" s="1">
        <f>COUNTA(ProductInfo[[#This Row],[P1]:[P15]])</f>
        <v>2</v>
      </c>
      <c r="J22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0" s="4" t="s">
        <v>12</v>
      </c>
      <c r="M2210" s="4" t="s">
        <v>13</v>
      </c>
    </row>
    <row r="2211" spans="1:26" s="1" customFormat="1">
      <c r="A2211" s="8" t="s">
        <v>4312</v>
      </c>
      <c r="B2211" s="8" t="s">
        <v>4311</v>
      </c>
      <c r="C2211" s="2" t="str">
        <f>RIGHT(ProductInfo[[#This Row],[Drawing No]],1)</f>
        <v>0</v>
      </c>
      <c r="D2211" s="176" t="s">
        <v>4250</v>
      </c>
      <c r="E2211" s="56" t="s">
        <v>4249</v>
      </c>
      <c r="F221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1" s="59">
        <v>78.5</v>
      </c>
      <c r="H2211" s="59">
        <v>100</v>
      </c>
      <c r="I2211" s="1">
        <f>COUNTA(ProductInfo[[#This Row],[P1]:[P15]])</f>
        <v>2</v>
      </c>
      <c r="J22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1" s="4" t="s">
        <v>12</v>
      </c>
      <c r="M2211" s="4" t="s">
        <v>13</v>
      </c>
      <c r="N2211" s="7"/>
      <c r="O2211" s="7"/>
      <c r="P2211" s="7"/>
      <c r="Q2211" s="7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>
      <c r="A2212" s="54" t="s">
        <v>4312</v>
      </c>
      <c r="B2212" s="8" t="s">
        <v>4470</v>
      </c>
      <c r="C2212" s="2" t="str">
        <f>RIGHT(ProductInfo[[#This Row],[Drawing No]],1)</f>
        <v>1</v>
      </c>
      <c r="D2212" s="174" t="s">
        <v>4250</v>
      </c>
      <c r="E2212" s="56" t="s">
        <v>4249</v>
      </c>
      <c r="F221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2" s="59">
        <v>78.5</v>
      </c>
      <c r="H2212" s="59">
        <v>100</v>
      </c>
      <c r="I2212" s="1">
        <f>COUNTA(ProductInfo[[#This Row],[P1]:[P15]])</f>
        <v>2</v>
      </c>
      <c r="J22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2" s="4" t="s">
        <v>12</v>
      </c>
      <c r="M2212" s="4" t="s">
        <v>13</v>
      </c>
    </row>
    <row r="2213" spans="1:26">
      <c r="A2213" s="54" t="s">
        <v>4177</v>
      </c>
      <c r="B2213" s="8" t="s">
        <v>4273</v>
      </c>
      <c r="C2213" s="2" t="str">
        <f>RIGHT(ProductInfo[[#This Row],[Drawing No]],1)</f>
        <v>2</v>
      </c>
      <c r="D2213" s="174" t="s">
        <v>4178</v>
      </c>
      <c r="E2213" s="56" t="s">
        <v>4249</v>
      </c>
      <c r="F22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3" s="59">
        <v>78.5</v>
      </c>
      <c r="H2213" s="59"/>
      <c r="I2213" s="1">
        <f>COUNTA(ProductInfo[[#This Row],[P1]:[P15]])</f>
        <v>2</v>
      </c>
      <c r="J22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3" s="4" t="s">
        <v>12</v>
      </c>
      <c r="M2213" s="4" t="s">
        <v>13</v>
      </c>
    </row>
    <row r="2214" spans="1:26">
      <c r="A2214" s="54" t="s">
        <v>4314</v>
      </c>
      <c r="B2214" s="8" t="s">
        <v>4471</v>
      </c>
      <c r="C2214" s="2" t="str">
        <f>RIGHT(ProductInfo[[#This Row],[Drawing No]],1)</f>
        <v>1</v>
      </c>
      <c r="D2214" s="174" t="s">
        <v>4178</v>
      </c>
      <c r="E2214" s="56" t="s">
        <v>4249</v>
      </c>
      <c r="F22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4" s="59">
        <v>78.5</v>
      </c>
      <c r="H2214" s="59"/>
      <c r="I2214" s="1">
        <f>COUNTA(ProductInfo[[#This Row],[P1]:[P15]])</f>
        <v>2</v>
      </c>
      <c r="J22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4" s="4" t="s">
        <v>12</v>
      </c>
      <c r="M2214" s="4" t="s">
        <v>13</v>
      </c>
    </row>
    <row r="2215" spans="1:26">
      <c r="A2215" s="54" t="s">
        <v>4180</v>
      </c>
      <c r="B2215" s="8" t="s">
        <v>4241</v>
      </c>
      <c r="C2215" s="2" t="str">
        <f>RIGHT(ProductInfo[[#This Row],[Drawing No]],1)</f>
        <v>1</v>
      </c>
      <c r="D2215" s="174" t="s">
        <v>4181</v>
      </c>
      <c r="E2215" s="56" t="s">
        <v>4249</v>
      </c>
      <c r="F22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5" s="59">
        <v>83.5</v>
      </c>
      <c r="H2215" s="59"/>
      <c r="I2215" s="1">
        <f>COUNTA(ProductInfo[[#This Row],[P1]:[P15]])</f>
        <v>2</v>
      </c>
      <c r="J22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5" s="4" t="s">
        <v>12</v>
      </c>
      <c r="M2215" s="4" t="s">
        <v>13</v>
      </c>
    </row>
    <row r="2216" spans="1:26">
      <c r="A2216" s="54" t="s">
        <v>4180</v>
      </c>
      <c r="B2216" s="8" t="s">
        <v>4272</v>
      </c>
      <c r="C2216" s="2" t="str">
        <f>RIGHT(ProductInfo[[#This Row],[Drawing No]],1)</f>
        <v>2</v>
      </c>
      <c r="D2216" s="174" t="s">
        <v>4181</v>
      </c>
      <c r="E2216" s="56" t="s">
        <v>4249</v>
      </c>
      <c r="F22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6" s="59">
        <v>83.5</v>
      </c>
      <c r="H2216" s="59"/>
      <c r="I2216" s="1">
        <f>COUNTA(ProductInfo[[#This Row],[P1]:[P15]])</f>
        <v>2</v>
      </c>
      <c r="J22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6" s="4" t="s">
        <v>12</v>
      </c>
      <c r="M2216" s="4" t="s">
        <v>13</v>
      </c>
    </row>
    <row r="2217" spans="1:26">
      <c r="A2217" s="54" t="s">
        <v>4316</v>
      </c>
      <c r="B2217" s="8" t="s">
        <v>4315</v>
      </c>
      <c r="C2217" s="2" t="str">
        <f>RIGHT(ProductInfo[[#This Row],[Drawing No]],1)</f>
        <v>0</v>
      </c>
      <c r="D2217" s="191" t="s">
        <v>4181</v>
      </c>
      <c r="E2217" s="56" t="s">
        <v>4249</v>
      </c>
      <c r="F221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7" s="59">
        <v>83.5</v>
      </c>
      <c r="H2217" s="59">
        <v>100</v>
      </c>
      <c r="I2217" s="1">
        <f>COUNTA(ProductInfo[[#This Row],[P1]:[P15]])</f>
        <v>2</v>
      </c>
      <c r="J22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7" s="4" t="s">
        <v>12</v>
      </c>
      <c r="M2217" s="4" t="s">
        <v>13</v>
      </c>
    </row>
    <row r="2218" spans="1:26">
      <c r="A2218" s="8" t="s">
        <v>4183</v>
      </c>
      <c r="B2218" s="8" t="s">
        <v>4271</v>
      </c>
      <c r="C2218" s="2" t="str">
        <f>RIGHT(ProductInfo[[#This Row],[Drawing No]],1)</f>
        <v>1</v>
      </c>
      <c r="D2218" s="176" t="s">
        <v>4184</v>
      </c>
      <c r="E2218" s="16"/>
      <c r="F22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8" s="31"/>
      <c r="H2218" s="31"/>
      <c r="I2218" s="1">
        <f>COUNTA(ProductInfo[[#This Row],[P1]:[P15]])</f>
        <v>2</v>
      </c>
      <c r="J22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8" s="4" t="s">
        <v>12</v>
      </c>
      <c r="M2218" s="4" t="s">
        <v>13</v>
      </c>
    </row>
    <row r="2219" spans="1:26">
      <c r="A2219" s="54" t="s">
        <v>4186</v>
      </c>
      <c r="B2219" s="8" t="s">
        <v>4270</v>
      </c>
      <c r="C2219" s="2" t="str">
        <f>RIGHT(ProductInfo[[#This Row],[Drawing No]],1)</f>
        <v>1</v>
      </c>
      <c r="D2219" s="174" t="s">
        <v>4187</v>
      </c>
      <c r="E2219" s="16"/>
      <c r="F221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19" s="31"/>
      <c r="H2219" s="31"/>
      <c r="I2219" s="1">
        <f>COUNTA(ProductInfo[[#This Row],[P1]:[P15]])</f>
        <v>2</v>
      </c>
      <c r="J22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19" s="4" t="s">
        <v>12</v>
      </c>
      <c r="M2219" s="4" t="s">
        <v>13</v>
      </c>
    </row>
    <row r="2220" spans="1:26">
      <c r="A2220" s="54" t="s">
        <v>4320</v>
      </c>
      <c r="B2220" s="8" t="s">
        <v>4472</v>
      </c>
      <c r="C2220" s="2" t="str">
        <f>RIGHT(ProductInfo[[#This Row],[Drawing No]],1)</f>
        <v>1</v>
      </c>
      <c r="D2220" s="174" t="s">
        <v>4187</v>
      </c>
      <c r="E2220" s="16"/>
      <c r="F22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0" s="31"/>
      <c r="H2220" s="31"/>
      <c r="I2220" s="1">
        <f>COUNTA(ProductInfo[[#This Row],[P1]:[P15]])</f>
        <v>2</v>
      </c>
      <c r="J22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0" s="4" t="s">
        <v>12</v>
      </c>
      <c r="M2220" s="4" t="s">
        <v>13</v>
      </c>
    </row>
    <row r="2221" spans="1:26">
      <c r="A2221" s="15" t="s">
        <v>4188</v>
      </c>
      <c r="B2221" s="8" t="s">
        <v>4269</v>
      </c>
      <c r="C2221" s="2" t="str">
        <f>RIGHT(ProductInfo[[#This Row],[Drawing No]],1)</f>
        <v>2</v>
      </c>
      <c r="D2221" s="191" t="s">
        <v>4248</v>
      </c>
      <c r="E2221" s="56" t="s">
        <v>4249</v>
      </c>
      <c r="F222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1" s="59">
        <v>78.5</v>
      </c>
      <c r="H2221" s="59"/>
      <c r="I2221" s="1">
        <f>COUNTA(ProductInfo[[#This Row],[P1]:[P15]])</f>
        <v>2</v>
      </c>
      <c r="J22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1" s="4" t="s">
        <v>12</v>
      </c>
      <c r="M2221" s="4" t="s">
        <v>13</v>
      </c>
    </row>
    <row r="2222" spans="1:26">
      <c r="A2222" s="54" t="s">
        <v>4322</v>
      </c>
      <c r="B2222" s="8" t="s">
        <v>4473</v>
      </c>
      <c r="C2222" s="2" t="str">
        <f>RIGHT(ProductInfo[[#This Row],[Drawing No]],1)</f>
        <v>1</v>
      </c>
      <c r="D2222" s="174" t="s">
        <v>4248</v>
      </c>
      <c r="E2222" s="16" t="s">
        <v>4334</v>
      </c>
      <c r="F222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2" s="59">
        <v>78.5</v>
      </c>
      <c r="H2222" s="59">
        <v>100</v>
      </c>
      <c r="I2222" s="1">
        <f>COUNTA(ProductInfo[[#This Row],[P1]:[P15]])</f>
        <v>2</v>
      </c>
      <c r="J22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2" s="4" t="s">
        <v>12</v>
      </c>
      <c r="M2222" s="4" t="s">
        <v>13</v>
      </c>
    </row>
    <row r="2223" spans="1:26">
      <c r="A2223" s="54" t="s">
        <v>4192</v>
      </c>
      <c r="B2223" s="8" t="s">
        <v>4268</v>
      </c>
      <c r="C2223" s="2" t="str">
        <f>RIGHT(ProductInfo[[#This Row],[Drawing No]],1)</f>
        <v>1</v>
      </c>
      <c r="D2223" s="174" t="s">
        <v>4193</v>
      </c>
      <c r="E2223" s="16"/>
      <c r="F222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3" s="31"/>
      <c r="H2223" s="31"/>
      <c r="I2223" s="1">
        <f>COUNTA(ProductInfo[[#This Row],[P1]:[P15]])</f>
        <v>2</v>
      </c>
      <c r="J22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3" s="4" t="s">
        <v>12</v>
      </c>
      <c r="M2223" s="4" t="s">
        <v>13</v>
      </c>
    </row>
    <row r="2224" spans="1:26">
      <c r="A2224" s="15" t="s">
        <v>4324</v>
      </c>
      <c r="B2224" s="8" t="s">
        <v>4474</v>
      </c>
      <c r="C2224" s="2" t="str">
        <f>RIGHT(ProductInfo[[#This Row],[Drawing No]],1)</f>
        <v>1</v>
      </c>
      <c r="D2224" s="176" t="s">
        <v>4193</v>
      </c>
      <c r="E2224" s="16" t="s">
        <v>4334</v>
      </c>
      <c r="F222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4" s="59">
        <v>78.5</v>
      </c>
      <c r="H2224" s="59"/>
      <c r="I2224" s="1">
        <f>COUNTA(ProductInfo[[#This Row],[P1]:[P15]])</f>
        <v>2</v>
      </c>
      <c r="J22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4" s="4" t="s">
        <v>12</v>
      </c>
      <c r="M2224" s="4" t="s">
        <v>13</v>
      </c>
    </row>
    <row r="2225" spans="1:26">
      <c r="A2225" s="54" t="s">
        <v>4195</v>
      </c>
      <c r="B2225" s="8" t="s">
        <v>4298</v>
      </c>
      <c r="C2225" s="2" t="str">
        <f>RIGHT(ProductInfo[[#This Row],[Drawing No]],1)</f>
        <v>2</v>
      </c>
      <c r="D2225" s="174" t="s">
        <v>4184</v>
      </c>
      <c r="E2225" s="23">
        <v>50.8</v>
      </c>
      <c r="F222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5" s="59">
        <v>78.5</v>
      </c>
      <c r="H2225" s="59"/>
      <c r="I2225" s="1">
        <f>COUNTA(ProductInfo[[#This Row],[P1]:[P15]])</f>
        <v>2</v>
      </c>
      <c r="J22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5" s="4" t="s">
        <v>12</v>
      </c>
      <c r="M2225" s="4" t="s">
        <v>13</v>
      </c>
    </row>
    <row r="2226" spans="1:26">
      <c r="A2226" s="54" t="s">
        <v>4326</v>
      </c>
      <c r="B2226" s="8" t="s">
        <v>4475</v>
      </c>
      <c r="C2226" s="2" t="str">
        <f>RIGHT(ProductInfo[[#This Row],[Drawing No]],1)</f>
        <v>1</v>
      </c>
      <c r="D2226" s="174" t="s">
        <v>4184</v>
      </c>
      <c r="E2226" s="23">
        <v>50.8</v>
      </c>
      <c r="F22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6" s="59">
        <v>78.5</v>
      </c>
      <c r="H2226" s="59"/>
      <c r="I2226" s="1">
        <f>COUNTA(ProductInfo[[#This Row],[P1]:[P15]])</f>
        <v>2</v>
      </c>
      <c r="J22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6" s="4" t="s">
        <v>12</v>
      </c>
      <c r="M2226" s="4" t="s">
        <v>13</v>
      </c>
    </row>
    <row r="2227" spans="1:26">
      <c r="A2227" s="54" t="s">
        <v>2295</v>
      </c>
      <c r="B2227" s="8" t="s">
        <v>3732</v>
      </c>
      <c r="C2227" s="1" t="str">
        <f>RIGHT(ProductInfo[[#This Row],[Drawing No]],1)</f>
        <v>0</v>
      </c>
      <c r="D2227" s="174" t="s">
        <v>4747</v>
      </c>
      <c r="E2227" s="16" t="s">
        <v>7032</v>
      </c>
      <c r="F2227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227" s="59">
        <v>16</v>
      </c>
      <c r="H2227" s="59">
        <v>100</v>
      </c>
      <c r="I2227" s="1">
        <f>COUNTA(ProductInfo[[#This Row],[P1]:[P15]])</f>
        <v>3</v>
      </c>
      <c r="J22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27" s="7" t="s">
        <v>12</v>
      </c>
      <c r="M2227" s="7" t="s">
        <v>13</v>
      </c>
      <c r="N2227" s="4" t="s">
        <v>15</v>
      </c>
      <c r="R2227" s="7"/>
      <c r="S2227" s="7"/>
    </row>
    <row r="2228" spans="1:26">
      <c r="A2228" s="54" t="s">
        <v>2296</v>
      </c>
      <c r="B2228" s="8" t="s">
        <v>2296</v>
      </c>
      <c r="C2228" s="1" t="str">
        <f>RIGHT(ProductInfo[[#This Row],[Drawing No]],1)</f>
        <v>0</v>
      </c>
      <c r="D2228" s="174" t="s">
        <v>3209</v>
      </c>
      <c r="E2228" s="16"/>
      <c r="F22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28" s="31"/>
      <c r="H2228" s="31"/>
      <c r="I2228" s="1">
        <f>COUNTA(ProductInfo[[#This Row],[P1]:[P15]])</f>
        <v>0</v>
      </c>
      <c r="J22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28" s="7"/>
      <c r="M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>
      <c r="A2229" s="54" t="s">
        <v>4787</v>
      </c>
      <c r="B2229" s="8" t="s">
        <v>4786</v>
      </c>
      <c r="C2229" s="2" t="str">
        <f>RIGHT(ProductInfo[[#This Row],[Drawing No]],1)</f>
        <v>0</v>
      </c>
      <c r="D2229" s="174" t="s">
        <v>4788</v>
      </c>
      <c r="E2229" s="16" t="s">
        <v>3540</v>
      </c>
      <c r="F2229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229" s="59">
        <v>16.5</v>
      </c>
      <c r="H2229" s="59">
        <v>100</v>
      </c>
      <c r="I2229" s="1">
        <f>COUNTA(ProductInfo[[#This Row],[P1]:[P15]])</f>
        <v>5</v>
      </c>
      <c r="J22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2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229" s="4" t="s">
        <v>12</v>
      </c>
      <c r="M2229" s="4" t="s">
        <v>13</v>
      </c>
      <c r="N2229" s="4" t="s">
        <v>15</v>
      </c>
      <c r="O2229" s="4" t="s">
        <v>16</v>
      </c>
      <c r="P2229" s="4" t="s">
        <v>14</v>
      </c>
    </row>
    <row r="2230" spans="1:26">
      <c r="A2230" s="54" t="s">
        <v>5318</v>
      </c>
      <c r="B2230" s="8" t="s">
        <v>5319</v>
      </c>
      <c r="C2230" s="2" t="str">
        <f>RIGHT(ProductInfo[[#This Row],[Drawing No]],1)</f>
        <v>0</v>
      </c>
      <c r="D2230" s="174" t="s">
        <v>5320</v>
      </c>
      <c r="E2230" s="16" t="s">
        <v>3540</v>
      </c>
      <c r="F2230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230" s="59">
        <v>16.5</v>
      </c>
      <c r="H2230" s="59">
        <v>100</v>
      </c>
      <c r="I2230" s="1">
        <f>COUNTA(ProductInfo[[#This Row],[P1]:[P15]])</f>
        <v>4</v>
      </c>
      <c r="J22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230" s="4" t="s">
        <v>12</v>
      </c>
      <c r="M2230" s="4" t="s">
        <v>13</v>
      </c>
      <c r="N2230" s="4" t="s">
        <v>15</v>
      </c>
      <c r="O2230" s="4" t="s">
        <v>16</v>
      </c>
    </row>
    <row r="2231" spans="1:26">
      <c r="A2231" s="54" t="s">
        <v>2297</v>
      </c>
      <c r="B2231" s="8" t="s">
        <v>3730</v>
      </c>
      <c r="C2231" s="1" t="str">
        <f>RIGHT(ProductInfo[[#This Row],[Drawing No]],1)</f>
        <v>0</v>
      </c>
      <c r="D2231" s="174" t="s">
        <v>3215</v>
      </c>
      <c r="E2231" s="16" t="s">
        <v>3540</v>
      </c>
      <c r="F2231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231" s="59">
        <v>16.5</v>
      </c>
      <c r="H2231" s="59">
        <v>100</v>
      </c>
      <c r="I2231" s="1">
        <f>COUNTA(ProductInfo[[#This Row],[P1]:[P15]])</f>
        <v>3</v>
      </c>
      <c r="J22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31" s="7" t="s">
        <v>12</v>
      </c>
      <c r="M2231" s="7" t="s">
        <v>13</v>
      </c>
      <c r="N2231" s="4" t="s">
        <v>15</v>
      </c>
      <c r="R2231" s="7"/>
      <c r="S2231" s="7"/>
    </row>
    <row r="2232" spans="1:26">
      <c r="A2232" s="54" t="s">
        <v>5505</v>
      </c>
      <c r="B2232" s="21" t="s">
        <v>5504</v>
      </c>
      <c r="C2232" s="2" t="str">
        <f>RIGHT(ProductInfo[[#This Row],[Drawing No]],1)</f>
        <v>0</v>
      </c>
      <c r="D2232" s="174" t="s">
        <v>5508</v>
      </c>
      <c r="E2232" t="s">
        <v>5608</v>
      </c>
      <c r="F2232" s="23" t="str">
        <f>IFERROR(INDEX(MaterialCode[รายละเอียด],MATCH(ProductInfo[[#This Row],[Material Code]],MaterialCode[Material Code],0)),"ไม่พบวัตถุดิบ")</f>
        <v>ท่ออลูมิเนียม 62x33.5 หกแฉก</v>
      </c>
      <c r="G2232" s="31" t="s">
        <v>6668</v>
      </c>
      <c r="H2232" s="31" t="s">
        <v>5999</v>
      </c>
      <c r="I2232" s="1">
        <f>COUNTA(ProductInfo[[#This Row],[P1]:[P15]])</f>
        <v>4</v>
      </c>
      <c r="J22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232" s="7" t="s">
        <v>12</v>
      </c>
      <c r="M2232" s="7" t="s">
        <v>13</v>
      </c>
      <c r="N2232" s="4" t="s">
        <v>15</v>
      </c>
      <c r="O2232" s="4" t="s">
        <v>16</v>
      </c>
    </row>
    <row r="2233" spans="1:26">
      <c r="A2233" s="15" t="s">
        <v>4259</v>
      </c>
      <c r="B2233" s="21" t="s">
        <v>4258</v>
      </c>
      <c r="C2233" s="2" t="str">
        <f>RIGHT(ProductInfo[[#This Row],[Drawing No]],1)</f>
        <v>0</v>
      </c>
      <c r="D2233" s="191" t="s">
        <v>4260</v>
      </c>
      <c r="E2233" s="16"/>
      <c r="F22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33" s="31"/>
      <c r="H2233" s="31"/>
      <c r="I2233" s="1">
        <f>COUNTA(ProductInfo[[#This Row],[P1]:[P15]])</f>
        <v>2</v>
      </c>
      <c r="J22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3" s="4" t="s">
        <v>12</v>
      </c>
      <c r="M2233" s="4" t="s">
        <v>13</v>
      </c>
    </row>
    <row r="2234" spans="1:26">
      <c r="A2234" s="15" t="s">
        <v>2298</v>
      </c>
      <c r="B2234" s="21" t="s">
        <v>4681</v>
      </c>
      <c r="C2234" s="1" t="str">
        <f>RIGHT(ProductInfo[[#This Row],[Drawing No]],1)</f>
        <v>0</v>
      </c>
      <c r="D2234" s="191" t="s">
        <v>2798</v>
      </c>
      <c r="E2234" s="16" t="s">
        <v>3529</v>
      </c>
      <c r="F2234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234" s="59">
        <v>19.5</v>
      </c>
      <c r="H2234" s="59">
        <v>100</v>
      </c>
      <c r="I2234" s="1">
        <f>COUNTA(ProductInfo[[#This Row],[P1]:[P15]])</f>
        <v>2</v>
      </c>
      <c r="J22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4" s="7" t="s">
        <v>12</v>
      </c>
      <c r="M2234" s="7" t="s">
        <v>13</v>
      </c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>
      <c r="A2235" s="15" t="s">
        <v>2299</v>
      </c>
      <c r="B2235" s="21" t="s">
        <v>3325</v>
      </c>
      <c r="C2235" s="1" t="str">
        <f>RIGHT(ProductInfo[[#This Row],[Drawing No]],1)</f>
        <v>1</v>
      </c>
      <c r="D2235" s="191" t="s">
        <v>4746</v>
      </c>
      <c r="E2235" s="16" t="s">
        <v>3529</v>
      </c>
      <c r="F2235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235" s="59">
        <v>19.5</v>
      </c>
      <c r="H2235" s="59">
        <v>100</v>
      </c>
      <c r="I2235" s="1">
        <f>COUNTA(ProductInfo[[#This Row],[P1]:[P15]])</f>
        <v>4</v>
      </c>
      <c r="J22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235" s="7" t="s">
        <v>12</v>
      </c>
      <c r="M2235" s="7" t="s">
        <v>13</v>
      </c>
      <c r="N2235" s="4" t="s">
        <v>15</v>
      </c>
      <c r="O2235" s="4" t="s">
        <v>16</v>
      </c>
      <c r="R2235" s="7"/>
      <c r="S2235" s="7"/>
    </row>
    <row r="2236" spans="1:26">
      <c r="A2236" s="15" t="s">
        <v>2300</v>
      </c>
      <c r="B2236" s="21" t="s">
        <v>4053</v>
      </c>
      <c r="C2236" s="2" t="str">
        <f>RIGHT(ProductInfo[[#This Row],[Drawing No]],1)</f>
        <v>0</v>
      </c>
      <c r="D2236" s="191" t="s">
        <v>2799</v>
      </c>
      <c r="E2236" s="16" t="s">
        <v>3529</v>
      </c>
      <c r="F2236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236" s="59">
        <v>22</v>
      </c>
      <c r="H2236" s="59">
        <v>100</v>
      </c>
      <c r="I2236" s="1">
        <f>COUNTA(ProductInfo[[#This Row],[P1]:[P15]])</f>
        <v>2</v>
      </c>
      <c r="J22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6" s="4" t="s">
        <v>12</v>
      </c>
      <c r="M2236" s="4" t="s">
        <v>13</v>
      </c>
    </row>
    <row r="2237" spans="1:26">
      <c r="A2237" s="15" t="s">
        <v>2301</v>
      </c>
      <c r="B2237" s="21" t="s">
        <v>2301</v>
      </c>
      <c r="C2237" s="1" t="str">
        <f>RIGHT(ProductInfo[[#This Row],[Drawing No]],1)</f>
        <v>1</v>
      </c>
      <c r="D2237" s="191" t="s">
        <v>3214</v>
      </c>
      <c r="E2237" s="16"/>
      <c r="F22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37" s="31"/>
      <c r="H2237" s="31"/>
      <c r="I2237" s="1">
        <f>COUNTA(ProductInfo[[#This Row],[P1]:[P15]])</f>
        <v>0</v>
      </c>
      <c r="J22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7" s="7"/>
      <c r="M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>
      <c r="A2238" s="54" t="s">
        <v>2302</v>
      </c>
      <c r="B2238" s="8" t="s">
        <v>2302</v>
      </c>
      <c r="C2238" s="2" t="str">
        <f>RIGHT(ProductInfo[[#This Row],[Drawing No]],1)</f>
        <v>2</v>
      </c>
      <c r="D2238" s="174" t="s">
        <v>3213</v>
      </c>
      <c r="E2238" s="16"/>
      <c r="F22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38" s="31"/>
      <c r="H2238" s="31"/>
      <c r="I2238" s="2">
        <f>COUNTA(ProductInfo[[#This Row],[P1]:[P15]])</f>
        <v>0</v>
      </c>
      <c r="J2238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38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8" s="7"/>
      <c r="T2238" s="7"/>
      <c r="U2238" s="7"/>
      <c r="V2238" s="7"/>
      <c r="W2238" s="7"/>
      <c r="X2238" s="7"/>
      <c r="Y2238" s="7"/>
      <c r="Z2238" s="7"/>
    </row>
    <row r="2239" spans="1:26">
      <c r="A2239" s="54" t="s">
        <v>2303</v>
      </c>
      <c r="B2239" s="8" t="s">
        <v>2303</v>
      </c>
      <c r="C2239" s="1" t="str">
        <f>RIGHT(ProductInfo[[#This Row],[Drawing No]],1)</f>
        <v>1</v>
      </c>
      <c r="D2239" s="174" t="s">
        <v>3210</v>
      </c>
      <c r="E2239" s="16"/>
      <c r="F22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39" s="31"/>
      <c r="H2239" s="31"/>
      <c r="I2239" s="1">
        <f>COUNTA(ProductInfo[[#This Row],[P1]:[P15]])</f>
        <v>0</v>
      </c>
      <c r="J22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39" s="7"/>
      <c r="M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>
      <c r="A2240" s="54" t="s">
        <v>2304</v>
      </c>
      <c r="B2240" s="8" t="s">
        <v>2304</v>
      </c>
      <c r="C2240" s="1" t="str">
        <f>RIGHT(ProductInfo[[#This Row],[Drawing No]],1)</f>
        <v>2</v>
      </c>
      <c r="D2240" s="174" t="s">
        <v>3210</v>
      </c>
      <c r="E2240" s="16"/>
      <c r="F22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0" s="31"/>
      <c r="H2240" s="31"/>
      <c r="I2240" s="1">
        <f>COUNTA(ProductInfo[[#This Row],[P1]:[P15]])</f>
        <v>0</v>
      </c>
      <c r="J22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0" s="7"/>
      <c r="M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>
      <c r="A2241" s="54" t="s">
        <v>2305</v>
      </c>
      <c r="B2241" s="8" t="s">
        <v>2305</v>
      </c>
      <c r="C2241" s="1" t="str">
        <f>RIGHT(ProductInfo[[#This Row],[Drawing No]],1)</f>
        <v>1</v>
      </c>
      <c r="D2241" s="174" t="s">
        <v>2800</v>
      </c>
      <c r="E2241" s="16"/>
      <c r="F22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1" s="31"/>
      <c r="H2241" s="31"/>
      <c r="I2241" s="1">
        <f>COUNTA(ProductInfo[[#This Row],[P1]:[P15]])</f>
        <v>0</v>
      </c>
      <c r="J22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1" s="7"/>
      <c r="M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>
      <c r="A2242" s="54" t="s">
        <v>2306</v>
      </c>
      <c r="B2242" s="8" t="s">
        <v>2306</v>
      </c>
      <c r="C2242" s="1" t="str">
        <f>RIGHT(ProductInfo[[#This Row],[Drawing No]],1)</f>
        <v>1</v>
      </c>
      <c r="D2242" s="174" t="s">
        <v>2801</v>
      </c>
      <c r="E2242" s="16"/>
      <c r="F22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2" s="31"/>
      <c r="H2242" s="31"/>
      <c r="I2242" s="1">
        <f>COUNTA(ProductInfo[[#This Row],[P1]:[P15]])</f>
        <v>0</v>
      </c>
      <c r="J22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2" s="7"/>
      <c r="M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>
      <c r="A2243" s="54" t="s">
        <v>2307</v>
      </c>
      <c r="B2243" s="8" t="s">
        <v>2307</v>
      </c>
      <c r="C2243" s="1" t="str">
        <f>RIGHT(ProductInfo[[#This Row],[Drawing No]],1)</f>
        <v>2</v>
      </c>
      <c r="D2243" s="174" t="s">
        <v>2801</v>
      </c>
      <c r="E2243" s="16"/>
      <c r="F22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3" s="31"/>
      <c r="H2243" s="31"/>
      <c r="I2243" s="1">
        <f>COUNTA(ProductInfo[[#This Row],[P1]:[P15]])</f>
        <v>0</v>
      </c>
      <c r="J22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3" s="7"/>
      <c r="M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>
      <c r="A2244" s="54" t="s">
        <v>2308</v>
      </c>
      <c r="B2244" s="8" t="s">
        <v>2308</v>
      </c>
      <c r="C2244" s="1" t="str">
        <f>RIGHT(ProductInfo[[#This Row],[Drawing No]],1)</f>
        <v>2</v>
      </c>
      <c r="D2244" s="174" t="s">
        <v>2802</v>
      </c>
      <c r="E2244" s="16"/>
      <c r="F22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4" s="31"/>
      <c r="H2244" s="31"/>
      <c r="I2244" s="1">
        <f>COUNTA(ProductInfo[[#This Row],[P1]:[P15]])</f>
        <v>0</v>
      </c>
      <c r="J22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4" s="7"/>
      <c r="M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>
      <c r="A2245" s="54" t="s">
        <v>4567</v>
      </c>
      <c r="B2245" s="8" t="s">
        <v>4563</v>
      </c>
      <c r="C2245" s="2" t="str">
        <f>RIGHT(ProductInfo[[#This Row],[Drawing No]],1)</f>
        <v>0</v>
      </c>
      <c r="D2245" s="174" t="s">
        <v>4565</v>
      </c>
      <c r="E2245" s="16" t="s">
        <v>3559</v>
      </c>
      <c r="F224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45" s="59">
        <v>97</v>
      </c>
      <c r="H2245" s="3">
        <v>100</v>
      </c>
      <c r="I2245" s="1">
        <f>COUNTA(ProductInfo[[#This Row],[P1]:[P15]])</f>
        <v>2</v>
      </c>
      <c r="J22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5" s="7" t="s">
        <v>12</v>
      </c>
      <c r="M2245" s="7" t="s">
        <v>13</v>
      </c>
    </row>
    <row r="2246" spans="1:26">
      <c r="A2246" s="54" t="s">
        <v>4568</v>
      </c>
      <c r="B2246" s="8" t="s">
        <v>4563</v>
      </c>
      <c r="C2246" s="2" t="str">
        <f>RIGHT(ProductInfo[[#This Row],[Drawing No]],1)</f>
        <v>0</v>
      </c>
      <c r="D2246" s="174" t="s">
        <v>4566</v>
      </c>
      <c r="E2246" s="16" t="s">
        <v>3559</v>
      </c>
      <c r="F224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46" s="59">
        <v>102</v>
      </c>
      <c r="H2246" s="3">
        <v>100</v>
      </c>
      <c r="I2246" s="1">
        <f>COUNTA(ProductInfo[[#This Row],[P1]:[P15]])</f>
        <v>2</v>
      </c>
      <c r="J22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6" s="7" t="s">
        <v>12</v>
      </c>
      <c r="M2246" s="7" t="s">
        <v>13</v>
      </c>
    </row>
    <row r="2247" spans="1:26">
      <c r="A2247" s="54" t="s">
        <v>2309</v>
      </c>
      <c r="B2247" s="8" t="s">
        <v>2309</v>
      </c>
      <c r="C2247" s="1" t="str">
        <f>RIGHT(ProductInfo[[#This Row],[Drawing No]],1)</f>
        <v>0</v>
      </c>
      <c r="D2247" s="195" t="s">
        <v>2310</v>
      </c>
      <c r="E2247" s="18"/>
      <c r="F224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7" s="32"/>
      <c r="H2247" s="32"/>
      <c r="I2247" s="1">
        <f>COUNTA(ProductInfo[[#This Row],[P1]:[P15]])</f>
        <v>0</v>
      </c>
      <c r="J22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7" s="7"/>
      <c r="M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>
      <c r="A2248" s="54" t="s">
        <v>2311</v>
      </c>
      <c r="B2248" s="8" t="s">
        <v>2311</v>
      </c>
      <c r="C2248" s="1" t="str">
        <f>RIGHT(ProductInfo[[#This Row],[Drawing No]],1)</f>
        <v>0</v>
      </c>
      <c r="D2248" s="195" t="s">
        <v>2986</v>
      </c>
      <c r="E2248" s="18"/>
      <c r="F2248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8" s="32"/>
      <c r="H2248" s="32"/>
      <c r="I2248" s="1">
        <f>COUNTA(ProductInfo[[#This Row],[P1]:[P15]])</f>
        <v>0</v>
      </c>
      <c r="J22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8" s="7"/>
      <c r="M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>
      <c r="A2249" s="54" t="s">
        <v>2312</v>
      </c>
      <c r="B2249" s="8" t="s">
        <v>2312</v>
      </c>
      <c r="C2249" s="1" t="str">
        <f>RIGHT(ProductInfo[[#This Row],[Drawing No]],1)</f>
        <v>0</v>
      </c>
      <c r="D2249" s="195" t="s">
        <v>2869</v>
      </c>
      <c r="E2249" s="32"/>
      <c r="F2249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49" s="32"/>
      <c r="H2249" s="32"/>
      <c r="I2249" s="1">
        <f>COUNTA(ProductInfo[[#This Row],[P1]:[P15]])</f>
        <v>0</v>
      </c>
      <c r="J22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49" s="7"/>
      <c r="M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>
      <c r="A2250" s="54" t="s">
        <v>2313</v>
      </c>
      <c r="B2250" s="8" t="s">
        <v>2313</v>
      </c>
      <c r="C2250" s="1" t="str">
        <f>RIGHT(ProductInfo[[#This Row],[Drawing No]],1)</f>
        <v>0</v>
      </c>
      <c r="D2250" s="195" t="s">
        <v>3211</v>
      </c>
      <c r="E2250" s="18"/>
      <c r="F2250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0" s="32"/>
      <c r="H2250" s="32"/>
      <c r="I2250" s="1">
        <f>COUNTA(ProductInfo[[#This Row],[P1]:[P15]])</f>
        <v>0</v>
      </c>
      <c r="J22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0" s="7"/>
      <c r="M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>
      <c r="A2251" s="54" t="s">
        <v>2314</v>
      </c>
      <c r="B2251" s="8" t="s">
        <v>2314</v>
      </c>
      <c r="C2251" s="1" t="str">
        <f>RIGHT(ProductInfo[[#This Row],[Drawing No]],1)</f>
        <v>0</v>
      </c>
      <c r="D2251" s="195" t="s">
        <v>2315</v>
      </c>
      <c r="E2251" s="18"/>
      <c r="F2251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1" s="32"/>
      <c r="H2251" s="32"/>
      <c r="I2251" s="1">
        <f>COUNTA(ProductInfo[[#This Row],[P1]:[P15]])</f>
        <v>0</v>
      </c>
      <c r="J22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1" s="7"/>
      <c r="M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>
      <c r="A2252" s="54" t="s">
        <v>2316</v>
      </c>
      <c r="B2252" s="8" t="s">
        <v>2316</v>
      </c>
      <c r="C2252" s="1" t="str">
        <f>RIGHT(ProductInfo[[#This Row],[Drawing No]],1)</f>
        <v>0</v>
      </c>
      <c r="D2252" s="195" t="s">
        <v>3092</v>
      </c>
      <c r="E2252" s="18"/>
      <c r="F2252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2" s="32"/>
      <c r="H2252" s="32"/>
      <c r="I2252" s="1">
        <f>COUNTA(ProductInfo[[#This Row],[P1]:[P15]])</f>
        <v>0</v>
      </c>
      <c r="J22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2" s="7"/>
      <c r="M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>
      <c r="A2253" s="54" t="s">
        <v>2317</v>
      </c>
      <c r="B2253" s="8" t="s">
        <v>2317</v>
      </c>
      <c r="C2253" s="1" t="str">
        <f>RIGHT(ProductInfo[[#This Row],[Drawing No]],1)</f>
        <v>0</v>
      </c>
      <c r="D2253" s="195" t="s">
        <v>3093</v>
      </c>
      <c r="E2253" s="18"/>
      <c r="F2253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3" s="32"/>
      <c r="H2253" s="32"/>
      <c r="I2253" s="1">
        <f>COUNTA(ProductInfo[[#This Row],[P1]:[P15]])</f>
        <v>0</v>
      </c>
      <c r="J22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3" s="7"/>
      <c r="M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>
      <c r="A2254" s="15" t="s">
        <v>2318</v>
      </c>
      <c r="B2254" s="8" t="s">
        <v>2318</v>
      </c>
      <c r="C2254" s="1" t="str">
        <f>RIGHT(ProductInfo[[#This Row],[Drawing No]],1)</f>
        <v>1</v>
      </c>
      <c r="D2254" s="195" t="s">
        <v>3094</v>
      </c>
      <c r="E2254" s="18"/>
      <c r="F2254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4" s="32"/>
      <c r="H2254" s="32"/>
      <c r="I2254" s="1">
        <f>COUNTA(ProductInfo[[#This Row],[P1]:[P15]])</f>
        <v>0</v>
      </c>
      <c r="J22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4" s="7"/>
      <c r="M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>
      <c r="A2255" s="15" t="s">
        <v>2319</v>
      </c>
      <c r="B2255" s="8" t="s">
        <v>2319</v>
      </c>
      <c r="C2255" s="1" t="str">
        <f>RIGHT(ProductInfo[[#This Row],[Drawing No]],1)</f>
        <v>0</v>
      </c>
      <c r="D2255" s="195" t="s">
        <v>2320</v>
      </c>
      <c r="E2255" s="18"/>
      <c r="F225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5" s="32"/>
      <c r="H2255" s="32"/>
      <c r="I2255" s="1">
        <f>COUNTA(ProductInfo[[#This Row],[P1]:[P15]])</f>
        <v>0</v>
      </c>
      <c r="J22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5" s="7"/>
      <c r="M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>
      <c r="A2256" s="54" t="s">
        <v>2321</v>
      </c>
      <c r="B2256" s="8" t="s">
        <v>2321</v>
      </c>
      <c r="C2256" s="1" t="str">
        <f>RIGHT(ProductInfo[[#This Row],[Drawing No]],1)</f>
        <v>0</v>
      </c>
      <c r="D2256" s="195" t="s">
        <v>3095</v>
      </c>
      <c r="E2256" s="18"/>
      <c r="F2256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6" s="32"/>
      <c r="H2256" s="32"/>
      <c r="I2256" s="1">
        <f>COUNTA(ProductInfo[[#This Row],[P1]:[P15]])</f>
        <v>0</v>
      </c>
      <c r="J22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6" s="7"/>
      <c r="M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>
      <c r="A2257" s="54" t="s">
        <v>2322</v>
      </c>
      <c r="B2257" s="8" t="s">
        <v>2322</v>
      </c>
      <c r="C2257" s="1" t="str">
        <f>RIGHT(ProductInfo[[#This Row],[Drawing No]],1)</f>
        <v>0</v>
      </c>
      <c r="D2257" s="195" t="s">
        <v>2870</v>
      </c>
      <c r="E2257" s="18"/>
      <c r="F2257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7" s="32"/>
      <c r="H2257" s="32"/>
      <c r="I2257" s="1">
        <f>COUNTA(ProductInfo[[#This Row],[P1]:[P15]])</f>
        <v>0</v>
      </c>
      <c r="J22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7" s="7"/>
      <c r="M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>
      <c r="A2258" s="54" t="s">
        <v>2323</v>
      </c>
      <c r="B2258" s="8" t="s">
        <v>2323</v>
      </c>
      <c r="C2258" s="1" t="str">
        <f>RIGHT(ProductInfo[[#This Row],[Drawing No]],1)</f>
        <v>0</v>
      </c>
      <c r="D2258" s="174" t="s">
        <v>2803</v>
      </c>
      <c r="E2258" s="16"/>
      <c r="F225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8" s="31"/>
      <c r="H2258" s="31"/>
      <c r="I2258" s="1">
        <f>COUNTA(ProductInfo[[#This Row],[P1]:[P15]])</f>
        <v>0</v>
      </c>
      <c r="J22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8" s="7"/>
      <c r="M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>
      <c r="A2259" s="54" t="s">
        <v>2324</v>
      </c>
      <c r="B2259" s="8" t="s">
        <v>2324</v>
      </c>
      <c r="C2259" s="1" t="str">
        <f>RIGHT(ProductInfo[[#This Row],[Drawing No]],1)</f>
        <v>0</v>
      </c>
      <c r="D2259" s="174" t="s">
        <v>2325</v>
      </c>
      <c r="E2259" s="16"/>
      <c r="F22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59" s="31"/>
      <c r="H2259" s="31"/>
      <c r="I2259" s="1">
        <f>COUNTA(ProductInfo[[#This Row],[P1]:[P15]])</f>
        <v>0</v>
      </c>
      <c r="J22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59" s="7"/>
      <c r="M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>
      <c r="A2260" s="15" t="s">
        <v>2326</v>
      </c>
      <c r="B2260" s="8" t="s">
        <v>2326</v>
      </c>
      <c r="C2260" s="1" t="str">
        <f>RIGHT(ProductInfo[[#This Row],[Drawing No]],1)</f>
        <v>0</v>
      </c>
      <c r="D2260" s="204" t="s">
        <v>2804</v>
      </c>
      <c r="E2260" s="20"/>
      <c r="F2260" s="28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0" s="43"/>
      <c r="H2260" s="43"/>
      <c r="I2260" s="1">
        <f>COUNTA(ProductInfo[[#This Row],[P1]:[P15]])</f>
        <v>0</v>
      </c>
      <c r="J22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0" s="7"/>
      <c r="M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>
      <c r="A2261" s="15" t="s">
        <v>2327</v>
      </c>
      <c r="B2261" s="8" t="s">
        <v>2327</v>
      </c>
      <c r="C2261" s="1" t="str">
        <f>RIGHT(ProductInfo[[#This Row],[Drawing No]],1)</f>
        <v>0</v>
      </c>
      <c r="D2261" s="204" t="s">
        <v>2805</v>
      </c>
      <c r="E2261" s="20"/>
      <c r="F2261" s="28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1" s="43"/>
      <c r="H2261" s="43"/>
      <c r="I2261" s="1">
        <f>COUNTA(ProductInfo[[#This Row],[P1]:[P15]])</f>
        <v>0</v>
      </c>
      <c r="J22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1" s="7"/>
      <c r="M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>
      <c r="A2262" s="54" t="s">
        <v>2328</v>
      </c>
      <c r="B2262" s="8" t="s">
        <v>2328</v>
      </c>
      <c r="C2262" s="1" t="str">
        <f>RIGHT(ProductInfo[[#This Row],[Drawing No]],1)</f>
        <v>0</v>
      </c>
      <c r="D2262" s="204" t="s">
        <v>2806</v>
      </c>
      <c r="E2262" s="20"/>
      <c r="F2262" s="28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2" s="43"/>
      <c r="H2262" s="43"/>
      <c r="I2262" s="1">
        <f>COUNTA(ProductInfo[[#This Row],[P1]:[P15]])</f>
        <v>0</v>
      </c>
      <c r="J22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2" s="7"/>
      <c r="M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>
      <c r="A2263" s="54" t="s">
        <v>2329</v>
      </c>
      <c r="B2263" s="8" t="s">
        <v>2329</v>
      </c>
      <c r="C2263" s="1" t="str">
        <f>RIGHT(ProductInfo[[#This Row],[Drawing No]],1)</f>
        <v>0</v>
      </c>
      <c r="D2263" s="199" t="s">
        <v>2807</v>
      </c>
      <c r="E2263" s="17"/>
      <c r="F2263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3" s="38"/>
      <c r="H2263" s="38"/>
      <c r="I2263" s="1">
        <f>COUNTA(ProductInfo[[#This Row],[P1]:[P15]])</f>
        <v>0</v>
      </c>
      <c r="J22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3" s="7"/>
      <c r="M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>
      <c r="A2264" s="54" t="s">
        <v>2330</v>
      </c>
      <c r="B2264" s="8" t="s">
        <v>2330</v>
      </c>
      <c r="C2264" s="1" t="str">
        <f>RIGHT(ProductInfo[[#This Row],[Drawing No]],1)</f>
        <v>0</v>
      </c>
      <c r="D2264" s="199" t="s">
        <v>2808</v>
      </c>
      <c r="E2264" s="17"/>
      <c r="F2264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4" s="38"/>
      <c r="H2264" s="38"/>
      <c r="I2264" s="1">
        <f>COUNTA(ProductInfo[[#This Row],[P1]:[P15]])</f>
        <v>0</v>
      </c>
      <c r="J22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4" s="7"/>
      <c r="M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>
      <c r="A2265" s="54" t="s">
        <v>2331</v>
      </c>
      <c r="B2265" s="8" t="s">
        <v>2331</v>
      </c>
      <c r="C2265" s="1" t="str">
        <f>RIGHT(ProductInfo[[#This Row],[Drawing No]],1)</f>
        <v>0</v>
      </c>
      <c r="D2265" s="199" t="s">
        <v>2809</v>
      </c>
      <c r="E2265" s="17"/>
      <c r="F2265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5" s="38"/>
      <c r="H2265" s="38"/>
      <c r="I2265" s="1">
        <f>COUNTA(ProductInfo[[#This Row],[P1]:[P15]])</f>
        <v>0</v>
      </c>
      <c r="J22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5" s="7"/>
      <c r="M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>
      <c r="A2266" s="54" t="s">
        <v>2332</v>
      </c>
      <c r="B2266" s="8" t="s">
        <v>3303</v>
      </c>
      <c r="C2266" s="1" t="str">
        <f>RIGHT(ProductInfo[[#This Row],[Drawing No]],1)</f>
        <v>0</v>
      </c>
      <c r="D2266" s="199" t="s">
        <v>2810</v>
      </c>
      <c r="E2266" s="17"/>
      <c r="F2266" s="25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6" s="38"/>
      <c r="H2266" s="38"/>
      <c r="I2266" s="1">
        <f>COUNTA(ProductInfo[[#This Row],[P1]:[P15]])</f>
        <v>0</v>
      </c>
      <c r="J22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2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6" s="7"/>
      <c r="M2266" s="7"/>
      <c r="R2266" s="7"/>
      <c r="S2266" s="7"/>
    </row>
    <row r="2267" spans="1:26">
      <c r="A2267" s="15" t="s">
        <v>5649</v>
      </c>
      <c r="B2267" s="8" t="s">
        <v>5650</v>
      </c>
      <c r="C2267" s="2" t="str">
        <f>RIGHT(ProductInfo[[#This Row],[Drawing No]],1)</f>
        <v>0</v>
      </c>
      <c r="D2267" s="174" t="s">
        <v>5651</v>
      </c>
      <c r="E2267" s="16"/>
      <c r="F22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7" s="31"/>
      <c r="H2267" s="31"/>
      <c r="I2267" s="1">
        <f>COUNTA(ProductInfo[[#This Row],[P1]:[P15]])</f>
        <v>2</v>
      </c>
      <c r="J22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7" s="7" t="s">
        <v>12</v>
      </c>
      <c r="M2267" s="7" t="s">
        <v>13</v>
      </c>
    </row>
    <row r="2268" spans="1:26">
      <c r="A2268" s="54" t="s">
        <v>4722</v>
      </c>
      <c r="B2268" s="8" t="s">
        <v>4723</v>
      </c>
      <c r="C2268" s="2" t="str">
        <f>RIGHT(ProductInfo[[#This Row],[Drawing No]],1)</f>
        <v>0</v>
      </c>
      <c r="D2268" s="174" t="s">
        <v>4841</v>
      </c>
      <c r="E2268" s="16" t="s">
        <v>4831</v>
      </c>
      <c r="F2268" s="23" t="str">
        <f>IFERROR(INDEX(MaterialCode[รายละเอียด],MATCH(ProductInfo[[#This Row],[Material Code]],MaterialCode[Material Code],0)),"ไม่พบวัตถุดิบ")</f>
        <v>ท่ออลูมิเนียมโต 144 มม. 5 แฉก</v>
      </c>
      <c r="G2268" s="59">
        <v>26</v>
      </c>
      <c r="H2268" s="59">
        <v>50</v>
      </c>
      <c r="I2268" s="2">
        <f>COUNTA(ProductInfo[[#This Row],[P1]:[P15]])</f>
        <v>2</v>
      </c>
      <c r="J22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8" s="4" t="s">
        <v>12</v>
      </c>
      <c r="M2268" s="4" t="s">
        <v>13</v>
      </c>
      <c r="T2268" s="7"/>
      <c r="U2268" s="7"/>
      <c r="V2268" s="7"/>
      <c r="W2268" s="7"/>
      <c r="X2268" s="7"/>
      <c r="Y2268" s="7"/>
      <c r="Z2268" s="7"/>
    </row>
    <row r="2269" spans="1:26">
      <c r="A2269" s="15" t="s">
        <v>4809</v>
      </c>
      <c r="B2269" s="21" t="s">
        <v>4808</v>
      </c>
      <c r="C2269" s="2" t="str">
        <f>RIGHT(ProductInfo[[#This Row],[Drawing No]],1)</f>
        <v>0</v>
      </c>
      <c r="D2269" s="174" t="s">
        <v>4810</v>
      </c>
      <c r="E2269" s="16"/>
      <c r="F22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69" s="31"/>
      <c r="H2269" s="31"/>
      <c r="I2269" s="1">
        <f>COUNTA(ProductInfo[[#This Row],[P1]:[P15]])</f>
        <v>2</v>
      </c>
      <c r="J22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69" s="4" t="s">
        <v>12</v>
      </c>
      <c r="M2269" s="4" t="s">
        <v>13</v>
      </c>
    </row>
    <row r="2270" spans="1:26">
      <c r="A2270" s="54" t="s">
        <v>4789</v>
      </c>
      <c r="B2270" s="8" t="s">
        <v>4790</v>
      </c>
      <c r="C2270" s="2" t="str">
        <f>RIGHT(ProductInfo[[#This Row],[Drawing No]],1)</f>
        <v>0</v>
      </c>
      <c r="D2270" s="174" t="s">
        <v>4791</v>
      </c>
      <c r="E2270" s="16" t="s">
        <v>4832</v>
      </c>
      <c r="F2270" s="23" t="str">
        <f>IFERROR(INDEX(MaterialCode[รายละเอียด],MATCH(ProductInfo[[#This Row],[Material Code]],MaterialCode[Material Code],0)),"ไม่พบวัตถุดิบ")</f>
        <v>ท่ออลูมิเนียมโต 146 มม. รุใน 8แฉก</v>
      </c>
      <c r="G2270" s="59">
        <v>45</v>
      </c>
      <c r="H2270" s="31" t="s">
        <v>30</v>
      </c>
      <c r="I2270" s="1">
        <f>COUNTA(ProductInfo[[#This Row],[P1]:[P15]])</f>
        <v>2</v>
      </c>
      <c r="J22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70" s="4" t="s">
        <v>12</v>
      </c>
      <c r="M2270" s="4" t="s">
        <v>13</v>
      </c>
    </row>
    <row r="2271" spans="1:26" ht="19.8">
      <c r="A2271" s="54" t="s">
        <v>5846</v>
      </c>
      <c r="B2271" s="8" t="s">
        <v>5845</v>
      </c>
      <c r="C2271" s="2" t="str">
        <f>RIGHT(ProductInfo[[#This Row],[Drawing No]],1)</f>
        <v>0</v>
      </c>
      <c r="D2271" s="174" t="s">
        <v>5847</v>
      </c>
      <c r="E2271" s="121" t="s">
        <v>6530</v>
      </c>
      <c r="F227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271" s="59">
        <v>80.5</v>
      </c>
      <c r="H2271" s="59">
        <v>55</v>
      </c>
      <c r="I2271" s="1">
        <f>COUNTA(ProductInfo[[#This Row],[P1]:[P15]])</f>
        <v>2</v>
      </c>
      <c r="J22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71" s="7" t="s">
        <v>12</v>
      </c>
      <c r="M2271" s="7" t="s">
        <v>13</v>
      </c>
    </row>
    <row r="2272" spans="1:26" ht="19.8">
      <c r="A2272" s="54" t="s">
        <v>5848</v>
      </c>
      <c r="B2272" s="8" t="s">
        <v>5845</v>
      </c>
      <c r="C2272" s="2" t="str">
        <f>RIGHT(ProductInfo[[#This Row],[Drawing No]],1)</f>
        <v>0</v>
      </c>
      <c r="D2272" s="174" t="s">
        <v>5849</v>
      </c>
      <c r="E2272" s="121" t="s">
        <v>6530</v>
      </c>
      <c r="F2272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272" s="59">
        <v>80.5</v>
      </c>
      <c r="H2272" s="59">
        <v>55</v>
      </c>
      <c r="I2272" s="1"/>
      <c r="J22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72" s="7" t="s">
        <v>12</v>
      </c>
      <c r="M2272" s="7" t="s">
        <v>13</v>
      </c>
    </row>
    <row r="2273" spans="1:13">
      <c r="A2273" s="54" t="s">
        <v>5851</v>
      </c>
      <c r="B2273" s="8" t="s">
        <v>5850</v>
      </c>
      <c r="C2273" s="2" t="str">
        <f>RIGHT(ProductInfo[[#This Row],[Drawing No]],1)</f>
        <v>0</v>
      </c>
      <c r="D2273" s="174" t="s">
        <v>5864</v>
      </c>
      <c r="E2273" s="16" t="s">
        <v>3559</v>
      </c>
      <c r="F2273" s="23" t="s">
        <v>3560</v>
      </c>
      <c r="G2273" s="59">
        <v>162</v>
      </c>
      <c r="H2273" s="59">
        <v>100</v>
      </c>
      <c r="I2273" s="1">
        <v>2</v>
      </c>
      <c r="J2273" s="1">
        <v>2</v>
      </c>
      <c r="K2273" s="1">
        <v>0</v>
      </c>
      <c r="L2273" s="7" t="s">
        <v>12</v>
      </c>
      <c r="M2273" s="7" t="s">
        <v>13</v>
      </c>
    </row>
    <row r="2274" spans="1:13">
      <c r="A2274" s="8" t="s">
        <v>5853</v>
      </c>
      <c r="B2274" s="8" t="s">
        <v>5850</v>
      </c>
      <c r="C2274" s="2" t="str">
        <f>RIGHT(ProductInfo[[#This Row],[Drawing No]],1)</f>
        <v>0</v>
      </c>
      <c r="D2274" s="176" t="s">
        <v>5865</v>
      </c>
      <c r="E2274" s="16" t="s">
        <v>3559</v>
      </c>
      <c r="F2274" s="23" t="s">
        <v>3560</v>
      </c>
      <c r="G2274" s="59">
        <v>177</v>
      </c>
      <c r="H2274" s="59">
        <v>100</v>
      </c>
      <c r="I2274" s="1">
        <v>2</v>
      </c>
      <c r="J2274" s="1">
        <v>2</v>
      </c>
      <c r="K2274" s="1">
        <v>0</v>
      </c>
      <c r="L2274" s="7" t="s">
        <v>12</v>
      </c>
      <c r="M2274" s="7" t="s">
        <v>13</v>
      </c>
    </row>
    <row r="2275" spans="1:13">
      <c r="A2275" s="8" t="s">
        <v>5854</v>
      </c>
      <c r="B2275" s="8" t="s">
        <v>5850</v>
      </c>
      <c r="C2275" s="2" t="str">
        <f>RIGHT(ProductInfo[[#This Row],[Drawing No]],1)</f>
        <v>0</v>
      </c>
      <c r="D2275" s="176" t="s">
        <v>5866</v>
      </c>
      <c r="E2275" s="16" t="s">
        <v>3559</v>
      </c>
      <c r="F2275" s="23" t="s">
        <v>3560</v>
      </c>
      <c r="G2275" s="59">
        <v>187</v>
      </c>
      <c r="H2275" s="59">
        <v>100</v>
      </c>
      <c r="I2275" s="1">
        <v>2</v>
      </c>
      <c r="J2275" s="1">
        <v>2</v>
      </c>
      <c r="K2275" s="1">
        <v>0</v>
      </c>
      <c r="L2275" s="7" t="s">
        <v>12</v>
      </c>
      <c r="M2275" s="7" t="s">
        <v>13</v>
      </c>
    </row>
    <row r="2276" spans="1:13">
      <c r="A2276" s="54" t="s">
        <v>5857</v>
      </c>
      <c r="B2276" s="8" t="s">
        <v>5850</v>
      </c>
      <c r="C2276" s="2" t="str">
        <f>RIGHT(ProductInfo[[#This Row],[Drawing No]],1)</f>
        <v>0</v>
      </c>
      <c r="D2276" s="174" t="s">
        <v>5867</v>
      </c>
      <c r="E2276" s="16" t="s">
        <v>3559</v>
      </c>
      <c r="F2276" s="23" t="s">
        <v>3560</v>
      </c>
      <c r="G2276" s="59">
        <v>207</v>
      </c>
      <c r="H2276" s="59">
        <v>100</v>
      </c>
      <c r="I2276" s="1">
        <v>2</v>
      </c>
      <c r="J2276" s="1">
        <v>2</v>
      </c>
      <c r="K2276" s="1">
        <v>0</v>
      </c>
      <c r="L2276" s="7" t="s">
        <v>12</v>
      </c>
      <c r="M2276" s="7" t="s">
        <v>13</v>
      </c>
    </row>
    <row r="2277" spans="1:13">
      <c r="A2277" s="54" t="s">
        <v>5859</v>
      </c>
      <c r="B2277" s="8" t="s">
        <v>5850</v>
      </c>
      <c r="C2277" s="2" t="str">
        <f>RIGHT(ProductInfo[[#This Row],[Drawing No]],1)</f>
        <v>0</v>
      </c>
      <c r="D2277" s="174" t="s">
        <v>5868</v>
      </c>
      <c r="E2277" s="16" t="s">
        <v>3559</v>
      </c>
      <c r="F2277" s="23" t="s">
        <v>3560</v>
      </c>
      <c r="G2277" s="59">
        <v>242</v>
      </c>
      <c r="H2277" s="59">
        <v>100</v>
      </c>
      <c r="I2277" s="1">
        <v>2</v>
      </c>
      <c r="J2277" s="1">
        <v>2</v>
      </c>
      <c r="K2277" s="1">
        <v>0</v>
      </c>
      <c r="L2277" s="7" t="s">
        <v>12</v>
      </c>
      <c r="M2277" s="7" t="s">
        <v>13</v>
      </c>
    </row>
    <row r="2278" spans="1:13">
      <c r="A2278" s="54" t="s">
        <v>5861</v>
      </c>
      <c r="B2278" s="8" t="s">
        <v>5850</v>
      </c>
      <c r="C2278" s="2" t="str">
        <f>RIGHT(ProductInfo[[#This Row],[Drawing No]],1)</f>
        <v>0</v>
      </c>
      <c r="D2278" s="174" t="s">
        <v>5824</v>
      </c>
      <c r="E2278" s="16" t="s">
        <v>3559</v>
      </c>
      <c r="F2278" s="23" t="s">
        <v>3560</v>
      </c>
      <c r="G2278" s="59">
        <v>152</v>
      </c>
      <c r="H2278" s="59">
        <v>100</v>
      </c>
      <c r="I2278" s="1">
        <v>2</v>
      </c>
      <c r="J2278" s="1">
        <v>2</v>
      </c>
      <c r="K2278" s="1">
        <v>0</v>
      </c>
      <c r="L2278" s="7" t="s">
        <v>12</v>
      </c>
      <c r="M2278" s="7" t="s">
        <v>13</v>
      </c>
    </row>
    <row r="2279" spans="1:13">
      <c r="A2279" s="54" t="s">
        <v>5863</v>
      </c>
      <c r="B2279" s="8" t="s">
        <v>5850</v>
      </c>
      <c r="C2279" s="2" t="str">
        <f>RIGHT(ProductInfo[[#This Row],[Drawing No]],1)</f>
        <v>0</v>
      </c>
      <c r="D2279" s="174" t="s">
        <v>5790</v>
      </c>
      <c r="E2279" s="16" t="s">
        <v>3559</v>
      </c>
      <c r="F2279" s="23" t="s">
        <v>3560</v>
      </c>
      <c r="G2279" s="59">
        <v>157</v>
      </c>
      <c r="H2279" s="59">
        <v>100</v>
      </c>
      <c r="I2279" s="1">
        <v>2</v>
      </c>
      <c r="J2279" s="1">
        <v>2</v>
      </c>
      <c r="K2279" s="1">
        <v>0</v>
      </c>
      <c r="L2279" s="7" t="s">
        <v>12</v>
      </c>
      <c r="M2279" s="7" t="s">
        <v>13</v>
      </c>
    </row>
    <row r="2280" spans="1:13">
      <c r="A2280" s="54" t="s">
        <v>5870</v>
      </c>
      <c r="B2280" s="8" t="s">
        <v>5869</v>
      </c>
      <c r="C2280" s="2" t="str">
        <f>RIGHT(ProductInfo[[#This Row],[Drawing No]],1)</f>
        <v>0</v>
      </c>
      <c r="D2280" s="174" t="s">
        <v>5871</v>
      </c>
      <c r="E2280" s="16"/>
      <c r="F228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0" s="31"/>
      <c r="H2280" s="31"/>
      <c r="I2280" s="1">
        <f>COUNTA(ProductInfo[[#This Row],[P1]:[P15]])</f>
        <v>2</v>
      </c>
      <c r="J22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0" s="4" t="s">
        <v>12</v>
      </c>
      <c r="M2280" s="4" t="s">
        <v>13</v>
      </c>
    </row>
    <row r="2281" spans="1:13">
      <c r="A2281" s="15" t="s">
        <v>5873</v>
      </c>
      <c r="B2281" s="21" t="s">
        <v>5872</v>
      </c>
      <c r="C2281" s="2" t="str">
        <f>RIGHT(ProductInfo[[#This Row],[Drawing No]],1)</f>
        <v>0</v>
      </c>
      <c r="D2281" s="192" t="s">
        <v>5874</v>
      </c>
      <c r="E2281" s="16" t="s">
        <v>3421</v>
      </c>
      <c r="F2281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281" s="59">
        <v>78</v>
      </c>
      <c r="H2281" s="59">
        <v>60</v>
      </c>
      <c r="I2281" s="1">
        <f>COUNTA(ProductInfo[[#This Row],[P1]:[P15]])</f>
        <v>2</v>
      </c>
      <c r="J22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1" s="7" t="s">
        <v>12</v>
      </c>
      <c r="M2281" s="7" t="s">
        <v>13</v>
      </c>
    </row>
    <row r="2282" spans="1:13">
      <c r="A2282" s="54" t="s">
        <v>5832</v>
      </c>
      <c r="B2282" s="8" t="s">
        <v>5878</v>
      </c>
      <c r="C2282" s="2" t="str">
        <f>RIGHT(ProductInfo[[#This Row],[Drawing No]],1)</f>
        <v>1</v>
      </c>
      <c r="D2282" s="174" t="s">
        <v>5875</v>
      </c>
      <c r="E2282" s="16"/>
      <c r="F228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2" s="59">
        <v>137</v>
      </c>
      <c r="H2282" s="59">
        <v>60</v>
      </c>
      <c r="I2282" s="1">
        <f>COUNTA(ProductInfo[[#This Row],[P1]:[P15]])</f>
        <v>2</v>
      </c>
      <c r="J22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2" s="7" t="s">
        <v>12</v>
      </c>
      <c r="M2282" s="4" t="s">
        <v>13</v>
      </c>
    </row>
    <row r="2283" spans="1:13">
      <c r="A2283" s="54" t="s">
        <v>5833</v>
      </c>
      <c r="B2283" s="8" t="s">
        <v>5878</v>
      </c>
      <c r="C2283" s="2" t="str">
        <f>RIGHT(ProductInfo[[#This Row],[Drawing No]],1)</f>
        <v>1</v>
      </c>
      <c r="D2283" s="174" t="s">
        <v>5876</v>
      </c>
      <c r="E2283" s="16"/>
      <c r="F22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3" s="59">
        <v>157</v>
      </c>
      <c r="H2283" s="59">
        <v>60</v>
      </c>
      <c r="I2283" s="1">
        <f>COUNTA(ProductInfo[[#This Row],[P1]:[P15]])</f>
        <v>2</v>
      </c>
      <c r="J22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3" s="7" t="s">
        <v>12</v>
      </c>
      <c r="M2283" s="4" t="s">
        <v>13</v>
      </c>
    </row>
    <row r="2284" spans="1:13">
      <c r="A2284" s="54" t="s">
        <v>5834</v>
      </c>
      <c r="B2284" s="8" t="s">
        <v>5878</v>
      </c>
      <c r="C2284" s="2" t="str">
        <f>RIGHT(ProductInfo[[#This Row],[Drawing No]],1)</f>
        <v>1</v>
      </c>
      <c r="D2284" s="174" t="s">
        <v>5879</v>
      </c>
      <c r="E2284" s="16"/>
      <c r="F22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4" s="59">
        <v>187</v>
      </c>
      <c r="H2284" s="59">
        <v>60</v>
      </c>
      <c r="I2284" s="1">
        <f>COUNTA(ProductInfo[[#This Row],[P1]:[P15]])</f>
        <v>2</v>
      </c>
      <c r="J22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4" s="7" t="s">
        <v>12</v>
      </c>
      <c r="M2284" s="4" t="s">
        <v>13</v>
      </c>
    </row>
    <row r="2285" spans="1:13">
      <c r="A2285" s="54" t="s">
        <v>5838</v>
      </c>
      <c r="B2285" s="8" t="s">
        <v>5878</v>
      </c>
      <c r="C2285" s="2" t="str">
        <f>RIGHT(ProductInfo[[#This Row],[Drawing No]],1)</f>
        <v>1</v>
      </c>
      <c r="D2285" s="174" t="s">
        <v>5880</v>
      </c>
      <c r="E2285" s="16"/>
      <c r="F228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5" s="59">
        <v>167</v>
      </c>
      <c r="H2285" s="59">
        <v>60</v>
      </c>
      <c r="I2285" s="1">
        <f>COUNTA(ProductInfo[[#This Row],[P1]:[P15]])</f>
        <v>2</v>
      </c>
      <c r="J22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5" s="7" t="s">
        <v>12</v>
      </c>
      <c r="M2285" s="4" t="s">
        <v>13</v>
      </c>
    </row>
    <row r="2286" spans="1:13">
      <c r="A2286" s="54" t="s">
        <v>5840</v>
      </c>
      <c r="B2286" s="8" t="s">
        <v>5878</v>
      </c>
      <c r="C2286" s="2" t="str">
        <f>RIGHT(ProductInfo[[#This Row],[Drawing No]],1)</f>
        <v>1</v>
      </c>
      <c r="D2286" s="174" t="s">
        <v>5881</v>
      </c>
      <c r="E2286" s="16"/>
      <c r="F22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6" s="59">
        <v>207</v>
      </c>
      <c r="H2286" s="59">
        <v>60</v>
      </c>
      <c r="I2286" s="1">
        <f>COUNTA(ProductInfo[[#This Row],[P1]:[P15]])</f>
        <v>2</v>
      </c>
      <c r="J22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6" s="7" t="s">
        <v>12</v>
      </c>
      <c r="M2286" s="4" t="s">
        <v>13</v>
      </c>
    </row>
    <row r="2287" spans="1:13">
      <c r="A2287" s="54" t="s">
        <v>5883</v>
      </c>
      <c r="B2287" s="8" t="s">
        <v>5882</v>
      </c>
      <c r="C2287" s="2" t="str">
        <f>RIGHT(ProductInfo[[#This Row],[Drawing No]],1)</f>
        <v>1</v>
      </c>
      <c r="D2287" s="174" t="s">
        <v>5884</v>
      </c>
      <c r="E2287" s="16"/>
      <c r="F22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287" s="59">
        <v>132</v>
      </c>
      <c r="H2287" s="59">
        <v>80</v>
      </c>
      <c r="I2287" s="1">
        <f>COUNTA(ProductInfo[[#This Row],[P1]:[P15]])</f>
        <v>2</v>
      </c>
      <c r="J22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7" s="7" t="s">
        <v>12</v>
      </c>
      <c r="M2287" s="4" t="s">
        <v>13</v>
      </c>
    </row>
    <row r="2288" spans="1:13" ht="19.8">
      <c r="A2288" s="54" t="s">
        <v>5888</v>
      </c>
      <c r="B2288" s="8" t="s">
        <v>5885</v>
      </c>
      <c r="C2288" s="2" t="str">
        <f>RIGHT(ProductInfo[[#This Row],[Drawing No]],1)</f>
        <v>0</v>
      </c>
      <c r="D2288" s="174" t="s">
        <v>5887</v>
      </c>
      <c r="E2288" s="121" t="s">
        <v>6530</v>
      </c>
      <c r="F2288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288" s="31" t="s">
        <v>5889</v>
      </c>
      <c r="H2288" s="59">
        <v>110</v>
      </c>
      <c r="I2288" s="1">
        <f>COUNTA(ProductInfo[[#This Row],[P1]:[P15]])</f>
        <v>2</v>
      </c>
      <c r="J22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88" s="7" t="s">
        <v>12</v>
      </c>
      <c r="M2288" s="4" t="s">
        <v>13</v>
      </c>
    </row>
    <row r="2289" spans="1:25">
      <c r="A2289" s="8" t="s">
        <v>5894</v>
      </c>
      <c r="B2289" s="8" t="s">
        <v>5989</v>
      </c>
      <c r="C2289" s="2" t="str">
        <f>RIGHT(ProductInfo[[#This Row],[Drawing No]],1)</f>
        <v>1</v>
      </c>
      <c r="D2289" s="179" t="s">
        <v>3267</v>
      </c>
      <c r="E2289" s="18" t="s">
        <v>3476</v>
      </c>
      <c r="F2289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289" s="3">
        <v>217</v>
      </c>
      <c r="H2289" s="3">
        <v>100</v>
      </c>
      <c r="I2289" s="2">
        <f>COUNTA(ProductInfo[[#This Row],[P1]:[P15]])</f>
        <v>4</v>
      </c>
      <c r="J2289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289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89" s="4" t="s">
        <v>12</v>
      </c>
      <c r="M2289" s="4" t="s">
        <v>13</v>
      </c>
      <c r="N2289" s="4" t="s">
        <v>15</v>
      </c>
      <c r="O2289" s="4" t="s">
        <v>14</v>
      </c>
    </row>
    <row r="2290" spans="1:25">
      <c r="A2290" s="8" t="s">
        <v>5895</v>
      </c>
      <c r="B2290" s="8" t="s">
        <v>5989</v>
      </c>
      <c r="C2290" s="2" t="str">
        <f>RIGHT(ProductInfo[[#This Row],[Drawing No]],1)</f>
        <v>1</v>
      </c>
      <c r="D2290" s="179" t="s">
        <v>5991</v>
      </c>
      <c r="E2290" s="18" t="s">
        <v>3476</v>
      </c>
      <c r="F2290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290" s="3">
        <v>262</v>
      </c>
      <c r="H2290" s="3">
        <v>100</v>
      </c>
      <c r="I2290" s="2">
        <f>COUNTA(ProductInfo[[#This Row],[P1]:[P15]])</f>
        <v>4</v>
      </c>
      <c r="J2290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290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90" s="4" t="s">
        <v>12</v>
      </c>
      <c r="M2290" s="4" t="s">
        <v>13</v>
      </c>
      <c r="N2290" s="4" t="s">
        <v>15</v>
      </c>
      <c r="O2290" s="4" t="s">
        <v>14</v>
      </c>
    </row>
    <row r="2291" spans="1:25">
      <c r="A2291" s="8" t="s">
        <v>5896</v>
      </c>
      <c r="B2291" s="8" t="s">
        <v>5989</v>
      </c>
      <c r="C2291" s="2" t="str">
        <f>RIGHT(ProductInfo[[#This Row],[Drawing No]],1)</f>
        <v>1</v>
      </c>
      <c r="D2291" s="179" t="s">
        <v>5149</v>
      </c>
      <c r="E2291" s="18" t="s">
        <v>3476</v>
      </c>
      <c r="F2291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291" s="3">
        <v>303</v>
      </c>
      <c r="H2291" s="3">
        <v>100</v>
      </c>
      <c r="I2291" s="2">
        <f>COUNTA(ProductInfo[[#This Row],[P1]:[P15]])</f>
        <v>4</v>
      </c>
      <c r="J2291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291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91" s="4" t="s">
        <v>12</v>
      </c>
      <c r="M2291" s="4" t="s">
        <v>13</v>
      </c>
      <c r="N2291" s="4" t="s">
        <v>15</v>
      </c>
      <c r="O2291" s="4" t="s">
        <v>14</v>
      </c>
    </row>
    <row r="2292" spans="1:25">
      <c r="A2292" s="8" t="s">
        <v>5897</v>
      </c>
      <c r="B2292" s="8" t="s">
        <v>5989</v>
      </c>
      <c r="C2292" s="2" t="str">
        <f>RIGHT(ProductInfo[[#This Row],[Drawing No]],1)</f>
        <v>1</v>
      </c>
      <c r="D2292" s="179" t="s">
        <v>5992</v>
      </c>
      <c r="E2292" s="18" t="s">
        <v>3476</v>
      </c>
      <c r="F2292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292" s="3">
        <v>353</v>
      </c>
      <c r="H2292" s="3">
        <v>100</v>
      </c>
      <c r="I2292" s="2">
        <f>COUNTA(ProductInfo[[#This Row],[P1]:[P15]])</f>
        <v>4</v>
      </c>
      <c r="J2292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292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292" s="4" t="s">
        <v>12</v>
      </c>
      <c r="M2292" s="4" t="s">
        <v>13</v>
      </c>
      <c r="N2292" s="4" t="s">
        <v>15</v>
      </c>
      <c r="O2292" s="4" t="s">
        <v>14</v>
      </c>
    </row>
    <row r="2293" spans="1:25">
      <c r="A2293" s="33" t="s">
        <v>5898</v>
      </c>
      <c r="B2293" s="82" t="s">
        <v>6122</v>
      </c>
      <c r="C2293" s="2" t="str">
        <f>RIGHT(ProductInfo[[#This Row],[Drawing No]],1)</f>
        <v>0</v>
      </c>
      <c r="D2293" s="205" t="s">
        <v>5918</v>
      </c>
      <c r="E2293" s="16" t="s">
        <v>3559</v>
      </c>
      <c r="F229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3" s="3">
        <v>137</v>
      </c>
      <c r="H2293" s="3">
        <v>100</v>
      </c>
      <c r="I2293" s="2">
        <f>COUNTA(ProductInfo[[#This Row],[P1]:[P15]])</f>
        <v>2</v>
      </c>
      <c r="J2293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3" s="4" t="s">
        <v>12</v>
      </c>
      <c r="M2293" s="4" t="s">
        <v>13</v>
      </c>
    </row>
    <row r="2294" spans="1:25">
      <c r="A2294" s="33" t="s">
        <v>5900</v>
      </c>
      <c r="B2294" s="82" t="s">
        <v>6122</v>
      </c>
      <c r="C2294" s="2" t="str">
        <f>RIGHT(ProductInfo[[#This Row],[Drawing No]],1)</f>
        <v>0</v>
      </c>
      <c r="D2294" s="205" t="s">
        <v>5919</v>
      </c>
      <c r="E2294" s="16" t="s">
        <v>3559</v>
      </c>
      <c r="F229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4" s="59">
        <v>152</v>
      </c>
      <c r="H2294" s="3">
        <v>100</v>
      </c>
      <c r="I2294" s="1">
        <f>COUNTA(ProductInfo[[#This Row],[P1]:[P15]])</f>
        <v>2</v>
      </c>
      <c r="J22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4" s="4" t="s">
        <v>12</v>
      </c>
      <c r="M2294" s="4" t="s">
        <v>13</v>
      </c>
    </row>
    <row r="2295" spans="1:25">
      <c r="A2295" s="33" t="s">
        <v>5901</v>
      </c>
      <c r="B2295" s="82" t="s">
        <v>6122</v>
      </c>
      <c r="C2295" s="2" t="str">
        <f>RIGHT(ProductInfo[[#This Row],[Drawing No]],1)</f>
        <v>0</v>
      </c>
      <c r="D2295" s="205" t="s">
        <v>5920</v>
      </c>
      <c r="E2295" s="16" t="s">
        <v>3559</v>
      </c>
      <c r="F229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5" s="59">
        <v>157</v>
      </c>
      <c r="H2295" s="3">
        <v>100</v>
      </c>
      <c r="I2295" s="1">
        <f>COUNTA(ProductInfo[[#This Row],[P1]:[P15]])</f>
        <v>2</v>
      </c>
      <c r="J22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5" s="4" t="s">
        <v>12</v>
      </c>
      <c r="M2295" s="4" t="s">
        <v>13</v>
      </c>
    </row>
    <row r="2296" spans="1:25">
      <c r="A2296" s="33" t="s">
        <v>5903</v>
      </c>
      <c r="B2296" s="82" t="s">
        <v>6122</v>
      </c>
      <c r="C2296" s="2" t="str">
        <f>RIGHT(ProductInfo[[#This Row],[Drawing No]],1)</f>
        <v>0</v>
      </c>
      <c r="D2296" s="205" t="s">
        <v>5921</v>
      </c>
      <c r="E2296" s="16" t="s">
        <v>3559</v>
      </c>
      <c r="F229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6" s="59">
        <v>162</v>
      </c>
      <c r="H2296" s="3">
        <v>100</v>
      </c>
      <c r="I2296" s="1">
        <f>COUNTA(ProductInfo[[#This Row],[P1]:[P15]])</f>
        <v>2</v>
      </c>
      <c r="J22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6" s="4" t="s">
        <v>12</v>
      </c>
      <c r="M2296" s="4" t="s">
        <v>13</v>
      </c>
    </row>
    <row r="2297" spans="1:25">
      <c r="A2297" s="33" t="s">
        <v>5904</v>
      </c>
      <c r="B2297" s="82" t="s">
        <v>6122</v>
      </c>
      <c r="C2297" s="2" t="str">
        <f>RIGHT(ProductInfo[[#This Row],[Drawing No]],1)</f>
        <v>0</v>
      </c>
      <c r="D2297" s="205" t="s">
        <v>5922</v>
      </c>
      <c r="E2297" s="16" t="s">
        <v>3559</v>
      </c>
      <c r="F2297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7" s="59">
        <v>167</v>
      </c>
      <c r="H2297" s="3">
        <v>100</v>
      </c>
      <c r="I2297" s="1">
        <f>COUNTA(ProductInfo[[#This Row],[P1]:[P15]])</f>
        <v>2</v>
      </c>
      <c r="J22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7" s="4" t="s">
        <v>12</v>
      </c>
      <c r="M2297" s="4" t="s">
        <v>13</v>
      </c>
    </row>
    <row r="2298" spans="1:25">
      <c r="A2298" s="33" t="s">
        <v>5905</v>
      </c>
      <c r="B2298" s="82" t="s">
        <v>6122</v>
      </c>
      <c r="C2298" s="2" t="str">
        <f>RIGHT(ProductInfo[[#This Row],[Drawing No]],1)</f>
        <v>0</v>
      </c>
      <c r="D2298" s="205" t="s">
        <v>5923</v>
      </c>
      <c r="E2298" s="16" t="s">
        <v>3559</v>
      </c>
      <c r="F2298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8" s="59">
        <v>172</v>
      </c>
      <c r="H2298" s="3">
        <v>100</v>
      </c>
      <c r="I2298" s="1">
        <f>COUNTA(ProductInfo[[#This Row],[P1]:[P15]])</f>
        <v>2</v>
      </c>
      <c r="J22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8" s="4" t="s">
        <v>12</v>
      </c>
      <c r="M2298" s="4" t="s">
        <v>13</v>
      </c>
    </row>
    <row r="2299" spans="1:25">
      <c r="A2299" s="33" t="s">
        <v>5906</v>
      </c>
      <c r="B2299" s="82" t="s">
        <v>6122</v>
      </c>
      <c r="C2299" s="2" t="str">
        <f>RIGHT(ProductInfo[[#This Row],[Drawing No]],1)</f>
        <v>0</v>
      </c>
      <c r="D2299" s="205" t="s">
        <v>5924</v>
      </c>
      <c r="E2299" s="16" t="s">
        <v>3559</v>
      </c>
      <c r="F2299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299" s="59">
        <v>177</v>
      </c>
      <c r="H2299" s="3">
        <v>100</v>
      </c>
      <c r="I2299" s="1">
        <f>COUNTA(ProductInfo[[#This Row],[P1]:[P15]])</f>
        <v>2</v>
      </c>
      <c r="J22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2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299" s="4" t="s">
        <v>12</v>
      </c>
      <c r="M2299" s="4" t="s">
        <v>13</v>
      </c>
    </row>
    <row r="2300" spans="1:25">
      <c r="A2300" s="33" t="s">
        <v>5907</v>
      </c>
      <c r="B2300" s="82" t="s">
        <v>6122</v>
      </c>
      <c r="C2300" s="2" t="str">
        <f>RIGHT(ProductInfo[[#This Row],[Drawing No]],1)</f>
        <v>0</v>
      </c>
      <c r="D2300" s="205" t="s">
        <v>5925</v>
      </c>
      <c r="E2300" s="16" t="s">
        <v>3559</v>
      </c>
      <c r="F230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300" s="59">
        <v>187</v>
      </c>
      <c r="H2300" s="3">
        <v>100</v>
      </c>
      <c r="I2300" s="1">
        <f>COUNTA(ProductInfo[[#This Row],[P1]:[P15]])</f>
        <v>2</v>
      </c>
      <c r="J23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0" s="4" t="s">
        <v>12</v>
      </c>
      <c r="M2300" s="4" t="s">
        <v>13</v>
      </c>
    </row>
    <row r="2301" spans="1:25">
      <c r="A2301" s="33" t="s">
        <v>5908</v>
      </c>
      <c r="B2301" s="82" t="s">
        <v>6122</v>
      </c>
      <c r="C2301" s="2" t="str">
        <f>RIGHT(ProductInfo[[#This Row],[Drawing No]],1)</f>
        <v>0</v>
      </c>
      <c r="D2301" s="205" t="s">
        <v>5926</v>
      </c>
      <c r="E2301" s="16" t="s">
        <v>3559</v>
      </c>
      <c r="F230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301" s="59">
        <v>207</v>
      </c>
      <c r="H2301" s="3">
        <v>100</v>
      </c>
      <c r="I2301" s="1">
        <f>COUNTA(ProductInfo[[#This Row],[P1]:[P15]])</f>
        <v>2</v>
      </c>
      <c r="J23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1" s="4" t="s">
        <v>12</v>
      </c>
      <c r="M2301" s="4" t="s">
        <v>13</v>
      </c>
    </row>
    <row r="2302" spans="1:25">
      <c r="A2302" s="33" t="s">
        <v>5909</v>
      </c>
      <c r="B2302" s="82" t="s">
        <v>6122</v>
      </c>
      <c r="C2302" s="2" t="str">
        <f>RIGHT(ProductInfo[[#This Row],[Drawing No]],1)</f>
        <v>0</v>
      </c>
      <c r="D2302" s="205" t="s">
        <v>5927</v>
      </c>
      <c r="E2302" s="16" t="s">
        <v>3559</v>
      </c>
      <c r="F230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302" s="59">
        <v>242</v>
      </c>
      <c r="H2302" s="3">
        <v>100</v>
      </c>
      <c r="I2302" s="1">
        <f>COUNTA(ProductInfo[[#This Row],[P1]:[P15]])</f>
        <v>2</v>
      </c>
      <c r="J23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2" s="4" t="s">
        <v>12</v>
      </c>
      <c r="M2302" s="4" t="s">
        <v>13</v>
      </c>
    </row>
    <row r="2303" spans="1:25">
      <c r="A2303" s="33" t="s">
        <v>5929</v>
      </c>
      <c r="B2303" s="21" t="s">
        <v>5928</v>
      </c>
      <c r="C2303" s="2" t="str">
        <f>RIGHT(ProductInfo[[#This Row],[Drawing No]],1)</f>
        <v>0</v>
      </c>
      <c r="D2303" s="205" t="s">
        <v>5930</v>
      </c>
      <c r="E2303" s="16" t="s">
        <v>3421</v>
      </c>
      <c r="F2303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303" s="59">
        <v>77.5</v>
      </c>
      <c r="H2303" s="59">
        <v>110</v>
      </c>
      <c r="I2303" s="1">
        <f>COUNTA(ProductInfo[[#This Row],[P1]:[P15]])</f>
        <v>4</v>
      </c>
      <c r="J23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03" s="4" t="s">
        <v>12</v>
      </c>
      <c r="M2303" s="4" t="s">
        <v>13</v>
      </c>
      <c r="N2303" s="4" t="s">
        <v>15</v>
      </c>
      <c r="O2303" s="4" t="s">
        <v>16</v>
      </c>
    </row>
    <row r="2304" spans="1:25" ht="19.8">
      <c r="A2304" s="33" t="s">
        <v>5934</v>
      </c>
      <c r="B2304" s="72" t="s">
        <v>6001</v>
      </c>
      <c r="C2304" s="2" t="str">
        <f>RIGHT(ProductInfo[[#This Row],[Drawing No]],1)</f>
        <v>1</v>
      </c>
      <c r="D2304" s="206" t="s">
        <v>5959</v>
      </c>
      <c r="E2304" s="121" t="s">
        <v>6530</v>
      </c>
      <c r="F230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04" s="59">
        <v>75.5</v>
      </c>
      <c r="H2304" s="59">
        <v>110</v>
      </c>
      <c r="I2304" s="1">
        <f>COUNTA(ProductInfo[[#This Row],[P1]:[P15]])</f>
        <v>5</v>
      </c>
      <c r="J23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04" s="4" t="s">
        <v>12</v>
      </c>
      <c r="M2304" s="4" t="s">
        <v>13</v>
      </c>
      <c r="N2304" s="4" t="s">
        <v>15</v>
      </c>
      <c r="O2304" s="4" t="s">
        <v>16</v>
      </c>
      <c r="Y2304" s="4" t="s">
        <v>5822</v>
      </c>
    </row>
    <row r="2305" spans="1:25" ht="27.6">
      <c r="A2305" s="33" t="s">
        <v>5935</v>
      </c>
      <c r="B2305" s="8" t="s">
        <v>6772</v>
      </c>
      <c r="C2305" s="2" t="str">
        <f>RIGHT(ProductInfo[[#This Row],[Drawing No]],1)</f>
        <v>2</v>
      </c>
      <c r="D2305" s="206" t="s">
        <v>5942</v>
      </c>
      <c r="E2305" s="259" t="s">
        <v>7039</v>
      </c>
      <c r="F2305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05" s="59">
        <v>117</v>
      </c>
      <c r="H2305" s="59">
        <v>60</v>
      </c>
      <c r="I2305" s="1">
        <f>COUNTA(ProductInfo[[#This Row],[P1]:[P15]])</f>
        <v>2</v>
      </c>
      <c r="J23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5" s="4" t="s">
        <v>12</v>
      </c>
      <c r="M2305" s="4" t="s">
        <v>13</v>
      </c>
    </row>
    <row r="2306" spans="1:25" ht="27.6">
      <c r="A2306" s="54" t="s">
        <v>5936</v>
      </c>
      <c r="B2306" s="8" t="s">
        <v>6772</v>
      </c>
      <c r="C2306" s="2" t="str">
        <f>RIGHT(ProductInfo[[#This Row],[Drawing No]],1)</f>
        <v>2</v>
      </c>
      <c r="D2306" s="206" t="s">
        <v>5943</v>
      </c>
      <c r="E2306" s="259" t="s">
        <v>7039</v>
      </c>
      <c r="F2306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06" s="59">
        <v>127</v>
      </c>
      <c r="H2306" s="59">
        <v>60</v>
      </c>
      <c r="I2306" s="1">
        <f>COUNTA(ProductInfo[[#This Row],[P1]:[P15]])</f>
        <v>2</v>
      </c>
      <c r="J23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6" s="4" t="s">
        <v>12</v>
      </c>
      <c r="M2306" s="4" t="s">
        <v>13</v>
      </c>
    </row>
    <row r="2307" spans="1:25" ht="27.6">
      <c r="A2307" s="54" t="s">
        <v>5937</v>
      </c>
      <c r="B2307" s="8" t="s">
        <v>6772</v>
      </c>
      <c r="C2307" s="2" t="str">
        <f>RIGHT(ProductInfo[[#This Row],[Drawing No]],1)</f>
        <v>2</v>
      </c>
      <c r="D2307" s="206" t="s">
        <v>5945</v>
      </c>
      <c r="E2307" s="259" t="s">
        <v>7039</v>
      </c>
      <c r="F2307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07" s="59">
        <v>147</v>
      </c>
      <c r="H2307" s="59">
        <v>60</v>
      </c>
      <c r="I2307" s="1">
        <f>COUNTA(ProductInfo[[#This Row],[P1]:[P15]])</f>
        <v>2</v>
      </c>
      <c r="J23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7" s="4" t="s">
        <v>12</v>
      </c>
      <c r="M2307" s="4" t="s">
        <v>13</v>
      </c>
    </row>
    <row r="2308" spans="1:25" ht="27.6">
      <c r="A2308" s="54" t="s">
        <v>5932</v>
      </c>
      <c r="B2308" s="8" t="s">
        <v>6772</v>
      </c>
      <c r="C2308" s="2" t="str">
        <f>RIGHT(ProductInfo[[#This Row],[Drawing No]],1)</f>
        <v>2</v>
      </c>
      <c r="D2308" s="206" t="s">
        <v>5944</v>
      </c>
      <c r="E2308" s="259" t="s">
        <v>7039</v>
      </c>
      <c r="F2308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08" s="59">
        <v>137</v>
      </c>
      <c r="H2308" s="59">
        <v>60</v>
      </c>
      <c r="I2308" s="1">
        <f>COUNTA(ProductInfo[[#This Row],[P1]:[P15]])</f>
        <v>2</v>
      </c>
      <c r="J23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8" s="4" t="s">
        <v>12</v>
      </c>
      <c r="M2308" s="4" t="s">
        <v>13</v>
      </c>
    </row>
    <row r="2309" spans="1:25" ht="27.6">
      <c r="A2309" s="54" t="s">
        <v>5938</v>
      </c>
      <c r="B2309" s="8" t="s">
        <v>6772</v>
      </c>
      <c r="C2309" s="2" t="str">
        <f>RIGHT(ProductInfo[[#This Row],[Drawing No]],1)</f>
        <v>2</v>
      </c>
      <c r="D2309" s="206" t="s">
        <v>5946</v>
      </c>
      <c r="E2309" s="259" t="s">
        <v>7039</v>
      </c>
      <c r="F2309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09" s="59">
        <v>157</v>
      </c>
      <c r="H2309" s="59">
        <v>60</v>
      </c>
      <c r="I2309" s="1">
        <f>COUNTA(ProductInfo[[#This Row],[P1]:[P15]])</f>
        <v>2</v>
      </c>
      <c r="J23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09" s="4" t="s">
        <v>12</v>
      </c>
      <c r="M2309" s="4" t="s">
        <v>13</v>
      </c>
    </row>
    <row r="2310" spans="1:25" ht="27.6">
      <c r="A2310" s="54" t="s">
        <v>5939</v>
      </c>
      <c r="B2310" s="8" t="s">
        <v>6772</v>
      </c>
      <c r="C2310" s="2" t="str">
        <f>RIGHT(ProductInfo[[#This Row],[Drawing No]],1)</f>
        <v>2</v>
      </c>
      <c r="D2310" s="206" t="s">
        <v>5947</v>
      </c>
      <c r="E2310" s="259" t="s">
        <v>7039</v>
      </c>
      <c r="F2310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10" s="59">
        <v>167</v>
      </c>
      <c r="H2310" s="59">
        <v>60</v>
      </c>
      <c r="I2310" s="1">
        <f>COUNTA(ProductInfo[[#This Row],[P1]:[P15]])</f>
        <v>2</v>
      </c>
      <c r="J23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0" s="4" t="s">
        <v>12</v>
      </c>
      <c r="M2310" s="4" t="s">
        <v>13</v>
      </c>
    </row>
    <row r="2311" spans="1:25" ht="27.6">
      <c r="A2311" s="54" t="s">
        <v>5940</v>
      </c>
      <c r="B2311" s="8" t="s">
        <v>6772</v>
      </c>
      <c r="C2311" s="2" t="str">
        <f>RIGHT(ProductInfo[[#This Row],[Drawing No]],1)</f>
        <v>2</v>
      </c>
      <c r="D2311" s="206" t="s">
        <v>5948</v>
      </c>
      <c r="E2311" s="259" t="s">
        <v>7039</v>
      </c>
      <c r="F2311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11" s="59">
        <v>187</v>
      </c>
      <c r="H2311" s="59">
        <v>60</v>
      </c>
      <c r="I2311" s="1">
        <f>COUNTA(ProductInfo[[#This Row],[P1]:[P15]])</f>
        <v>2</v>
      </c>
      <c r="J23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1" s="4" t="s">
        <v>12</v>
      </c>
      <c r="M2311" s="4" t="s">
        <v>13</v>
      </c>
    </row>
    <row r="2312" spans="1:25" ht="27.6">
      <c r="A2312" s="54" t="s">
        <v>5941</v>
      </c>
      <c r="B2312" s="8" t="s">
        <v>6772</v>
      </c>
      <c r="C2312" s="2" t="str">
        <f>RIGHT(ProductInfo[[#This Row],[Drawing No]],1)</f>
        <v>2</v>
      </c>
      <c r="D2312" s="206" t="s">
        <v>5949</v>
      </c>
      <c r="E2312" s="259" t="s">
        <v>7039</v>
      </c>
      <c r="F2312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12" s="59">
        <v>207</v>
      </c>
      <c r="H2312" s="59">
        <v>60</v>
      </c>
      <c r="I2312" s="1">
        <f>COUNTA(ProductInfo[[#This Row],[P1]:[P15]])</f>
        <v>2</v>
      </c>
      <c r="J23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2" s="4" t="s">
        <v>12</v>
      </c>
      <c r="M2312" s="4" t="s">
        <v>13</v>
      </c>
    </row>
    <row r="2313" spans="1:25" ht="19.8">
      <c r="A2313" s="33" t="s">
        <v>5955</v>
      </c>
      <c r="B2313" s="82" t="s">
        <v>6000</v>
      </c>
      <c r="C2313" s="2" t="str">
        <f>RIGHT(ProductInfo[[#This Row],[Drawing No]],1)</f>
        <v>1</v>
      </c>
      <c r="D2313" s="205" t="s">
        <v>5956</v>
      </c>
      <c r="E2313" s="121" t="s">
        <v>6530</v>
      </c>
      <c r="F2313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13" s="59">
        <v>80.5</v>
      </c>
      <c r="H2313" s="59">
        <v>110</v>
      </c>
      <c r="I2313" s="1">
        <f>COUNTA(ProductInfo[[#This Row],[P1]:[P15]])</f>
        <v>3</v>
      </c>
      <c r="J23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13" s="4" t="s">
        <v>12</v>
      </c>
      <c r="M2313" s="4" t="s">
        <v>13</v>
      </c>
      <c r="N2313" s="4" t="s">
        <v>16</v>
      </c>
    </row>
    <row r="2314" spans="1:25" ht="19.8">
      <c r="A2314" s="33" t="s">
        <v>5957</v>
      </c>
      <c r="B2314" s="82" t="s">
        <v>6000</v>
      </c>
      <c r="C2314" s="2" t="str">
        <f>RIGHT(ProductInfo[[#This Row],[Drawing No]],1)</f>
        <v>1</v>
      </c>
      <c r="D2314" s="205" t="s">
        <v>5958</v>
      </c>
      <c r="E2314" s="121" t="s">
        <v>6530</v>
      </c>
      <c r="F231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14" s="59">
        <v>80.5</v>
      </c>
      <c r="H2314" s="59">
        <v>110</v>
      </c>
      <c r="I2314" s="1">
        <f>COUNTA(ProductInfo[[#This Row],[P1]:[P15]])</f>
        <v>3</v>
      </c>
      <c r="J23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14" s="4" t="s">
        <v>12</v>
      </c>
      <c r="M2314" s="4" t="s">
        <v>13</v>
      </c>
      <c r="N2314" s="4" t="s">
        <v>16</v>
      </c>
    </row>
    <row r="2315" spans="1:25" ht="19.8">
      <c r="A2315" s="33" t="s">
        <v>5964</v>
      </c>
      <c r="B2315" s="72" t="s">
        <v>6001</v>
      </c>
      <c r="C2315" s="2" t="str">
        <f>RIGHT(ProductInfo[[#This Row],[Drawing No]],1)</f>
        <v>1</v>
      </c>
      <c r="D2315" s="206" t="s">
        <v>5960</v>
      </c>
      <c r="E2315" s="121" t="s">
        <v>6530</v>
      </c>
      <c r="F2315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15" s="59">
        <v>75.5</v>
      </c>
      <c r="H2315" s="59">
        <v>110</v>
      </c>
      <c r="I2315" s="1">
        <f>COUNTA(ProductInfo[[#This Row],[P1]:[P15]])</f>
        <v>5</v>
      </c>
      <c r="J23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15" s="4" t="s">
        <v>12</v>
      </c>
      <c r="M2315" s="4" t="s">
        <v>13</v>
      </c>
      <c r="N2315" s="4" t="s">
        <v>15</v>
      </c>
      <c r="O2315" s="4" t="s">
        <v>16</v>
      </c>
      <c r="Y2315" s="4" t="s">
        <v>5822</v>
      </c>
    </row>
    <row r="2316" spans="1:25">
      <c r="A2316" s="54" t="s">
        <v>5962</v>
      </c>
      <c r="B2316" s="8" t="s">
        <v>5981</v>
      </c>
      <c r="C2316" s="2" t="str">
        <f>RIGHT(ProductInfo[[#This Row],[Drawing No]],1)</f>
        <v>1</v>
      </c>
      <c r="D2316" s="205" t="s">
        <v>5963</v>
      </c>
      <c r="E2316" s="16"/>
      <c r="F231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16" s="59">
        <v>73.5</v>
      </c>
      <c r="H2316" s="59">
        <v>60</v>
      </c>
      <c r="I2316" s="1">
        <f>COUNTA(ProductInfo[[#This Row],[P1]:[P15]])</f>
        <v>2</v>
      </c>
      <c r="J23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6" s="7" t="s">
        <v>12</v>
      </c>
      <c r="M2316" s="7" t="s">
        <v>13</v>
      </c>
    </row>
    <row r="2317" spans="1:25">
      <c r="A2317" s="54" t="s">
        <v>5966</v>
      </c>
      <c r="B2317" s="8" t="s">
        <v>5965</v>
      </c>
      <c r="C2317" s="2" t="str">
        <f>RIGHT(ProductInfo[[#This Row],[Drawing No]],1)</f>
        <v>0</v>
      </c>
      <c r="D2317" s="174" t="s">
        <v>5968</v>
      </c>
      <c r="E2317" s="16" t="s">
        <v>3423</v>
      </c>
      <c r="F2317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76.2 มม. </v>
      </c>
      <c r="G2317" s="59">
        <v>47</v>
      </c>
      <c r="H2317" s="31"/>
      <c r="I2317" s="1">
        <f>COUNTA(ProductInfo[[#This Row],[P1]:[P15]])</f>
        <v>2</v>
      </c>
      <c r="J23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7" s="7" t="s">
        <v>12</v>
      </c>
      <c r="M2317" s="7" t="s">
        <v>13</v>
      </c>
    </row>
    <row r="2318" spans="1:25">
      <c r="A2318" s="54" t="s">
        <v>5970</v>
      </c>
      <c r="B2318" s="8" t="s">
        <v>5969</v>
      </c>
      <c r="C2318" s="2" t="str">
        <f>RIGHT(ProductInfo[[#This Row],[Drawing No]],1)</f>
        <v>0</v>
      </c>
      <c r="D2318" s="174" t="s">
        <v>5968</v>
      </c>
      <c r="E2318" s="16" t="s">
        <v>3423</v>
      </c>
      <c r="F2318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76.2 มม. </v>
      </c>
      <c r="G2318" s="59">
        <v>49</v>
      </c>
      <c r="H2318" s="31"/>
      <c r="I2318" s="1">
        <f>COUNTA(ProductInfo[[#This Row],[P1]:[P15]])</f>
        <v>2</v>
      </c>
      <c r="J23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8" s="7" t="s">
        <v>12</v>
      </c>
      <c r="M2318" s="7" t="s">
        <v>13</v>
      </c>
    </row>
    <row r="2319" spans="1:25" ht="19.8">
      <c r="A2319" s="33" t="s">
        <v>5972</v>
      </c>
      <c r="B2319" s="82" t="s">
        <v>5971</v>
      </c>
      <c r="C2319" s="2" t="str">
        <f>RIGHT(ProductInfo[[#This Row],[Drawing No]],1)</f>
        <v>0</v>
      </c>
      <c r="D2319" s="205" t="s">
        <v>5973</v>
      </c>
      <c r="E2319" s="121" t="s">
        <v>6530</v>
      </c>
      <c r="F2319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19" s="59">
        <v>75.5</v>
      </c>
      <c r="H2319" s="59">
        <v>110</v>
      </c>
      <c r="I2319" s="1">
        <f>COUNTA(ProductInfo[[#This Row],[P1]:[P15]])</f>
        <v>0</v>
      </c>
      <c r="J23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19" s="7"/>
      <c r="M2319" s="7"/>
    </row>
    <row r="2320" spans="1:25">
      <c r="A2320" s="54" t="s">
        <v>5976</v>
      </c>
      <c r="B2320" s="8" t="s">
        <v>5974</v>
      </c>
      <c r="C2320" s="2" t="str">
        <f>RIGHT(ProductInfo[[#This Row],[Drawing No]],1)</f>
        <v>0</v>
      </c>
      <c r="D2320" s="174" t="s">
        <v>5975</v>
      </c>
      <c r="E2320" s="16"/>
      <c r="F232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20" s="31"/>
      <c r="H2320" s="31"/>
      <c r="I2320" s="1">
        <f>COUNTA(ProductInfo[[#This Row],[P1]:[P15]])</f>
        <v>0</v>
      </c>
      <c r="J23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0" s="7"/>
      <c r="M2320" s="7"/>
    </row>
    <row r="2321" spans="1:26">
      <c r="A2321" s="54" t="s">
        <v>5983</v>
      </c>
      <c r="B2321" s="8" t="s">
        <v>5982</v>
      </c>
      <c r="C2321" s="2" t="str">
        <f>RIGHT(ProductInfo[[#This Row],[Drawing No]],1)</f>
        <v>0</v>
      </c>
      <c r="D2321" s="174" t="s">
        <v>5984</v>
      </c>
      <c r="E2321" s="16" t="s">
        <v>6529</v>
      </c>
      <c r="F232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321" s="59">
        <v>107.5</v>
      </c>
      <c r="H2321" s="59">
        <v>110</v>
      </c>
      <c r="I2321" s="1">
        <f>COUNTA(ProductInfo[[#This Row],[P1]:[P15]])</f>
        <v>2</v>
      </c>
      <c r="J23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1" s="7" t="s">
        <v>12</v>
      </c>
      <c r="M2321" s="7" t="s">
        <v>13</v>
      </c>
    </row>
    <row r="2322" spans="1:26" s="1" customFormat="1">
      <c r="A2322" s="8" t="s">
        <v>5986</v>
      </c>
      <c r="B2322" s="8" t="s">
        <v>5985</v>
      </c>
      <c r="C2322" s="2" t="str">
        <f>RIGHT(ProductInfo[[#This Row],[Drawing No]],1)</f>
        <v>0</v>
      </c>
      <c r="D2322" s="176" t="s">
        <v>5474</v>
      </c>
      <c r="E2322" s="16" t="s">
        <v>5627</v>
      </c>
      <c r="F2322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322" s="31"/>
      <c r="H2322" s="31"/>
      <c r="I2322" s="1">
        <f>COUNTA(ProductInfo[[#This Row],[P1]:[P15]])</f>
        <v>5</v>
      </c>
      <c r="J23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22" s="7" t="s">
        <v>12</v>
      </c>
      <c r="M2322" s="7" t="s">
        <v>13</v>
      </c>
      <c r="N2322" s="7" t="s">
        <v>15</v>
      </c>
      <c r="O2322" s="7" t="s">
        <v>16</v>
      </c>
      <c r="P2322" s="7" t="s">
        <v>19</v>
      </c>
      <c r="Q2322" s="7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>
      <c r="A2323" s="54" t="s">
        <v>5993</v>
      </c>
      <c r="B2323" s="8" t="s">
        <v>5989</v>
      </c>
      <c r="C2323" s="2" t="str">
        <f>RIGHT(ProductInfo[[#This Row],[Drawing No]],1)</f>
        <v>1</v>
      </c>
      <c r="D2323" s="179" t="s">
        <v>5994</v>
      </c>
      <c r="E2323" s="18" t="s">
        <v>3476</v>
      </c>
      <c r="F2323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323" s="3">
        <v>243</v>
      </c>
      <c r="H2323" s="3">
        <v>100</v>
      </c>
      <c r="I2323" s="2">
        <f>COUNTA(ProductInfo[[#This Row],[P1]:[P15]])</f>
        <v>4</v>
      </c>
      <c r="J2323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23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23" s="4" t="s">
        <v>12</v>
      </c>
      <c r="M2323" s="4" t="s">
        <v>13</v>
      </c>
      <c r="N2323" s="4" t="s">
        <v>15</v>
      </c>
      <c r="O2323" s="4" t="s">
        <v>14</v>
      </c>
    </row>
    <row r="2324" spans="1:26">
      <c r="A2324" s="54" t="s">
        <v>5996</v>
      </c>
      <c r="B2324" s="8" t="s">
        <v>5995</v>
      </c>
      <c r="C2324" s="2" t="str">
        <f>RIGHT(ProductInfo[[#This Row],[Drawing No]],1)</f>
        <v>0</v>
      </c>
      <c r="D2324" s="174" t="s">
        <v>5997</v>
      </c>
      <c r="E2324" s="16" t="s">
        <v>3529</v>
      </c>
      <c r="F2324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324" s="59">
        <v>19.5</v>
      </c>
      <c r="H2324" s="59">
        <v>100</v>
      </c>
      <c r="I2324" s="1">
        <f>COUNTA(ProductInfo[[#This Row],[P1]:[P15]])</f>
        <v>2</v>
      </c>
      <c r="J23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4" s="7" t="s">
        <v>12</v>
      </c>
      <c r="M2324" s="7" t="s">
        <v>13</v>
      </c>
    </row>
    <row r="2325" spans="1:26">
      <c r="A2325" s="8" t="s">
        <v>6003</v>
      </c>
      <c r="B2325" s="8" t="s">
        <v>6002</v>
      </c>
      <c r="C2325" s="1" t="str">
        <f>RIGHT(ProductInfo[[#This Row],[Drawing No]],1)</f>
        <v>0</v>
      </c>
      <c r="D2325" s="179" t="s">
        <v>1772</v>
      </c>
      <c r="E2325" s="16"/>
      <c r="F2325" s="26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25" s="3"/>
      <c r="H2325" s="3"/>
      <c r="I2325" s="1">
        <f>COUNTA(ProductInfo[[#This Row],[P1]:[P15]])</f>
        <v>6</v>
      </c>
      <c r="J23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25" s="7" t="s">
        <v>12</v>
      </c>
      <c r="M2325" s="7" t="s">
        <v>13</v>
      </c>
      <c r="N2325" s="4" t="s">
        <v>14</v>
      </c>
      <c r="O2325" s="4" t="s">
        <v>15</v>
      </c>
      <c r="P2325" s="4" t="s">
        <v>16</v>
      </c>
      <c r="Q2325" s="4" t="s">
        <v>19</v>
      </c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>
      <c r="A2326" s="54" t="s">
        <v>6005</v>
      </c>
      <c r="B2326" s="8" t="s">
        <v>6004</v>
      </c>
      <c r="C2326" s="2" t="str">
        <f>RIGHT(ProductInfo[[#This Row],[Drawing No]],1)</f>
        <v>3</v>
      </c>
      <c r="D2326" s="176" t="s">
        <v>6007</v>
      </c>
      <c r="E2326" s="16" t="s">
        <v>7034</v>
      </c>
      <c r="F2326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326" s="59">
        <v>237</v>
      </c>
      <c r="H2326" s="59">
        <v>100</v>
      </c>
      <c r="I2326" s="1">
        <f>COUNTA(ProductInfo[[#This Row],[P1]:[P15]])</f>
        <v>2</v>
      </c>
      <c r="J23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6" s="7" t="s">
        <v>12</v>
      </c>
      <c r="M2326" s="7" t="s">
        <v>13</v>
      </c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>
      <c r="A2327" s="8" t="s">
        <v>6353</v>
      </c>
      <c r="B2327" s="8" t="s">
        <v>6451</v>
      </c>
      <c r="C2327" s="2" t="str">
        <f>RIGHT(ProductInfo[[#This Row],[Drawing No]],1)</f>
        <v>1</v>
      </c>
      <c r="D2327" s="176" t="s">
        <v>6481</v>
      </c>
      <c r="E2327" s="16" t="s">
        <v>4607</v>
      </c>
      <c r="F2327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327" s="59">
        <v>455</v>
      </c>
      <c r="H2327" s="59">
        <v>20</v>
      </c>
      <c r="I2327" s="1">
        <f>COUNTA(ProductInfo[[#This Row],[P1]:[P15]])</f>
        <v>5</v>
      </c>
      <c r="J23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5</v>
      </c>
      <c r="K23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27" s="4" t="s">
        <v>12</v>
      </c>
      <c r="M2327" s="4" t="s">
        <v>13</v>
      </c>
      <c r="N2327" s="4" t="s">
        <v>14</v>
      </c>
      <c r="O2327" s="4" t="s">
        <v>3105</v>
      </c>
      <c r="P2327" s="4" t="s">
        <v>4609</v>
      </c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>
      <c r="A2328" s="8" t="s">
        <v>6011</v>
      </c>
      <c r="B2328" s="8" t="s">
        <v>6010</v>
      </c>
      <c r="C2328" s="1" t="str">
        <f>RIGHT(ProductInfo[[#This Row],[Drawing No]],1)</f>
        <v>0</v>
      </c>
      <c r="D2328" s="179" t="s">
        <v>2992</v>
      </c>
      <c r="E2328" s="18" t="s">
        <v>4524</v>
      </c>
      <c r="F2328" s="26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328" s="96">
        <v>86</v>
      </c>
      <c r="H2328" s="96">
        <v>50</v>
      </c>
      <c r="I2328" s="1">
        <f>COUNTA(ProductInfo[[#This Row],[P1]:[P15]])</f>
        <v>5</v>
      </c>
      <c r="J23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328" s="7" t="s">
        <v>15</v>
      </c>
      <c r="M2328" s="7" t="s">
        <v>12</v>
      </c>
      <c r="N2328" s="4" t="s">
        <v>16</v>
      </c>
      <c r="O2328" s="4" t="s">
        <v>19</v>
      </c>
      <c r="P2328" s="4" t="s">
        <v>25</v>
      </c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>
      <c r="A2329" s="8" t="s">
        <v>6013</v>
      </c>
      <c r="B2329" s="8" t="s">
        <v>6012</v>
      </c>
      <c r="C2329" s="2" t="str">
        <f>RIGHT(ProductInfo[[#This Row],[Drawing No]],1)</f>
        <v>0</v>
      </c>
      <c r="D2329" s="176" t="s">
        <v>4840</v>
      </c>
      <c r="E2329" s="16" t="s">
        <v>3722</v>
      </c>
      <c r="F2329" s="23" t="str">
        <f>IFERROR(INDEX(MaterialCode[รายละเอียด],MATCH(ProductInfo[[#This Row],[Material Code]],MaterialCode[Material Code],0)),"ไม่พบวัตถุดิบ")</f>
        <v>MATT FORDGE G M42</v>
      </c>
      <c r="G2329" s="59">
        <v>1</v>
      </c>
      <c r="H2329" s="3">
        <v>40</v>
      </c>
      <c r="I2329" s="1">
        <f>COUNTA(ProductInfo[[#This Row],[P1]:[P15]])</f>
        <v>5</v>
      </c>
      <c r="J23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29" s="7" t="s">
        <v>12</v>
      </c>
      <c r="M2329" s="7" t="s">
        <v>13</v>
      </c>
      <c r="N2329" s="4" t="s">
        <v>15</v>
      </c>
      <c r="O2329" s="4" t="s">
        <v>16</v>
      </c>
      <c r="P2329" s="4" t="s">
        <v>19</v>
      </c>
    </row>
    <row r="2330" spans="1:26">
      <c r="A2330" s="8" t="s">
        <v>6015</v>
      </c>
      <c r="B2330" s="8" t="s">
        <v>6014</v>
      </c>
      <c r="C2330" s="1" t="str">
        <f>RIGHT(ProductInfo[[#This Row],[Drawing No]],1)</f>
        <v>0</v>
      </c>
      <c r="D2330" s="176" t="s">
        <v>3183</v>
      </c>
      <c r="E2330" s="16" t="s">
        <v>3726</v>
      </c>
      <c r="F2330" s="23" t="str">
        <f>IFERROR(INDEX(MaterialCode[รายละเอียด],MATCH(ProductInfo[[#This Row],[Material Code]],MaterialCode[Material Code],0)),"ไม่พบวัตถุดิบ")</f>
        <v>MATT FORDGE G M35</v>
      </c>
      <c r="G2330" s="31"/>
      <c r="H2330" s="3">
        <v>50</v>
      </c>
      <c r="I2330" s="1">
        <f>COUNTA(ProductInfo[[#This Row],[P1]:[P15]])</f>
        <v>3</v>
      </c>
      <c r="J23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30" s="7" t="s">
        <v>12</v>
      </c>
      <c r="M2330" s="7" t="s">
        <v>13</v>
      </c>
      <c r="N2330" s="4" t="s">
        <v>16</v>
      </c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>
      <c r="A2331" s="34" t="s">
        <v>6017</v>
      </c>
      <c r="B2331" s="34" t="s">
        <v>6016</v>
      </c>
      <c r="C2331" s="1" t="str">
        <f>RIGHT(ProductInfo[[#This Row],[Drawing No]],1)</f>
        <v>0</v>
      </c>
      <c r="D2331" s="194" t="s">
        <v>2699</v>
      </c>
      <c r="E2331" s="18" t="s">
        <v>3459</v>
      </c>
      <c r="F2331" s="26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331" s="3">
        <v>60</v>
      </c>
      <c r="H2331" s="3">
        <v>110</v>
      </c>
      <c r="I2331" s="1">
        <f>COUNTA(ProductInfo[[#This Row],[P1]:[P15]])</f>
        <v>2</v>
      </c>
      <c r="J23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31" s="7" t="s">
        <v>12</v>
      </c>
      <c r="M2331" s="7" t="s">
        <v>13</v>
      </c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s="1" customFormat="1">
      <c r="A2332" s="8" t="s">
        <v>6019</v>
      </c>
      <c r="B2332" s="8" t="s">
        <v>6018</v>
      </c>
      <c r="C2332" s="1" t="str">
        <f>RIGHT(ProductInfo[[#This Row],[Drawing No]],1)</f>
        <v>0</v>
      </c>
      <c r="D2332" s="176" t="s">
        <v>2694</v>
      </c>
      <c r="E2332" s="32" t="s">
        <v>3536</v>
      </c>
      <c r="F2332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332" s="59">
        <v>65</v>
      </c>
      <c r="H2332" s="59">
        <v>100</v>
      </c>
      <c r="I2332" s="1">
        <f>COUNTA(ProductInfo[[#This Row],[P1]:[P15]])</f>
        <v>3</v>
      </c>
      <c r="J23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32" s="7" t="s">
        <v>12</v>
      </c>
      <c r="M2332" s="7" t="s">
        <v>15</v>
      </c>
      <c r="N2332" s="7" t="s">
        <v>16</v>
      </c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>
      <c r="A2333" s="54" t="s">
        <v>6022</v>
      </c>
      <c r="B2333" s="8" t="s">
        <v>6021</v>
      </c>
      <c r="C2333" s="2" t="str">
        <f>RIGHT(ProductInfo[[#This Row],[Drawing No]],1)</f>
        <v>0</v>
      </c>
      <c r="D2333" s="174" t="s">
        <v>5975</v>
      </c>
      <c r="E2333" s="16" t="s">
        <v>3427</v>
      </c>
      <c r="F2333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2333" s="31" t="s">
        <v>6347</v>
      </c>
      <c r="H2333" s="31" t="s">
        <v>6273</v>
      </c>
      <c r="I2333" s="1">
        <f>COUNTA(ProductInfo[[#This Row],[P1]:[P15]])</f>
        <v>5</v>
      </c>
      <c r="J23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33" s="7" t="s">
        <v>12</v>
      </c>
      <c r="M2333" s="7" t="s">
        <v>13</v>
      </c>
      <c r="N2333" s="7" t="s">
        <v>14</v>
      </c>
      <c r="O2333" s="4" t="s">
        <v>15</v>
      </c>
      <c r="Q2333" s="4" t="s">
        <v>19</v>
      </c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s="1" customFormat="1">
      <c r="A2334" s="8" t="s">
        <v>6026</v>
      </c>
      <c r="B2334" s="8" t="s">
        <v>6025</v>
      </c>
      <c r="C2334" s="1" t="str">
        <f>RIGHT(ProductInfo[[#This Row],[Drawing No]],1)</f>
        <v>0</v>
      </c>
      <c r="D2334" s="176" t="s">
        <v>2585</v>
      </c>
      <c r="E2334" s="16" t="s">
        <v>3726</v>
      </c>
      <c r="F2334" s="23" t="str">
        <f>IFERROR(INDEX(MaterialCode[รายละเอียด],MATCH(ProductInfo[[#This Row],[Material Code]],MaterialCode[Material Code],0)),"ไม่พบวัตถุดิบ")</f>
        <v>MATT FORDGE G M35</v>
      </c>
      <c r="G2334" s="31"/>
      <c r="H2334" s="3">
        <v>50</v>
      </c>
      <c r="I2334" s="1">
        <f>COUNTA(ProductInfo[[#This Row],[P1]:[P15]])</f>
        <v>2</v>
      </c>
      <c r="J23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34" s="7" t="s">
        <v>12</v>
      </c>
      <c r="M2334" s="7" t="s">
        <v>13</v>
      </c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>
      <c r="A2335" s="8" t="s">
        <v>6032</v>
      </c>
      <c r="B2335" s="8" t="s">
        <v>6033</v>
      </c>
      <c r="C2335" s="2" t="str">
        <f>RIGHT(ProductInfo[[#This Row],[Drawing No]],1)</f>
        <v>0</v>
      </c>
      <c r="D2335" s="176" t="s">
        <v>3257</v>
      </c>
      <c r="E2335" s="16" t="s">
        <v>3718</v>
      </c>
      <c r="F2335" s="23" t="str">
        <f>IFERROR(INDEX(MaterialCode[รายละเอียด],MATCH(ProductInfo[[#This Row],[Material Code]],MaterialCode[Material Code],0)),"ไม่พบวัตถุดิบ")</f>
        <v>MATT FORDGE G M35</v>
      </c>
      <c r="G2335" s="59">
        <v>1</v>
      </c>
      <c r="H2335" s="3">
        <v>50</v>
      </c>
      <c r="I2335" s="2">
        <f>COUNTA(ProductInfo[[#This Row],[P1]:[P15]])</f>
        <v>4</v>
      </c>
      <c r="J2335" s="2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5" s="2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35" s="4" t="s">
        <v>12</v>
      </c>
      <c r="M2335" s="7" t="s">
        <v>13</v>
      </c>
      <c r="N2335" s="4" t="s">
        <v>15</v>
      </c>
      <c r="O2335" s="4" t="s">
        <v>16</v>
      </c>
    </row>
    <row r="2336" spans="1:26">
      <c r="A2336" s="8" t="s">
        <v>6029</v>
      </c>
      <c r="B2336" s="8" t="s">
        <v>6028</v>
      </c>
      <c r="C2336" s="1" t="str">
        <f>RIGHT(ProductInfo[[#This Row],[Drawing No]],1)</f>
        <v>0</v>
      </c>
      <c r="D2336" s="176" t="s">
        <v>3182</v>
      </c>
      <c r="E2336" s="16" t="s">
        <v>3718</v>
      </c>
      <c r="F2336" s="23" t="str">
        <f>IFERROR(INDEX(MaterialCode[รายละเอียด],MATCH(ProductInfo[[#This Row],[Material Code]],MaterialCode[Material Code],0)),"ไม่พบวัตถุดิบ")</f>
        <v>MATT FORDGE G M35</v>
      </c>
      <c r="G2336" s="59">
        <v>1</v>
      </c>
      <c r="H2336" s="3">
        <v>50</v>
      </c>
      <c r="I2336" s="1">
        <f>COUNTA(ProductInfo[[#This Row],[P1]:[P15]])</f>
        <v>5</v>
      </c>
      <c r="J23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36" s="7" t="s">
        <v>12</v>
      </c>
      <c r="M2336" s="7" t="s">
        <v>13</v>
      </c>
      <c r="N2336" s="7" t="s">
        <v>14</v>
      </c>
      <c r="O2336" s="4" t="s">
        <v>15</v>
      </c>
      <c r="P2336" s="4" t="s">
        <v>16</v>
      </c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>
      <c r="A2337" s="33" t="s">
        <v>6038</v>
      </c>
      <c r="B2337" s="72" t="s">
        <v>6037</v>
      </c>
      <c r="C2337" s="2" t="str">
        <f>RIGHT(ProductInfo[[#This Row],[Drawing No]],1)</f>
        <v>0</v>
      </c>
      <c r="D2337" s="206" t="s">
        <v>6039</v>
      </c>
      <c r="E2337" s="16"/>
      <c r="F23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37" s="31"/>
      <c r="H2337" s="31"/>
      <c r="I2337" s="1">
        <f>COUNTA(ProductInfo[[#This Row],[P1]:[P15]])</f>
        <v>0</v>
      </c>
      <c r="J23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37" s="7"/>
      <c r="M2337" s="7"/>
      <c r="N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>
      <c r="A2338" s="33" t="s">
        <v>6066</v>
      </c>
      <c r="B2338" s="72" t="s">
        <v>6035</v>
      </c>
      <c r="C2338" s="2" t="str">
        <f>RIGHT(ProductInfo[[#This Row],[Drawing No]],1)</f>
        <v>0</v>
      </c>
      <c r="D2338" s="206" t="s">
        <v>6040</v>
      </c>
      <c r="E2338" s="16"/>
      <c r="F23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38" s="31"/>
      <c r="H2338" s="31"/>
      <c r="I2338" s="1">
        <f>COUNTA(ProductInfo[[#This Row],[P1]:[P15]])</f>
        <v>0</v>
      </c>
      <c r="J23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38" s="7"/>
      <c r="M2338" s="7"/>
      <c r="N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>
      <c r="A2339" s="8" t="s">
        <v>6041</v>
      </c>
      <c r="B2339" s="8" t="s">
        <v>6042</v>
      </c>
      <c r="C2339" s="2" t="str">
        <f>RIGHT(ProductInfo[[#This Row],[Drawing No]],1)</f>
        <v>0</v>
      </c>
      <c r="D2339" s="176" t="s">
        <v>5567</v>
      </c>
      <c r="E2339" s="16" t="s">
        <v>5665</v>
      </c>
      <c r="F2339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339" s="59">
        <v>1</v>
      </c>
      <c r="H2339" s="59">
        <v>40</v>
      </c>
      <c r="I2339" s="1">
        <f>COUNTA(ProductInfo[[#This Row],[P1]:[P15]])</f>
        <v>5</v>
      </c>
      <c r="J23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39" s="7" t="s">
        <v>12</v>
      </c>
      <c r="M2339" s="7" t="s">
        <v>13</v>
      </c>
      <c r="N2339" s="4" t="s">
        <v>15</v>
      </c>
      <c r="O2339" s="4" t="s">
        <v>16</v>
      </c>
      <c r="P2339" s="4" t="s">
        <v>19</v>
      </c>
    </row>
    <row r="2340" spans="1:26">
      <c r="A2340" s="8" t="s">
        <v>6043</v>
      </c>
      <c r="B2340" s="8" t="s">
        <v>6044</v>
      </c>
      <c r="C2340" s="2" t="str">
        <f>RIGHT(ProductInfo[[#This Row],[Drawing No]],1)</f>
        <v>0</v>
      </c>
      <c r="D2340" s="176" t="s">
        <v>4448</v>
      </c>
      <c r="E2340" s="16" t="s">
        <v>5665</v>
      </c>
      <c r="F2340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340" s="59">
        <v>97.5</v>
      </c>
      <c r="H2340" s="3">
        <v>40</v>
      </c>
      <c r="I2340" s="1">
        <f>COUNTA(ProductInfo[[#This Row],[P1]:[P15]])</f>
        <v>7</v>
      </c>
      <c r="J23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340" s="4" t="s">
        <v>12</v>
      </c>
      <c r="M2340" s="4" t="s">
        <v>13</v>
      </c>
      <c r="N2340" s="4" t="s">
        <v>15</v>
      </c>
      <c r="O2340" s="7" t="s">
        <v>16</v>
      </c>
      <c r="P2340" s="4" t="s">
        <v>19</v>
      </c>
      <c r="Q2340" s="4" t="s">
        <v>25</v>
      </c>
      <c r="R2340" s="7" t="s">
        <v>14</v>
      </c>
    </row>
    <row r="2341" spans="1:26">
      <c r="A2341" s="54" t="s">
        <v>6045</v>
      </c>
      <c r="B2341" s="8" t="s">
        <v>6047</v>
      </c>
      <c r="C2341" s="2" t="str">
        <f>RIGHT(ProductInfo[[#This Row],[Drawing No]],1)</f>
        <v>0</v>
      </c>
      <c r="D2341" s="174" t="s">
        <v>6046</v>
      </c>
      <c r="E2341" s="16" t="s">
        <v>5952</v>
      </c>
      <c r="F2341" s="23" t="str">
        <f>IFERROR(INDEX(MaterialCode[รายละเอียด],MATCH(ProductInfo[[#This Row],[Material Code]],MaterialCode[Material Code],0)),"ไม่พบวัตถุดิบ")</f>
        <v>ท่ออลูมิเนียม 60.5x49.5 แปดแฉก</v>
      </c>
      <c r="G2341" s="31" t="s">
        <v>4899</v>
      </c>
      <c r="H2341" s="31" t="s">
        <v>5999</v>
      </c>
      <c r="I2341" s="1">
        <f>COUNTA(ProductInfo[[#This Row],[P1]:[P15]])</f>
        <v>0</v>
      </c>
      <c r="J23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1" s="4"/>
      <c r="O2341" s="7"/>
      <c r="R2341" s="7"/>
    </row>
    <row r="2342" spans="1:26">
      <c r="A2342" s="54" t="s">
        <v>6049</v>
      </c>
      <c r="B2342" s="8" t="s">
        <v>6048</v>
      </c>
      <c r="C2342" s="2" t="str">
        <f>RIGHT(ProductInfo[[#This Row],[Drawing No]],1)</f>
        <v>0</v>
      </c>
      <c r="D2342" s="174" t="s">
        <v>6050</v>
      </c>
      <c r="E2342" s="16"/>
      <c r="F23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2" s="31"/>
      <c r="H2342" s="31"/>
      <c r="I2342" s="1">
        <f>COUNTA(ProductInfo[[#This Row],[P1]:[P15]])</f>
        <v>0</v>
      </c>
      <c r="J23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2" s="4"/>
      <c r="O2342" s="7"/>
      <c r="R2342" s="7"/>
    </row>
    <row r="2343" spans="1:26">
      <c r="A2343" s="54" t="s">
        <v>6051</v>
      </c>
      <c r="B2343" s="8" t="s">
        <v>6052</v>
      </c>
      <c r="C2343" s="2" t="str">
        <f>RIGHT(ProductInfo[[#This Row],[Drawing No]],1)</f>
        <v>0</v>
      </c>
      <c r="D2343" s="174" t="s">
        <v>6053</v>
      </c>
      <c r="E2343" s="16"/>
      <c r="F23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3" s="31"/>
      <c r="H2343" s="31"/>
      <c r="I2343" s="1">
        <f>COUNTA(ProductInfo[[#This Row],[P1]:[P15]])</f>
        <v>0</v>
      </c>
      <c r="J23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3" s="4"/>
      <c r="O2343" s="7"/>
      <c r="R2343" s="7"/>
    </row>
    <row r="2344" spans="1:26">
      <c r="A2344" s="54" t="s">
        <v>6054</v>
      </c>
      <c r="B2344" s="8" t="s">
        <v>6052</v>
      </c>
      <c r="C2344" s="2" t="str">
        <f>RIGHT(ProductInfo[[#This Row],[Drawing No]],1)</f>
        <v>0</v>
      </c>
      <c r="D2344" s="174" t="s">
        <v>6055</v>
      </c>
      <c r="E2344" s="16" t="s">
        <v>5952</v>
      </c>
      <c r="F2344" s="23" t="str">
        <f>IFERROR(INDEX(MaterialCode[รายละเอียด],MATCH(ProductInfo[[#This Row],[Material Code]],MaterialCode[Material Code],0)),"ไม่พบวัตถุดิบ")</f>
        <v>ท่ออลูมิเนียม 60.5x49.5 แปดแฉก</v>
      </c>
      <c r="G2344" s="31" t="s">
        <v>6081</v>
      </c>
      <c r="H2344" s="31" t="s">
        <v>4897</v>
      </c>
      <c r="I2344" s="1">
        <f>COUNTA(ProductInfo[[#This Row],[P1]:[P15]])</f>
        <v>0</v>
      </c>
      <c r="J23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4" s="4"/>
      <c r="O2344" s="7"/>
      <c r="R2344" s="7"/>
    </row>
    <row r="2345" spans="1:26">
      <c r="A2345" s="54" t="s">
        <v>6056</v>
      </c>
      <c r="B2345" s="8" t="s">
        <v>6052</v>
      </c>
      <c r="C2345" s="2" t="str">
        <f>RIGHT(ProductInfo[[#This Row],[Drawing No]],1)</f>
        <v>0</v>
      </c>
      <c r="D2345" s="174" t="s">
        <v>6057</v>
      </c>
      <c r="E2345" s="16"/>
      <c r="F234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5" s="31"/>
      <c r="H2345" s="31"/>
      <c r="I2345" s="1">
        <f>COUNTA(ProductInfo[[#This Row],[P1]:[P15]])</f>
        <v>0</v>
      </c>
      <c r="J23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5" s="4"/>
      <c r="O2345" s="7"/>
      <c r="R2345" s="7"/>
    </row>
    <row r="2346" spans="1:26">
      <c r="A2346" s="54" t="s">
        <v>6058</v>
      </c>
      <c r="B2346" s="8" t="s">
        <v>6052</v>
      </c>
      <c r="C2346" s="2" t="str">
        <f>RIGHT(ProductInfo[[#This Row],[Drawing No]],1)</f>
        <v>0</v>
      </c>
      <c r="D2346" s="174" t="s">
        <v>6059</v>
      </c>
      <c r="E2346" s="16"/>
      <c r="F234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6" s="31"/>
      <c r="H2346" s="31"/>
      <c r="I2346" s="1">
        <f>COUNTA(ProductInfo[[#This Row],[P1]:[P15]])</f>
        <v>0</v>
      </c>
      <c r="J23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6" s="4"/>
      <c r="O2346" s="7"/>
      <c r="R2346" s="7"/>
    </row>
    <row r="2347" spans="1:26">
      <c r="A2347" s="54" t="s">
        <v>6060</v>
      </c>
      <c r="B2347" s="8" t="s">
        <v>6052</v>
      </c>
      <c r="C2347" s="2" t="str">
        <f>RIGHT(ProductInfo[[#This Row],[Drawing No]],1)</f>
        <v>0</v>
      </c>
      <c r="D2347" s="174" t="s">
        <v>6061</v>
      </c>
      <c r="E2347" s="16"/>
      <c r="F234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7" s="31"/>
      <c r="H2347" s="31"/>
      <c r="I2347" s="1">
        <f>COUNTA(ProductInfo[[#This Row],[P1]:[P15]])</f>
        <v>0</v>
      </c>
      <c r="J23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7" s="4"/>
      <c r="O2347" s="7"/>
      <c r="R2347" s="7"/>
    </row>
    <row r="2348" spans="1:26">
      <c r="A2348" s="54" t="s">
        <v>6062</v>
      </c>
      <c r="B2348" s="8" t="s">
        <v>6052</v>
      </c>
      <c r="C2348" s="2" t="str">
        <f>RIGHT(ProductInfo[[#This Row],[Drawing No]],1)</f>
        <v>0</v>
      </c>
      <c r="D2348" s="174" t="s">
        <v>6063</v>
      </c>
      <c r="E2348" s="16"/>
      <c r="F234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8" s="31"/>
      <c r="H2348" s="31"/>
      <c r="I2348" s="1">
        <f>COUNTA(ProductInfo[[#This Row],[P1]:[P15]])</f>
        <v>0</v>
      </c>
      <c r="J23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8" s="4"/>
      <c r="O2348" s="7"/>
      <c r="R2348" s="7"/>
    </row>
    <row r="2349" spans="1:26">
      <c r="A2349" s="54" t="s">
        <v>6064</v>
      </c>
      <c r="B2349" s="8" t="s">
        <v>6052</v>
      </c>
      <c r="C2349" s="2" t="str">
        <f>RIGHT(ProductInfo[[#This Row],[Drawing No]],1)</f>
        <v>0</v>
      </c>
      <c r="D2349" s="174" t="s">
        <v>6065</v>
      </c>
      <c r="E2349" s="16"/>
      <c r="F23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49" s="31"/>
      <c r="H2349" s="31"/>
      <c r="I2349" s="1">
        <f>COUNTA(ProductInfo[[#This Row],[P1]:[P15]])</f>
        <v>0</v>
      </c>
      <c r="J23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49" s="4"/>
      <c r="O2349" s="7"/>
      <c r="R2349" s="7"/>
    </row>
    <row r="2350" spans="1:26">
      <c r="A2350" s="54" t="s">
        <v>6066</v>
      </c>
      <c r="B2350" s="8" t="s">
        <v>6035</v>
      </c>
      <c r="C2350" s="2" t="str">
        <f>RIGHT(ProductInfo[[#This Row],[Drawing No]],1)</f>
        <v>0</v>
      </c>
      <c r="D2350" s="174" t="s">
        <v>6040</v>
      </c>
      <c r="E2350" s="16"/>
      <c r="F23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50" s="31"/>
      <c r="H2350" s="31"/>
      <c r="I2350" s="1">
        <f>COUNTA(ProductInfo[[#This Row],[P1]:[P15]])</f>
        <v>0</v>
      </c>
      <c r="J23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50" s="4"/>
      <c r="O2350" s="7"/>
      <c r="R2350" s="7"/>
    </row>
    <row r="2351" spans="1:26">
      <c r="A2351" s="8" t="s">
        <v>6068</v>
      </c>
      <c r="B2351" s="8" t="s">
        <v>6067</v>
      </c>
      <c r="C2351" s="2" t="str">
        <f>RIGHT(ProductInfo[[#This Row],[Drawing No]],1)</f>
        <v>0</v>
      </c>
      <c r="D2351" s="176" t="s">
        <v>4368</v>
      </c>
      <c r="E2351" s="16" t="s">
        <v>4607</v>
      </c>
      <c r="F2351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351" s="59">
        <v>465</v>
      </c>
      <c r="H2351" s="59">
        <v>15</v>
      </c>
      <c r="I2351" s="1">
        <f>COUNTA(ProductInfo[[#This Row],[P1]:[P15]])</f>
        <v>7</v>
      </c>
      <c r="J23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7</v>
      </c>
      <c r="K23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51" s="4" t="s">
        <v>12</v>
      </c>
      <c r="M2351" s="4" t="s">
        <v>13</v>
      </c>
      <c r="N2351" s="4" t="s">
        <v>14</v>
      </c>
      <c r="O2351" s="4" t="s">
        <v>3105</v>
      </c>
      <c r="P2351" s="4" t="s">
        <v>4609</v>
      </c>
      <c r="Q2351" s="4" t="s">
        <v>4610</v>
      </c>
      <c r="R2351" s="7" t="s">
        <v>4611</v>
      </c>
    </row>
    <row r="2352" spans="1:26">
      <c r="A2352" s="8" t="s">
        <v>6070</v>
      </c>
      <c r="B2352" s="8" t="s">
        <v>6069</v>
      </c>
      <c r="C2352" s="1" t="str">
        <f>RIGHT(ProductInfo[[#This Row],[Drawing No]],1)</f>
        <v>0</v>
      </c>
      <c r="D2352" s="179" t="s">
        <v>1071</v>
      </c>
      <c r="E2352" s="18" t="s">
        <v>3722</v>
      </c>
      <c r="F2352" s="26" t="str">
        <f>IFERROR(INDEX(MaterialCode[รายละเอียด],MATCH(ProductInfo[[#This Row],[Material Code]],MaterialCode[Material Code],0)),"ไม่พบวัตถุดิบ")</f>
        <v>MATT FORDGE G M42</v>
      </c>
      <c r="G2352" s="32"/>
      <c r="H2352" s="3">
        <v>40</v>
      </c>
      <c r="I2352" s="1">
        <f>COUNTA(ProductInfo[[#This Row],[P1]:[P15]])</f>
        <v>3</v>
      </c>
      <c r="J23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52" s="7" t="s">
        <v>12</v>
      </c>
      <c r="M2352" s="7" t="s">
        <v>13</v>
      </c>
      <c r="N2352" s="7" t="s">
        <v>14</v>
      </c>
      <c r="O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>
      <c r="A2353" s="8" t="s">
        <v>6072</v>
      </c>
      <c r="B2353" s="8" t="s">
        <v>6071</v>
      </c>
      <c r="C2353" s="2" t="str">
        <f>RIGHT(ProductInfo[[#This Row],[Drawing No]],1)</f>
        <v>0</v>
      </c>
      <c r="D2353" s="179" t="s">
        <v>4726</v>
      </c>
      <c r="E2353" s="16" t="s">
        <v>3718</v>
      </c>
      <c r="F2353" s="23" t="str">
        <f>IFERROR(INDEX(MaterialCode[รายละเอียด],MATCH(ProductInfo[[#This Row],[Material Code]],MaterialCode[Material Code],0)),"ไม่พบวัตถุดิบ")</f>
        <v>MATT FORDGE G M35</v>
      </c>
      <c r="G2353" s="31"/>
      <c r="H2353" s="59">
        <v>50</v>
      </c>
      <c r="I2353" s="1">
        <f>COUNTA(ProductInfo[[#This Row],[P1]:[P15]])</f>
        <v>3</v>
      </c>
      <c r="J23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53" s="7" t="s">
        <v>12</v>
      </c>
      <c r="M2353" s="7" t="s">
        <v>13</v>
      </c>
      <c r="N2353" s="4" t="s">
        <v>16</v>
      </c>
    </row>
    <row r="2354" spans="1:26">
      <c r="A2354" s="8" t="s">
        <v>6074</v>
      </c>
      <c r="B2354" s="8" t="s">
        <v>6073</v>
      </c>
      <c r="C2354" s="2" t="str">
        <f>RIGHT(ProductInfo[[#This Row],[Drawing No]],1)</f>
        <v>0</v>
      </c>
      <c r="D2354" s="176" t="s">
        <v>4517</v>
      </c>
      <c r="E2354" s="16" t="s">
        <v>4524</v>
      </c>
      <c r="F2354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354" s="59">
        <v>62</v>
      </c>
      <c r="H2354" s="3"/>
      <c r="I2354" s="1">
        <f>COUNTA(ProductInfo[[#This Row],[P1]:[P15]])</f>
        <v>4</v>
      </c>
      <c r="J23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54" s="4" t="s">
        <v>15</v>
      </c>
      <c r="M2354" s="4" t="s">
        <v>12</v>
      </c>
      <c r="N2354" s="4" t="s">
        <v>13</v>
      </c>
      <c r="O2354" s="4" t="s">
        <v>19</v>
      </c>
      <c r="R2354" s="7"/>
    </row>
    <row r="2355" spans="1:26">
      <c r="A2355" s="8" t="s">
        <v>6075</v>
      </c>
      <c r="B2355" s="8" t="s">
        <v>6076</v>
      </c>
      <c r="C2355" s="2" t="str">
        <f>RIGHT(ProductInfo[[#This Row],[Drawing No]],1)</f>
        <v>0</v>
      </c>
      <c r="D2355" s="176" t="s">
        <v>4686</v>
      </c>
      <c r="E2355" s="16" t="s">
        <v>3718</v>
      </c>
      <c r="F2355" s="23" t="str">
        <f>IFERROR(INDEX(MaterialCode[รายละเอียด],MATCH(ProductInfo[[#This Row],[Material Code]],MaterialCode[Material Code],0)),"ไม่พบวัตถุดิบ")</f>
        <v>MATT FORDGE G M35</v>
      </c>
      <c r="G2355" s="59">
        <v>1</v>
      </c>
      <c r="H2355" s="59">
        <v>50</v>
      </c>
      <c r="I2355" s="1">
        <f>COUNTA(ProductInfo[[#This Row],[P1]:[P15]])</f>
        <v>5</v>
      </c>
      <c r="J23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55" s="7" t="s">
        <v>12</v>
      </c>
      <c r="M2355" s="7" t="s">
        <v>13</v>
      </c>
      <c r="N2355" s="4" t="s">
        <v>14</v>
      </c>
      <c r="O2355" s="4" t="s">
        <v>15</v>
      </c>
      <c r="P2355" s="4" t="s">
        <v>16</v>
      </c>
    </row>
    <row r="2356" spans="1:26">
      <c r="A2356" s="8" t="s">
        <v>6078</v>
      </c>
      <c r="B2356" s="8" t="s">
        <v>6077</v>
      </c>
      <c r="C2356" s="2" t="str">
        <f>RIGHT(ProductInfo[[#This Row],[Drawing No]],1)</f>
        <v>0</v>
      </c>
      <c r="D2356" s="176" t="s">
        <v>5477</v>
      </c>
      <c r="E2356" s="16" t="s">
        <v>5627</v>
      </c>
      <c r="F2356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356" s="31"/>
      <c r="H2356" s="31"/>
      <c r="I2356" s="1">
        <f>COUNTA(ProductInfo[[#This Row],[P1]:[P15]])</f>
        <v>5</v>
      </c>
      <c r="J23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56" s="7" t="s">
        <v>12</v>
      </c>
      <c r="M2356" s="7" t="s">
        <v>13</v>
      </c>
      <c r="N2356" s="4" t="s">
        <v>16</v>
      </c>
      <c r="O2356" s="7" t="s">
        <v>19</v>
      </c>
      <c r="P2356" s="4" t="s">
        <v>14</v>
      </c>
    </row>
    <row r="2357" spans="1:26">
      <c r="A2357" s="8" t="s">
        <v>6080</v>
      </c>
      <c r="B2357" s="8" t="s">
        <v>6079</v>
      </c>
      <c r="C2357" s="2" t="str">
        <f>RIGHT(ProductInfo[[#This Row],[Drawing No]],1)</f>
        <v>0</v>
      </c>
      <c r="D2357" s="176" t="s">
        <v>5539</v>
      </c>
      <c r="E2357" s="16" t="s">
        <v>5627</v>
      </c>
      <c r="F2357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357" s="59">
        <v>1</v>
      </c>
      <c r="H2357" s="59">
        <v>50</v>
      </c>
      <c r="I2357" s="1">
        <f>COUNTA(ProductInfo[[#This Row],[P1]:[P15]])</f>
        <v>5</v>
      </c>
      <c r="J23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57" s="4" t="s">
        <v>12</v>
      </c>
      <c r="M2357" s="4" t="s">
        <v>13</v>
      </c>
      <c r="N2357" s="4" t="s">
        <v>15</v>
      </c>
      <c r="O2357" s="7" t="s">
        <v>16</v>
      </c>
      <c r="P2357" s="4" t="s">
        <v>14</v>
      </c>
    </row>
    <row r="2358" spans="1:26">
      <c r="A2358" s="8" t="s">
        <v>6082</v>
      </c>
      <c r="B2358" s="8" t="s">
        <v>6083</v>
      </c>
      <c r="C2358" s="2" t="str">
        <f>RIGHT(ProductInfo[[#This Row],[Drawing No]],1)</f>
        <v>0</v>
      </c>
      <c r="D2358" s="176" t="s">
        <v>4215</v>
      </c>
      <c r="E2358" s="16" t="s">
        <v>3701</v>
      </c>
      <c r="F2358" s="23" t="str">
        <f>IFERROR(INDEX(MaterialCode[รายละเอียด],MATCH(ProductInfo[[#This Row],[Material Code]],MaterialCode[Material Code],0)),"ไม่พบวัตถุดิบ")</f>
        <v>MATT FORDGE G M42</v>
      </c>
      <c r="G2358" s="31"/>
      <c r="H2358" s="3">
        <v>40</v>
      </c>
      <c r="I2358" s="1">
        <f>COUNTA(ProductInfo[[#This Row],[P1]:[P15]])</f>
        <v>3</v>
      </c>
      <c r="J23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58" s="7" t="s">
        <v>12</v>
      </c>
      <c r="M2358" s="7" t="s">
        <v>13</v>
      </c>
      <c r="N2358" s="7" t="s">
        <v>14</v>
      </c>
      <c r="O2358" s="7"/>
    </row>
    <row r="2359" spans="1:26">
      <c r="A2359" s="8" t="s">
        <v>6084</v>
      </c>
      <c r="B2359" s="8" t="s">
        <v>6085</v>
      </c>
      <c r="C2359" s="2" t="str">
        <f>RIGHT(ProductInfo[[#This Row],[Drawing No]],1)</f>
        <v>0</v>
      </c>
      <c r="D2359" s="176" t="s">
        <v>5314</v>
      </c>
      <c r="E2359" s="16" t="s">
        <v>5627</v>
      </c>
      <c r="F2359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359" s="59">
        <v>1</v>
      </c>
      <c r="H2359" s="59">
        <v>50</v>
      </c>
      <c r="I2359" s="1">
        <f>COUNTA(ProductInfo[[#This Row],[P1]:[P15]])</f>
        <v>3</v>
      </c>
      <c r="J23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59" s="4" t="s">
        <v>12</v>
      </c>
      <c r="M2359" s="4" t="s">
        <v>13</v>
      </c>
      <c r="N2359" s="4" t="s">
        <v>16</v>
      </c>
    </row>
    <row r="2360" spans="1:26">
      <c r="A2360" s="8" t="s">
        <v>6086</v>
      </c>
      <c r="B2360" s="8" t="s">
        <v>6087</v>
      </c>
      <c r="C2360" s="1" t="str">
        <f>RIGHT(ProductInfo[[#This Row],[Drawing No]],1)</f>
        <v>0</v>
      </c>
      <c r="D2360" s="179" t="s">
        <v>1243</v>
      </c>
      <c r="E2360" s="18" t="s">
        <v>3718</v>
      </c>
      <c r="F2360" s="26" t="str">
        <f>IFERROR(INDEX(MaterialCode[รายละเอียด],MATCH(ProductInfo[[#This Row],[Material Code]],MaterialCode[Material Code],0)),"ไม่พบวัตถุดิบ")</f>
        <v>MATT FORDGE G M35</v>
      </c>
      <c r="G2360" s="32" t="s">
        <v>6034</v>
      </c>
      <c r="H2360" s="3">
        <v>50</v>
      </c>
      <c r="I2360" s="1">
        <f>COUNTA(ProductInfo[[#This Row],[P1]:[P15]])</f>
        <v>4</v>
      </c>
      <c r="J23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60" s="7" t="s">
        <v>12</v>
      </c>
      <c r="M2360" s="7" t="s">
        <v>13</v>
      </c>
      <c r="N2360" s="7" t="s">
        <v>14</v>
      </c>
      <c r="O2360" s="4" t="s">
        <v>15</v>
      </c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>
      <c r="A2361" s="8" t="s">
        <v>6088</v>
      </c>
      <c r="B2361" s="8" t="s">
        <v>6089</v>
      </c>
      <c r="C2361" s="2" t="str">
        <f>RIGHT(ProductInfo[[#This Row],[Drawing No]],1)</f>
        <v>0</v>
      </c>
      <c r="D2361" s="176" t="s">
        <v>4295</v>
      </c>
      <c r="E2361" s="16" t="s">
        <v>3718</v>
      </c>
      <c r="F2361" s="23" t="str">
        <f>IFERROR(INDEX(MaterialCode[รายละเอียด],MATCH(ProductInfo[[#This Row],[Material Code]],MaterialCode[Material Code],0)),"ไม่พบวัตถุดิบ")</f>
        <v>MATT FORDGE G M35</v>
      </c>
      <c r="G2361" s="31"/>
      <c r="H2361" s="3">
        <v>50</v>
      </c>
      <c r="I2361" s="1">
        <f>COUNTA(ProductInfo[[#This Row],[P1]:[P15]])</f>
        <v>4</v>
      </c>
      <c r="J23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61" s="4" t="s">
        <v>12</v>
      </c>
      <c r="M2361" s="4" t="s">
        <v>13</v>
      </c>
      <c r="N2361" s="7" t="s">
        <v>14</v>
      </c>
      <c r="O2361" s="4" t="s">
        <v>15</v>
      </c>
    </row>
    <row r="2362" spans="1:26">
      <c r="A2362" s="8" t="s">
        <v>6090</v>
      </c>
      <c r="B2362" s="8" t="s">
        <v>6091</v>
      </c>
      <c r="C2362" s="1" t="str">
        <f>RIGHT(ProductInfo[[#This Row],[Drawing No]],1)</f>
        <v>0</v>
      </c>
      <c r="D2362" s="179" t="s">
        <v>1237</v>
      </c>
      <c r="E2362" s="18" t="s">
        <v>3718</v>
      </c>
      <c r="F2362" s="26" t="str">
        <f>IFERROR(INDEX(MaterialCode[รายละเอียด],MATCH(ProductInfo[[#This Row],[Material Code]],MaterialCode[Material Code],0)),"ไม่พบวัตถุดิบ")</f>
        <v>MATT FORDGE G M35</v>
      </c>
      <c r="G2362" s="3">
        <v>1</v>
      </c>
      <c r="H2362" s="3">
        <v>50</v>
      </c>
      <c r="I2362" s="1">
        <f>COUNTA(ProductInfo[[#This Row],[P1]:[P15]])</f>
        <v>4</v>
      </c>
      <c r="J23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62" s="7" t="s">
        <v>12</v>
      </c>
      <c r="M2362" s="7" t="s">
        <v>13</v>
      </c>
      <c r="N2362" s="7" t="s">
        <v>14</v>
      </c>
      <c r="O2362" s="7" t="s">
        <v>15</v>
      </c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>
      <c r="A2363" s="15" t="s">
        <v>6092</v>
      </c>
      <c r="B2363" s="21" t="s">
        <v>6093</v>
      </c>
      <c r="C2363" s="2" t="str">
        <f>RIGHT(ProductInfo[[#This Row],[Drawing No]],1)</f>
        <v>0</v>
      </c>
      <c r="D2363" s="191" t="s">
        <v>4775</v>
      </c>
      <c r="E2363" s="16" t="s">
        <v>5665</v>
      </c>
      <c r="F2363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363" s="31">
        <v>1</v>
      </c>
      <c r="H2363" s="31">
        <v>40</v>
      </c>
      <c r="I2363" s="1">
        <f>COUNTA(ProductInfo[[#This Row],[P1]:[P15]])</f>
        <v>5</v>
      </c>
      <c r="J23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63" s="4" t="s">
        <v>12</v>
      </c>
      <c r="M2363" s="4" t="s">
        <v>13</v>
      </c>
      <c r="N2363" s="4" t="s">
        <v>15</v>
      </c>
      <c r="O2363" s="7" t="s">
        <v>16</v>
      </c>
      <c r="P2363" s="4" t="s">
        <v>19</v>
      </c>
    </row>
    <row r="2364" spans="1:26">
      <c r="A2364" s="8" t="s">
        <v>6094</v>
      </c>
      <c r="B2364" s="8" t="s">
        <v>6095</v>
      </c>
      <c r="C2364" s="2" t="str">
        <f>RIGHT(ProductInfo[[#This Row],[Drawing No]],1)</f>
        <v>0</v>
      </c>
      <c r="D2364" s="176" t="s">
        <v>3293</v>
      </c>
      <c r="E2364" s="16" t="s">
        <v>3739</v>
      </c>
      <c r="F2364" s="23" t="str">
        <f>IFERROR(INDEX(MaterialCode[รายละเอียด],MATCH(ProductInfo[[#This Row],[Material Code]],MaterialCode[Material Code],0)),"ไม่พบวัตถุดิบ")</f>
        <v>MATT FORDGE C EURO M35</v>
      </c>
      <c r="G2364" s="59">
        <v>1</v>
      </c>
      <c r="H2364" s="3">
        <v>50</v>
      </c>
      <c r="I2364" s="1">
        <f>COUNTA(ProductInfo[[#This Row],[P1]:[P15]])</f>
        <v>3</v>
      </c>
      <c r="J23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64" s="4" t="s">
        <v>12</v>
      </c>
      <c r="M2364" s="7" t="s">
        <v>13</v>
      </c>
      <c r="N2364" s="4" t="s">
        <v>14</v>
      </c>
      <c r="O2364" s="7"/>
    </row>
    <row r="2365" spans="1:26">
      <c r="A2365" s="8" t="s">
        <v>6096</v>
      </c>
      <c r="B2365" s="8" t="s">
        <v>6097</v>
      </c>
      <c r="C2365" s="2" t="str">
        <f>RIGHT(ProductInfo[[#This Row],[Drawing No]],1)</f>
        <v>0</v>
      </c>
      <c r="D2365" s="176" t="s">
        <v>5483</v>
      </c>
      <c r="E2365" s="16" t="s">
        <v>5627</v>
      </c>
      <c r="F2365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365" s="59">
        <v>1</v>
      </c>
      <c r="H2365" s="59">
        <v>50</v>
      </c>
      <c r="I2365" s="1">
        <f>COUNTA(ProductInfo[[#This Row],[P1]:[P15]])</f>
        <v>4</v>
      </c>
      <c r="J23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65" s="7" t="s">
        <v>12</v>
      </c>
      <c r="M2365" s="7" t="s">
        <v>13</v>
      </c>
      <c r="N2365" s="4" t="s">
        <v>15</v>
      </c>
      <c r="O2365" s="7" t="s">
        <v>16</v>
      </c>
    </row>
    <row r="2366" spans="1:26">
      <c r="A2366" s="8" t="s">
        <v>6098</v>
      </c>
      <c r="B2366" s="8" t="s">
        <v>6099</v>
      </c>
      <c r="C2366" s="1" t="str">
        <f>RIGHT(ProductInfo[[#This Row],[Drawing No]],1)</f>
        <v>0</v>
      </c>
      <c r="D2366" s="179" t="s">
        <v>3062</v>
      </c>
      <c r="E2366" s="18" t="s">
        <v>3739</v>
      </c>
      <c r="F2366" s="26" t="str">
        <f>IFERROR(INDEX(MaterialCode[รายละเอียด],MATCH(ProductInfo[[#This Row],[Material Code]],MaterialCode[Material Code],0)),"ไม่พบวัตถุดิบ")</f>
        <v>MATT FORDGE C EURO M35</v>
      </c>
      <c r="G2366" s="32"/>
      <c r="H2366" s="3">
        <v>50</v>
      </c>
      <c r="I2366" s="1">
        <f>COUNTA(ProductInfo[[#This Row],[P1]:[P15]])</f>
        <v>5</v>
      </c>
      <c r="J23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66" s="7" t="s">
        <v>12</v>
      </c>
      <c r="M2366" s="7" t="s">
        <v>13</v>
      </c>
      <c r="N2366" s="7" t="s">
        <v>14</v>
      </c>
      <c r="O2366" s="7" t="s">
        <v>15</v>
      </c>
      <c r="P2366" s="4" t="s">
        <v>16</v>
      </c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>
      <c r="A2367" s="8" t="s">
        <v>6100</v>
      </c>
      <c r="B2367" s="8" t="s">
        <v>6093</v>
      </c>
      <c r="C2367" s="2" t="str">
        <f>RIGHT(ProductInfo[[#This Row],[Drawing No]],1)</f>
        <v>0</v>
      </c>
      <c r="D2367" s="176" t="s">
        <v>5139</v>
      </c>
      <c r="E2367" s="16" t="s">
        <v>5665</v>
      </c>
      <c r="F2367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367" s="59">
        <v>1</v>
      </c>
      <c r="H2367" s="59">
        <v>40</v>
      </c>
      <c r="I2367" s="1">
        <f>COUNTA(ProductInfo[[#This Row],[P1]:[P15]])</f>
        <v>5</v>
      </c>
      <c r="J23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67" s="4" t="s">
        <v>12</v>
      </c>
      <c r="M2367" s="4" t="s">
        <v>13</v>
      </c>
      <c r="N2367" s="4" t="s">
        <v>15</v>
      </c>
      <c r="O2367" s="7" t="s">
        <v>16</v>
      </c>
      <c r="P2367" s="4" t="s">
        <v>19</v>
      </c>
    </row>
    <row r="2368" spans="1:26">
      <c r="A2368" s="8" t="s">
        <v>6103</v>
      </c>
      <c r="B2368" s="8" t="s">
        <v>6102</v>
      </c>
      <c r="C2368" s="2" t="str">
        <f>RIGHT(ProductInfo[[#This Row],[Drawing No]],1)</f>
        <v>1</v>
      </c>
      <c r="D2368" s="176" t="s">
        <v>5612</v>
      </c>
      <c r="E2368" s="16"/>
      <c r="F236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68" s="31"/>
      <c r="H2368" s="31"/>
      <c r="I2368" s="1">
        <f>COUNTA(ProductInfo[[#This Row],[P1]:[P15]])</f>
        <v>3</v>
      </c>
      <c r="J23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68" s="7" t="s">
        <v>12</v>
      </c>
      <c r="M2368" s="7" t="s">
        <v>13</v>
      </c>
      <c r="N2368" s="4" t="s">
        <v>4609</v>
      </c>
      <c r="R2368" s="7"/>
    </row>
    <row r="2369" spans="1:26" ht="19.8">
      <c r="A2369" s="8" t="s">
        <v>6108</v>
      </c>
      <c r="B2369" s="8" t="s">
        <v>6107</v>
      </c>
      <c r="C2369" s="1" t="str">
        <f>RIGHT(ProductInfo[[#This Row],[Drawing No]],1)</f>
        <v>0</v>
      </c>
      <c r="D2369" s="179" t="s">
        <v>2827</v>
      </c>
      <c r="E2369" s="121" t="s">
        <v>6530</v>
      </c>
      <c r="F2369" s="26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369" s="3">
        <v>84</v>
      </c>
      <c r="H2369" s="3">
        <v>100</v>
      </c>
      <c r="I2369" s="1">
        <f>COUNTA(ProductInfo[[#This Row],[P1]:[P15]])</f>
        <v>4</v>
      </c>
      <c r="J23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69" s="7" t="s">
        <v>12</v>
      </c>
      <c r="M2369" s="7" t="s">
        <v>13</v>
      </c>
      <c r="N2369" s="7" t="s">
        <v>15</v>
      </c>
      <c r="O2369" s="4" t="s">
        <v>16</v>
      </c>
      <c r="R2369" s="7"/>
      <c r="S2369" s="7"/>
    </row>
    <row r="2370" spans="1:26">
      <c r="A2370" s="54" t="s">
        <v>6110</v>
      </c>
      <c r="B2370" s="8" t="s">
        <v>6109</v>
      </c>
      <c r="C2370" s="2" t="str">
        <f>RIGHT(ProductInfo[[#This Row],[Drawing No]],1)</f>
        <v>0</v>
      </c>
      <c r="D2370" s="174" t="s">
        <v>6111</v>
      </c>
      <c r="E2370" s="16" t="s">
        <v>3427</v>
      </c>
      <c r="F2370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2370" s="31"/>
      <c r="H2370" s="31"/>
      <c r="I2370" s="1">
        <f>COUNTA(ProductInfo[[#This Row],[P1]:[P15]])</f>
        <v>5</v>
      </c>
      <c r="J23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70" s="7" t="s">
        <v>12</v>
      </c>
      <c r="M2370" s="7" t="s">
        <v>13</v>
      </c>
      <c r="N2370" s="7" t="s">
        <v>14</v>
      </c>
      <c r="O2370" s="7" t="s">
        <v>15</v>
      </c>
      <c r="P2370" s="4" t="s">
        <v>16</v>
      </c>
      <c r="R2370" s="7"/>
      <c r="S2370" s="7"/>
    </row>
    <row r="2371" spans="1:26">
      <c r="A2371" s="54" t="s">
        <v>6113</v>
      </c>
      <c r="B2371" s="8" t="s">
        <v>6112</v>
      </c>
      <c r="C2371" s="1" t="str">
        <f>RIGHT(ProductInfo[[#This Row],[Drawing No]],1)</f>
        <v>0</v>
      </c>
      <c r="D2371" s="179" t="s">
        <v>1198</v>
      </c>
      <c r="E2371" s="18" t="s">
        <v>3726</v>
      </c>
      <c r="F2371" s="26" t="str">
        <f>IFERROR(INDEX(MaterialCode[รายละเอียด],MATCH(ProductInfo[[#This Row],[Material Code]],MaterialCode[Material Code],0)),"ไม่พบวัตถุดิบ")</f>
        <v>MATT FORDGE G M35</v>
      </c>
      <c r="G2371" s="32"/>
      <c r="H2371" s="3">
        <v>50</v>
      </c>
      <c r="I2371" s="1">
        <f>COUNTA(ProductInfo[[#This Row],[P1]:[P15]])</f>
        <v>5</v>
      </c>
      <c r="J23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71" s="7" t="s">
        <v>12</v>
      </c>
      <c r="M2371" s="7" t="s">
        <v>13</v>
      </c>
      <c r="N2371" s="7" t="s">
        <v>14</v>
      </c>
      <c r="O2371" s="7" t="s">
        <v>15</v>
      </c>
      <c r="P2371" s="4" t="s">
        <v>16</v>
      </c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>
      <c r="A2372" s="8" t="s">
        <v>6115</v>
      </c>
      <c r="B2372" s="8" t="s">
        <v>6114</v>
      </c>
      <c r="C2372" s="1" t="str">
        <f>RIGHT(ProductInfo[[#This Row],[Drawing No]],1)</f>
        <v>0</v>
      </c>
      <c r="D2372" s="176" t="s">
        <v>2580</v>
      </c>
      <c r="E2372" s="16" t="s">
        <v>4522</v>
      </c>
      <c r="F2372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372" s="62" t="s">
        <v>4848</v>
      </c>
      <c r="H2372" s="59">
        <v>40</v>
      </c>
      <c r="I2372" s="1">
        <f>COUNTA(ProductInfo[[#This Row],[P1]:[P15]])</f>
        <v>5</v>
      </c>
      <c r="J23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72" s="7" t="s">
        <v>15</v>
      </c>
      <c r="M2372" s="7" t="s">
        <v>12</v>
      </c>
      <c r="N2372" s="7" t="s">
        <v>13</v>
      </c>
      <c r="O2372" s="7" t="s">
        <v>14</v>
      </c>
      <c r="P2372" s="4" t="s">
        <v>16</v>
      </c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>
      <c r="A2373" s="8" t="s">
        <v>6116</v>
      </c>
      <c r="B2373" s="8" t="s">
        <v>6117</v>
      </c>
      <c r="C2373" s="1" t="str">
        <f>RIGHT(ProductInfo[[#This Row],[Drawing No]],1)</f>
        <v>0</v>
      </c>
      <c r="D2373" s="176" t="s">
        <v>4745</v>
      </c>
      <c r="E2373" s="16" t="s">
        <v>5150</v>
      </c>
      <c r="F2373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373" s="59">
        <v>38.5</v>
      </c>
      <c r="H2373" s="59">
        <v>100</v>
      </c>
      <c r="I2373" s="1">
        <f>COUNTA(ProductInfo[[#This Row],[P1]:[P15]])</f>
        <v>3</v>
      </c>
      <c r="J23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73" s="7" t="s">
        <v>12</v>
      </c>
      <c r="M2373" s="7" t="s">
        <v>13</v>
      </c>
      <c r="N2373" s="4" t="s">
        <v>15</v>
      </c>
      <c r="O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>
      <c r="A2374" s="8" t="s">
        <v>1778</v>
      </c>
      <c r="B2374" s="8" t="s">
        <v>3574</v>
      </c>
      <c r="C2374" s="1" t="str">
        <f>RIGHT(ProductInfo[[#This Row],[Drawing No]],1)</f>
        <v>1</v>
      </c>
      <c r="D2374" s="176" t="s">
        <v>2692</v>
      </c>
      <c r="E2374" s="32" t="s">
        <v>3536</v>
      </c>
      <c r="F2374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374" s="59">
        <v>60.5</v>
      </c>
      <c r="H2374" s="62">
        <v>100</v>
      </c>
      <c r="I2374" s="1">
        <f>COUNTA(ProductInfo[[#This Row],[P1]:[P15]])</f>
        <v>2</v>
      </c>
      <c r="J23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74" s="7" t="s">
        <v>12</v>
      </c>
      <c r="M2374" s="7" t="s">
        <v>15</v>
      </c>
      <c r="N2374" s="7"/>
      <c r="O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>
      <c r="A2375" s="8" t="s">
        <v>6391</v>
      </c>
      <c r="B2375" s="8" t="s">
        <v>6392</v>
      </c>
      <c r="C2375" s="1" t="str">
        <f>RIGHT(ProductInfo[[#This Row],[Drawing No]],1)</f>
        <v>0</v>
      </c>
      <c r="D2375" s="179" t="s">
        <v>1776</v>
      </c>
      <c r="E2375" s="32" t="s">
        <v>4522</v>
      </c>
      <c r="F2375" s="26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375" s="3">
        <v>46</v>
      </c>
      <c r="H2375" s="3">
        <v>40</v>
      </c>
      <c r="I2375" s="1">
        <f>COUNTA(ProductInfo[[#This Row],[P1]:[P15]])</f>
        <v>5</v>
      </c>
      <c r="J23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375" s="7" t="s">
        <v>15</v>
      </c>
      <c r="M2375" s="7" t="s">
        <v>12</v>
      </c>
      <c r="N2375" s="4" t="s">
        <v>13</v>
      </c>
      <c r="O2375" s="7" t="s">
        <v>16</v>
      </c>
      <c r="P2375" s="4" t="s">
        <v>19</v>
      </c>
      <c r="S2375" s="7"/>
      <c r="T2375" s="7"/>
      <c r="U2375" s="7"/>
      <c r="V2375" s="7"/>
      <c r="W2375" s="7"/>
      <c r="X2375" s="7"/>
      <c r="Y2375" s="7"/>
      <c r="Z2375" s="7"/>
    </row>
    <row r="2376" spans="1:26" s="1" customFormat="1">
      <c r="A2376" s="8" t="s">
        <v>6120</v>
      </c>
      <c r="B2376" s="8" t="s">
        <v>6121</v>
      </c>
      <c r="C2376" s="1" t="str">
        <f>RIGHT(ProductInfo[[#This Row],[Drawing No]],1)</f>
        <v>0</v>
      </c>
      <c r="D2376" s="187" t="s">
        <v>3134</v>
      </c>
      <c r="E2376" s="18" t="s">
        <v>3722</v>
      </c>
      <c r="F2376" s="26" t="str">
        <f>IFERROR(INDEX(MaterialCode[รายละเอียด],MATCH(ProductInfo[[#This Row],[Material Code]],MaterialCode[Material Code],0)),"ไม่พบวัตถุดิบ")</f>
        <v>MATT FORDGE G M42</v>
      </c>
      <c r="G2376" s="32"/>
      <c r="H2376" s="3">
        <v>50</v>
      </c>
      <c r="I2376" s="1">
        <f>COUNTA(ProductInfo[[#This Row],[P1]:[P15]])</f>
        <v>7</v>
      </c>
      <c r="J23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376" s="7" t="s">
        <v>12</v>
      </c>
      <c r="M2376" s="7" t="s">
        <v>13</v>
      </c>
      <c r="N2376" s="7" t="s">
        <v>14</v>
      </c>
      <c r="O2376" s="7" t="s">
        <v>15</v>
      </c>
      <c r="P2376" s="7" t="s">
        <v>16</v>
      </c>
      <c r="Q2376" s="7" t="s">
        <v>19</v>
      </c>
      <c r="R2376" s="7" t="s">
        <v>25</v>
      </c>
      <c r="S2376" s="7"/>
      <c r="T2376" s="7"/>
      <c r="U2376" s="7"/>
      <c r="V2376" s="7"/>
      <c r="W2376" s="7"/>
      <c r="X2376" s="7"/>
      <c r="Y2376" s="7"/>
      <c r="Z2376" s="7"/>
    </row>
    <row r="2377" spans="1:26">
      <c r="A2377" s="33" t="s">
        <v>6126</v>
      </c>
      <c r="B2377" s="82" t="s">
        <v>6123</v>
      </c>
      <c r="C2377" s="2" t="str">
        <f>RIGHT(ProductInfo[[#This Row],[Drawing No]],1)</f>
        <v>1</v>
      </c>
      <c r="D2377" s="205" t="s">
        <v>6128</v>
      </c>
      <c r="E2377" s="16" t="s">
        <v>3559</v>
      </c>
      <c r="F2377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377" s="59">
        <v>202</v>
      </c>
      <c r="H2377" s="3">
        <v>100</v>
      </c>
      <c r="I2377" s="1">
        <f>COUNTA(ProductInfo[[#This Row],[P1]:[P15]])</f>
        <v>2</v>
      </c>
      <c r="J23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77" s="4" t="s">
        <v>12</v>
      </c>
      <c r="M2377" s="4" t="s">
        <v>13</v>
      </c>
    </row>
    <row r="2378" spans="1:26">
      <c r="A2378" s="33" t="s">
        <v>6124</v>
      </c>
      <c r="B2378" s="82" t="s">
        <v>6123</v>
      </c>
      <c r="C2378" s="2" t="str">
        <f>RIGHT(ProductInfo[[#This Row],[Drawing No]],1)</f>
        <v>1</v>
      </c>
      <c r="D2378" s="205" t="s">
        <v>6129</v>
      </c>
      <c r="E2378" s="16" t="s">
        <v>3559</v>
      </c>
      <c r="F2378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378" s="59">
        <v>147</v>
      </c>
      <c r="H2378" s="3">
        <v>100</v>
      </c>
      <c r="I2378" s="1">
        <f>COUNTA(ProductInfo[[#This Row],[P1]:[P15]])</f>
        <v>2</v>
      </c>
      <c r="J23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78" s="4" t="s">
        <v>12</v>
      </c>
      <c r="M2378" s="4" t="s">
        <v>13</v>
      </c>
    </row>
    <row r="2379" spans="1:26" ht="27.6">
      <c r="A2379" s="54" t="s">
        <v>6131</v>
      </c>
      <c r="B2379" s="8" t="s">
        <v>6772</v>
      </c>
      <c r="C2379" s="2" t="str">
        <f>RIGHT(ProductInfo[[#This Row],[Drawing No]],1)</f>
        <v>2</v>
      </c>
      <c r="D2379" s="174" t="s">
        <v>6132</v>
      </c>
      <c r="E2379" s="259" t="s">
        <v>7039</v>
      </c>
      <c r="F2379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379" s="59">
        <v>177</v>
      </c>
      <c r="H2379" s="59">
        <v>60</v>
      </c>
      <c r="I2379" s="1">
        <f>COUNTA(ProductInfo[[#This Row],[P1]:[P15]])</f>
        <v>2</v>
      </c>
      <c r="J23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79" s="4" t="s">
        <v>12</v>
      </c>
      <c r="M2379" s="4" t="s">
        <v>13</v>
      </c>
    </row>
    <row r="2380" spans="1:26" s="1" customFormat="1">
      <c r="A2380" s="8" t="s">
        <v>6134</v>
      </c>
      <c r="B2380" s="8" t="s">
        <v>6133</v>
      </c>
      <c r="C2380" s="2" t="str">
        <f>RIGHT(ProductInfo[[#This Row],[Drawing No]],1)</f>
        <v>0</v>
      </c>
      <c r="D2380" s="179" t="s">
        <v>3037</v>
      </c>
      <c r="E2380" s="18" t="s">
        <v>3718</v>
      </c>
      <c r="F2380" s="23" t="str">
        <f>IFERROR(INDEX(MaterialCode[รายละเอียด],MATCH(ProductInfo[[#This Row],[Material Code]],MaterialCode[Material Code],0)),"ไม่พบวัตถุดิบ")</f>
        <v>MATT FORDGE G M35</v>
      </c>
      <c r="G2380" s="59">
        <v>1</v>
      </c>
      <c r="H2380" s="59">
        <v>50</v>
      </c>
      <c r="I2380" s="1">
        <f>COUNTA(ProductInfo[[#This Row],[P1]:[P15]])</f>
        <v>3</v>
      </c>
      <c r="J23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80" s="7" t="s">
        <v>12</v>
      </c>
      <c r="M2380" s="7" t="s">
        <v>13</v>
      </c>
      <c r="N2380" s="7" t="s">
        <v>16</v>
      </c>
      <c r="O2380" s="4"/>
      <c r="P2380" s="7"/>
      <c r="Q2380" s="7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>
      <c r="A2381" s="15" t="s">
        <v>6135</v>
      </c>
      <c r="B2381" s="8" t="s">
        <v>6136</v>
      </c>
      <c r="C2381" s="1" t="str">
        <f>RIGHT(ProductInfo[[#This Row],[Drawing No]],1)</f>
        <v>0</v>
      </c>
      <c r="D2381" s="176" t="s">
        <v>2703</v>
      </c>
      <c r="E2381" s="16" t="s">
        <v>3439</v>
      </c>
      <c r="F2381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381" s="31" t="s">
        <v>6137</v>
      </c>
      <c r="H2381" s="31" t="s">
        <v>5999</v>
      </c>
      <c r="I2381" s="1">
        <f>COUNTA(ProductInfo[[#This Row],[P1]:[P15]])</f>
        <v>2</v>
      </c>
      <c r="J23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1" s="7" t="s">
        <v>12</v>
      </c>
      <c r="M2381" s="7" t="s">
        <v>13</v>
      </c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>
      <c r="A2382" s="33" t="s">
        <v>6138</v>
      </c>
      <c r="B2382" s="82" t="s">
        <v>6268</v>
      </c>
      <c r="C2382" s="2" t="str">
        <f>RIGHT(ProductInfo[[#This Row],[Drawing No]],1)</f>
        <v>2</v>
      </c>
      <c r="D2382" s="205" t="s">
        <v>6139</v>
      </c>
      <c r="E2382" s="16" t="s">
        <v>5952</v>
      </c>
      <c r="F2382" s="23" t="str">
        <f>IFERROR(INDEX(MaterialCode[รายละเอียด],MATCH(ProductInfo[[#This Row],[Material Code]],MaterialCode[Material Code],0)),"ไม่พบวัตถุดิบ")</f>
        <v>ท่ออลูมิเนียม 60.5x49.5 แปดแฉก</v>
      </c>
      <c r="G2382" s="31" t="s">
        <v>6081</v>
      </c>
      <c r="H2382" s="31" t="s">
        <v>6969</v>
      </c>
      <c r="I2382" s="1">
        <f>COUNTA(ProductInfo[[#This Row],[P1]:[P15]])</f>
        <v>3</v>
      </c>
      <c r="J23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2" s="4" t="s">
        <v>12</v>
      </c>
      <c r="M2382" s="4" t="s">
        <v>13</v>
      </c>
      <c r="N2382" s="4" t="s">
        <v>14</v>
      </c>
    </row>
    <row r="2383" spans="1:26">
      <c r="A2383" s="33" t="s">
        <v>6140</v>
      </c>
      <c r="B2383" s="82" t="s">
        <v>6268</v>
      </c>
      <c r="C2383" s="2" t="str">
        <f>RIGHT(ProductInfo[[#This Row],[Drawing No]],1)</f>
        <v>2</v>
      </c>
      <c r="D2383" s="205" t="s">
        <v>6141</v>
      </c>
      <c r="E2383" s="16"/>
      <c r="F238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83" s="31"/>
      <c r="H2383" s="31" t="s">
        <v>6969</v>
      </c>
      <c r="I2383" s="1">
        <f>COUNTA(ProductInfo[[#This Row],[P1]:[P15]])</f>
        <v>3</v>
      </c>
      <c r="J23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3" s="4" t="s">
        <v>12</v>
      </c>
      <c r="M2383" s="4" t="s">
        <v>13</v>
      </c>
      <c r="N2383" s="4" t="s">
        <v>14</v>
      </c>
    </row>
    <row r="2384" spans="1:26">
      <c r="A2384" s="33" t="s">
        <v>6142</v>
      </c>
      <c r="B2384" s="82" t="s">
        <v>6268</v>
      </c>
      <c r="C2384" s="2" t="str">
        <f>RIGHT(ProductInfo[[#This Row],[Drawing No]],1)</f>
        <v>2</v>
      </c>
      <c r="D2384" s="205" t="s">
        <v>6143</v>
      </c>
      <c r="E2384" s="16"/>
      <c r="F238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84" s="31"/>
      <c r="H2384" s="31" t="s">
        <v>6969</v>
      </c>
      <c r="I2384" s="1">
        <f>COUNTA(ProductInfo[[#This Row],[P1]:[P15]])</f>
        <v>3</v>
      </c>
      <c r="J23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4" s="4" t="s">
        <v>12</v>
      </c>
      <c r="M2384" s="4" t="s">
        <v>13</v>
      </c>
      <c r="N2384" s="4" t="s">
        <v>14</v>
      </c>
    </row>
    <row r="2385" spans="1:26">
      <c r="A2385" s="33" t="s">
        <v>6144</v>
      </c>
      <c r="B2385" s="82" t="s">
        <v>6268</v>
      </c>
      <c r="C2385" s="2" t="str">
        <f>RIGHT(ProductInfo[[#This Row],[Drawing No]],1)</f>
        <v>2</v>
      </c>
      <c r="D2385" s="205" t="s">
        <v>6145</v>
      </c>
      <c r="E2385" s="16" t="s">
        <v>5952</v>
      </c>
      <c r="F2385" s="23" t="str">
        <f>IFERROR(INDEX(MaterialCode[รายละเอียด],MATCH(ProductInfo[[#This Row],[Material Code]],MaterialCode[Material Code],0)),"ไม่พบวัตถุดิบ")</f>
        <v>ท่ออลูมิเนียม 60.5x49.5 แปดแฉก</v>
      </c>
      <c r="G2385" s="31" t="s">
        <v>6199</v>
      </c>
      <c r="H2385" s="31" t="s">
        <v>6969</v>
      </c>
      <c r="I2385" s="1">
        <f>COUNTA(ProductInfo[[#This Row],[P1]:[P15]])</f>
        <v>3</v>
      </c>
      <c r="J23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5" s="4" t="s">
        <v>12</v>
      </c>
      <c r="M2385" s="4" t="s">
        <v>13</v>
      </c>
      <c r="N2385" s="4" t="s">
        <v>14</v>
      </c>
    </row>
    <row r="2386" spans="1:26">
      <c r="A2386" s="33" t="s">
        <v>6146</v>
      </c>
      <c r="B2386" s="82" t="s">
        <v>6268</v>
      </c>
      <c r="C2386" s="2" t="str">
        <f>RIGHT(ProductInfo[[#This Row],[Drawing No]],1)</f>
        <v>2</v>
      </c>
      <c r="D2386" s="205" t="s">
        <v>6147</v>
      </c>
      <c r="E2386" s="16"/>
      <c r="F238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86" s="31"/>
      <c r="H2386" s="31" t="s">
        <v>6969</v>
      </c>
      <c r="I2386" s="1">
        <f>COUNTA(ProductInfo[[#This Row],[P1]:[P15]])</f>
        <v>3</v>
      </c>
      <c r="J23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6" s="4" t="s">
        <v>12</v>
      </c>
      <c r="M2386" s="4" t="s">
        <v>13</v>
      </c>
      <c r="N2386" s="4" t="s">
        <v>14</v>
      </c>
    </row>
    <row r="2387" spans="1:26">
      <c r="A2387" s="33" t="s">
        <v>6148</v>
      </c>
      <c r="B2387" s="82" t="s">
        <v>6268</v>
      </c>
      <c r="C2387" s="2" t="str">
        <f>RIGHT(ProductInfo[[#This Row],[Drawing No]],1)</f>
        <v>2</v>
      </c>
      <c r="D2387" s="205" t="s">
        <v>6149</v>
      </c>
      <c r="E2387" s="16"/>
      <c r="F238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87" s="31"/>
      <c r="H2387" s="31" t="s">
        <v>6969</v>
      </c>
      <c r="I2387" s="1">
        <f>COUNTA(ProductInfo[[#This Row],[P1]:[P15]])</f>
        <v>3</v>
      </c>
      <c r="J23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7" s="4" t="s">
        <v>12</v>
      </c>
      <c r="M2387" s="4" t="s">
        <v>13</v>
      </c>
      <c r="N2387" s="4" t="s">
        <v>14</v>
      </c>
    </row>
    <row r="2388" spans="1:26">
      <c r="A2388" s="33" t="s">
        <v>6150</v>
      </c>
      <c r="B2388" s="82" t="s">
        <v>6268</v>
      </c>
      <c r="C2388" s="2" t="str">
        <f>RIGHT(ProductInfo[[#This Row],[Drawing No]],1)</f>
        <v>2</v>
      </c>
      <c r="D2388" s="205" t="s">
        <v>6151</v>
      </c>
      <c r="E2388" s="16"/>
      <c r="F23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88" s="31"/>
      <c r="H2388" s="31" t="s">
        <v>6969</v>
      </c>
      <c r="I2388" s="1">
        <f>COUNTA(ProductInfo[[#This Row],[P1]:[P15]])</f>
        <v>3</v>
      </c>
      <c r="J23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8" s="4" t="s">
        <v>12</v>
      </c>
      <c r="M2388" s="4" t="s">
        <v>13</v>
      </c>
      <c r="N2388" s="4" t="s">
        <v>14</v>
      </c>
    </row>
    <row r="2389" spans="1:26">
      <c r="A2389" s="33" t="s">
        <v>6153</v>
      </c>
      <c r="B2389" s="82" t="s">
        <v>6152</v>
      </c>
      <c r="C2389" s="2" t="str">
        <f>RIGHT(ProductInfo[[#This Row],[Drawing No]],1)</f>
        <v>0</v>
      </c>
      <c r="D2389" s="205" t="s">
        <v>7047</v>
      </c>
      <c r="E2389" s="16" t="s">
        <v>5952</v>
      </c>
      <c r="F2389" s="26" t="str">
        <f>IFERROR(INDEX(MaterialCode[รายละเอียด],MATCH(ProductInfo[[#This Row],[Material Code]],MaterialCode[Material Code],0)),"ไม่พบวัตถุดิบ")</f>
        <v>ท่ออลูมิเนียม 60.5x49.5 แปดแฉก</v>
      </c>
      <c r="G2389" s="31" t="s">
        <v>6176</v>
      </c>
      <c r="H2389" s="31" t="s">
        <v>6177</v>
      </c>
      <c r="I2389" s="1">
        <f>COUNTA(ProductInfo[[#This Row],[P1]:[P15]])</f>
        <v>2</v>
      </c>
      <c r="J23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89" s="4" t="s">
        <v>12</v>
      </c>
      <c r="M2389" s="4" t="s">
        <v>13</v>
      </c>
    </row>
    <row r="2390" spans="1:26" ht="25.8">
      <c r="A2390" s="33" t="s">
        <v>6156</v>
      </c>
      <c r="B2390" s="21" t="s">
        <v>6253</v>
      </c>
      <c r="C2390" s="2" t="str">
        <f>RIGHT(ProductInfo[[#This Row],[Drawing No]],1)</f>
        <v>1</v>
      </c>
      <c r="D2390" s="205" t="s">
        <v>7046</v>
      </c>
      <c r="E2390" s="258" t="s">
        <v>7037</v>
      </c>
      <c r="F2390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390" s="31" t="s">
        <v>6176</v>
      </c>
      <c r="H2390" s="31" t="s">
        <v>6177</v>
      </c>
      <c r="I2390" s="1">
        <f>COUNTA(ProductInfo[[#This Row],[P1]:[P15]])</f>
        <v>3</v>
      </c>
      <c r="J23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90" s="4" t="s">
        <v>12</v>
      </c>
      <c r="M2390" s="4" t="s">
        <v>13</v>
      </c>
      <c r="N2390" s="4" t="s">
        <v>15</v>
      </c>
    </row>
    <row r="2391" spans="1:26">
      <c r="A2391" s="33" t="s">
        <v>6158</v>
      </c>
      <c r="B2391" s="21" t="s">
        <v>6157</v>
      </c>
      <c r="C2391" s="2" t="str">
        <f>RIGHT(ProductInfo[[#This Row],[Drawing No]],1)</f>
        <v>0</v>
      </c>
      <c r="D2391" s="205" t="s">
        <v>6159</v>
      </c>
      <c r="E2391" s="16" t="s">
        <v>3421</v>
      </c>
      <c r="F2391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391" s="31" t="s">
        <v>6209</v>
      </c>
      <c r="H2391" s="31" t="s">
        <v>6210</v>
      </c>
      <c r="I2391" s="1">
        <f>COUNTA(ProductInfo[[#This Row],[P1]:[P15]])</f>
        <v>3</v>
      </c>
      <c r="J23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91" s="4" t="s">
        <v>12</v>
      </c>
      <c r="M2391" s="4" t="s">
        <v>15</v>
      </c>
      <c r="N2391" s="4" t="s">
        <v>16</v>
      </c>
    </row>
    <row r="2392" spans="1:26">
      <c r="A2392" s="33" t="s">
        <v>6161</v>
      </c>
      <c r="B2392" s="21" t="s">
        <v>6160</v>
      </c>
      <c r="C2392" s="2" t="str">
        <f>RIGHT(ProductInfo[[#This Row],[Drawing No]],1)</f>
        <v>0</v>
      </c>
      <c r="D2392" s="205" t="s">
        <v>6162</v>
      </c>
      <c r="E2392" s="16" t="s">
        <v>3421</v>
      </c>
      <c r="F2392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392" s="31" t="s">
        <v>6224</v>
      </c>
      <c r="H2392" s="31" t="s">
        <v>6210</v>
      </c>
      <c r="I2392" s="1">
        <f>COUNTA(ProductInfo[[#This Row],[P1]:[P15]])</f>
        <v>3</v>
      </c>
      <c r="J23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92" s="4" t="s">
        <v>12</v>
      </c>
      <c r="M2392" s="4" t="s">
        <v>15</v>
      </c>
      <c r="N2392" s="4" t="s">
        <v>16</v>
      </c>
    </row>
    <row r="2393" spans="1:26">
      <c r="A2393" s="33" t="s">
        <v>6164</v>
      </c>
      <c r="B2393" s="21" t="s">
        <v>6163</v>
      </c>
      <c r="C2393" s="2" t="str">
        <f>RIGHT(ProductInfo[[#This Row],[Drawing No]],1)</f>
        <v>0</v>
      </c>
      <c r="D2393" s="205" t="s">
        <v>6165</v>
      </c>
      <c r="E2393" s="16"/>
      <c r="F23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93" s="31"/>
      <c r="H2393" s="31"/>
      <c r="I2393" s="1">
        <f>COUNTA(ProductInfo[[#This Row],[P1]:[P15]])</f>
        <v>0</v>
      </c>
      <c r="J23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93" s="4"/>
    </row>
    <row r="2394" spans="1:26">
      <c r="A2394" s="33" t="s">
        <v>6166</v>
      </c>
      <c r="B2394" s="21" t="s">
        <v>6167</v>
      </c>
      <c r="C2394" s="2" t="str">
        <f>RIGHT(ProductInfo[[#This Row],[Drawing No]],1)</f>
        <v>0</v>
      </c>
      <c r="D2394" s="205" t="s">
        <v>6168</v>
      </c>
      <c r="E2394" s="16" t="s">
        <v>3421</v>
      </c>
      <c r="F2394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394" s="31" t="s">
        <v>6273</v>
      </c>
      <c r="H2394" s="31" t="s">
        <v>6210</v>
      </c>
      <c r="I2394" s="1">
        <f>COUNTA(ProductInfo[[#This Row],[P1]:[P15]])</f>
        <v>3</v>
      </c>
      <c r="J23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3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94" s="4" t="s">
        <v>12</v>
      </c>
      <c r="M2394" s="4" t="s">
        <v>15</v>
      </c>
      <c r="N2394" s="4" t="s">
        <v>16</v>
      </c>
    </row>
    <row r="2395" spans="1:26">
      <c r="A2395" s="33" t="s">
        <v>6170</v>
      </c>
      <c r="B2395" s="21" t="s">
        <v>6169</v>
      </c>
      <c r="C2395" s="2" t="str">
        <f>RIGHT(ProductInfo[[#This Row],[Drawing No]],1)</f>
        <v>0</v>
      </c>
      <c r="D2395" s="205" t="s">
        <v>6171</v>
      </c>
      <c r="E2395" s="16"/>
      <c r="F239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395" s="31"/>
      <c r="H2395" s="31"/>
      <c r="I2395" s="1">
        <f>COUNTA(ProductInfo[[#This Row],[P1]:[P15]])</f>
        <v>0</v>
      </c>
      <c r="J23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3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395" s="4"/>
    </row>
    <row r="2396" spans="1:26">
      <c r="A2396" s="54" t="s">
        <v>6172</v>
      </c>
      <c r="B2396" s="8" t="s">
        <v>6173</v>
      </c>
      <c r="C2396" s="2" t="str">
        <f>RIGHT(ProductInfo[[#This Row],[Drawing No]],1)</f>
        <v>0</v>
      </c>
      <c r="D2396" s="180" t="s">
        <v>3816</v>
      </c>
      <c r="E2396" s="18" t="s">
        <v>3718</v>
      </c>
      <c r="F2396" s="26" t="str">
        <f>IFERROR(INDEX(MaterialCode[รายละเอียด],MATCH(ProductInfo[[#This Row],[Material Code]],MaterialCode[Material Code],0)),"ไม่พบวัตถุดิบ")</f>
        <v>MATT FORDGE G M35</v>
      </c>
      <c r="G2396" s="32"/>
      <c r="H2396" s="3">
        <v>50</v>
      </c>
      <c r="I2396" s="1">
        <f>COUNTA(ProductInfo[[#This Row],[P1]:[P15]])</f>
        <v>5</v>
      </c>
      <c r="J23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96" s="7" t="s">
        <v>12</v>
      </c>
      <c r="M2396" s="7" t="s">
        <v>13</v>
      </c>
      <c r="N2396" s="7" t="s">
        <v>14</v>
      </c>
      <c r="O2396" s="4" t="s">
        <v>15</v>
      </c>
      <c r="P2396" s="4" t="s">
        <v>16</v>
      </c>
    </row>
    <row r="2397" spans="1:26">
      <c r="A2397" s="15" t="s">
        <v>6175</v>
      </c>
      <c r="B2397" s="21" t="s">
        <v>6174</v>
      </c>
      <c r="C2397" s="2" t="str">
        <f>RIGHT(ProductInfo[[#This Row],[Drawing No]],1)</f>
        <v>0</v>
      </c>
      <c r="D2397" s="191" t="s">
        <v>3247</v>
      </c>
      <c r="E2397" s="16" t="s">
        <v>3718</v>
      </c>
      <c r="F2397" s="23" t="str">
        <f>IFERROR(INDEX(MaterialCode[รายละเอียด],MATCH(ProductInfo[[#This Row],[Material Code]],MaterialCode[Material Code],0)),"ไม่พบวัตถุดิบ")</f>
        <v>MATT FORDGE G M35</v>
      </c>
      <c r="G2397" s="31"/>
      <c r="H2397" s="31">
        <v>50</v>
      </c>
      <c r="I2397" s="1">
        <f>COUNTA(ProductInfo[[#This Row],[P1]:[P15]])</f>
        <v>5</v>
      </c>
      <c r="J23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397" s="7" t="s">
        <v>12</v>
      </c>
      <c r="M2397" s="7" t="s">
        <v>13</v>
      </c>
      <c r="N2397" s="7" t="s">
        <v>14</v>
      </c>
      <c r="O2397" s="4" t="s">
        <v>15</v>
      </c>
      <c r="P2397" s="4" t="s">
        <v>16</v>
      </c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>
      <c r="A2398" s="33" t="s">
        <v>1293</v>
      </c>
      <c r="B2398" s="21" t="s">
        <v>6178</v>
      </c>
      <c r="C2398" s="2" t="str">
        <f>RIGHT(ProductInfo[[#This Row],[Drawing No]],1)</f>
        <v>0</v>
      </c>
      <c r="D2398" s="205" t="s">
        <v>6179</v>
      </c>
      <c r="E2398" s="16" t="s">
        <v>3739</v>
      </c>
      <c r="F2398" s="23" t="str">
        <f>IFERROR(INDEX(MaterialCode[รายละเอียด],MATCH(ProductInfo[[#This Row],[Material Code]],MaterialCode[Material Code],0)),"ไม่พบวัตถุดิบ")</f>
        <v>MATT FORDGE C EURO M35</v>
      </c>
      <c r="G2398" s="31" t="s">
        <v>6034</v>
      </c>
      <c r="H2398" s="31" t="s">
        <v>4897</v>
      </c>
      <c r="I2398" s="1">
        <f>COUNTA(ProductInfo[[#This Row],[P1]:[P15]])</f>
        <v>4</v>
      </c>
      <c r="J23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3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98" s="4" t="s">
        <v>12</v>
      </c>
      <c r="M2398" s="4" t="s">
        <v>13</v>
      </c>
      <c r="N2398" s="4" t="s">
        <v>14</v>
      </c>
      <c r="O2398" s="4" t="s">
        <v>15</v>
      </c>
    </row>
    <row r="2399" spans="1:26">
      <c r="A2399" s="33" t="s">
        <v>1301</v>
      </c>
      <c r="B2399" s="82" t="s">
        <v>6180</v>
      </c>
      <c r="C2399" s="2" t="str">
        <f>RIGHT(ProductInfo[[#This Row],[Drawing No]],1)</f>
        <v>0</v>
      </c>
      <c r="D2399" s="205" t="s">
        <v>6181</v>
      </c>
      <c r="E2399" s="16" t="s">
        <v>3739</v>
      </c>
      <c r="F2399" s="23" t="str">
        <f>IFERROR(INDEX(MaterialCode[รายละเอียด],MATCH(ProductInfo[[#This Row],[Material Code]],MaterialCode[Material Code],0)),"ไม่พบวัตถุดิบ")</f>
        <v>MATT FORDGE C EURO M35</v>
      </c>
      <c r="G2399" s="31"/>
      <c r="H2399" s="31" t="s">
        <v>4897</v>
      </c>
      <c r="I2399" s="1">
        <f>COUNTA(ProductInfo[[#This Row],[P1]:[P15]])</f>
        <v>3</v>
      </c>
      <c r="J23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3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399" s="4" t="s">
        <v>12</v>
      </c>
      <c r="M2399" s="4" t="s">
        <v>13</v>
      </c>
      <c r="N2399" s="4" t="s">
        <v>16</v>
      </c>
    </row>
    <row r="2400" spans="1:26">
      <c r="A2400" s="33" t="s">
        <v>6183</v>
      </c>
      <c r="B2400" s="82" t="s">
        <v>6182</v>
      </c>
      <c r="C2400" s="2" t="str">
        <f>RIGHT(ProductInfo[[#This Row],[Drawing No]],1)</f>
        <v>0</v>
      </c>
      <c r="D2400" s="205" t="s">
        <v>6184</v>
      </c>
      <c r="E2400" s="16" t="s">
        <v>3739</v>
      </c>
      <c r="F2400" s="23" t="str">
        <f>IFERROR(INDEX(MaterialCode[รายละเอียด],MATCH(ProductInfo[[#This Row],[Material Code]],MaterialCode[Material Code],0)),"ไม่พบวัตถุดิบ")</f>
        <v>MATT FORDGE C EURO M35</v>
      </c>
      <c r="G2400" s="31"/>
      <c r="H2400" s="31" t="s">
        <v>4897</v>
      </c>
      <c r="I2400" s="1">
        <f>COUNTA(ProductInfo[[#This Row],[P1]:[P15]])</f>
        <v>4</v>
      </c>
      <c r="J24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00" s="4" t="s">
        <v>12</v>
      </c>
      <c r="M2400" s="4" t="s">
        <v>13</v>
      </c>
      <c r="N2400" s="4" t="s">
        <v>15</v>
      </c>
      <c r="O2400" s="4" t="s">
        <v>16</v>
      </c>
    </row>
    <row r="2401" spans="1:26">
      <c r="A2401" s="33" t="s">
        <v>6186</v>
      </c>
      <c r="B2401" s="21" t="s">
        <v>6185</v>
      </c>
      <c r="C2401" s="2" t="str">
        <f>RIGHT(ProductInfo[[#This Row],[Drawing No]],1)</f>
        <v>0</v>
      </c>
      <c r="D2401" s="205" t="s">
        <v>6187</v>
      </c>
      <c r="E2401" s="16" t="s">
        <v>3739</v>
      </c>
      <c r="F2401" s="23" t="str">
        <f>IFERROR(INDEX(MaterialCode[รายละเอียด],MATCH(ProductInfo[[#This Row],[Material Code]],MaterialCode[Material Code],0)),"ไม่พบวัตถุดิบ")</f>
        <v>MATT FORDGE C EURO M35</v>
      </c>
      <c r="G2401" s="31"/>
      <c r="H2401" s="31" t="s">
        <v>4897</v>
      </c>
      <c r="I2401" s="1">
        <f>COUNTA(ProductInfo[[#This Row],[P1]:[P15]])</f>
        <v>3</v>
      </c>
      <c r="J24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01" s="4" t="s">
        <v>12</v>
      </c>
      <c r="M2401" s="4" t="s">
        <v>13</v>
      </c>
      <c r="N2401" s="4" t="s">
        <v>16</v>
      </c>
    </row>
    <row r="2402" spans="1:26">
      <c r="A2402" s="8" t="s">
        <v>6189</v>
      </c>
      <c r="B2402" s="8" t="s">
        <v>6188</v>
      </c>
      <c r="C2402" s="2" t="str">
        <f>RIGHT(ProductInfo[[#This Row],[Drawing No]],1)</f>
        <v>0</v>
      </c>
      <c r="D2402" s="176" t="s">
        <v>5220</v>
      </c>
      <c r="E2402" s="16"/>
      <c r="F240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02" s="59">
        <v>111</v>
      </c>
      <c r="H2402" s="59">
        <v>20</v>
      </c>
      <c r="I2402" s="1">
        <f>COUNTA(ProductInfo[[#This Row],[P1]:[P15]])</f>
        <v>6</v>
      </c>
      <c r="J24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402" s="7" t="s">
        <v>15</v>
      </c>
      <c r="M2402" s="7" t="s">
        <v>16</v>
      </c>
      <c r="N2402" s="4" t="s">
        <v>14</v>
      </c>
      <c r="O2402" s="4" t="s">
        <v>15</v>
      </c>
      <c r="R2402" s="4" t="s">
        <v>16</v>
      </c>
      <c r="S2402" s="4" t="s">
        <v>19</v>
      </c>
    </row>
    <row r="2403" spans="1:26">
      <c r="A2403" s="8" t="s">
        <v>6190</v>
      </c>
      <c r="B2403" s="8" t="s">
        <v>6191</v>
      </c>
      <c r="C2403" s="2" t="str">
        <f>RIGHT(ProductInfo[[#This Row],[Drawing No]],1)</f>
        <v>0</v>
      </c>
      <c r="D2403" s="176" t="s">
        <v>5223</v>
      </c>
      <c r="E2403" s="16"/>
      <c r="F240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03" s="59">
        <v>111</v>
      </c>
      <c r="H2403" s="59">
        <v>20</v>
      </c>
      <c r="I2403" s="1">
        <f>COUNTA(ProductInfo[[#This Row],[P1]:[P15]])</f>
        <v>6</v>
      </c>
      <c r="J24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403" s="7" t="s">
        <v>15</v>
      </c>
      <c r="M2403" s="7" t="s">
        <v>16</v>
      </c>
      <c r="N2403" s="4" t="s">
        <v>14</v>
      </c>
      <c r="O2403" s="4" t="s">
        <v>15</v>
      </c>
      <c r="R2403" s="4" t="s">
        <v>16</v>
      </c>
      <c r="S2403" s="4" t="s">
        <v>19</v>
      </c>
    </row>
    <row r="2404" spans="1:26">
      <c r="A2404" s="8" t="s">
        <v>6193</v>
      </c>
      <c r="B2404" s="8" t="s">
        <v>6192</v>
      </c>
      <c r="C2404" s="2" t="str">
        <f>RIGHT(ProductInfo[[#This Row],[Drawing No]],1)</f>
        <v>0</v>
      </c>
      <c r="D2404" s="176" t="s">
        <v>5226</v>
      </c>
      <c r="E2404" s="16" t="s">
        <v>6703</v>
      </c>
      <c r="F2404" s="23" t="str">
        <f>IFERROR(INDEX(MaterialCode[รายละเอียด],MATCH(ProductInfo[[#This Row],[Material Code]],MaterialCode[Material Code],0)),"ไม่พบวัตถุดิบ")</f>
        <v>MATT FORDGE G M42 NEW 2023 SET JUMBO</v>
      </c>
      <c r="G2404" s="59">
        <v>1</v>
      </c>
      <c r="H2404" s="59">
        <v>20</v>
      </c>
      <c r="I2404" s="1">
        <f>COUNTA(ProductInfo[[#This Row],[P1]:[P15]])</f>
        <v>6</v>
      </c>
      <c r="J24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404" s="7" t="s">
        <v>15</v>
      </c>
      <c r="M2404" s="7" t="s">
        <v>16</v>
      </c>
      <c r="N2404" s="4" t="s">
        <v>14</v>
      </c>
      <c r="O2404" s="4" t="s">
        <v>15</v>
      </c>
      <c r="R2404" s="4" t="s">
        <v>16</v>
      </c>
      <c r="S2404" s="4" t="s">
        <v>19</v>
      </c>
    </row>
    <row r="2405" spans="1:26">
      <c r="A2405" s="15" t="s">
        <v>6195</v>
      </c>
      <c r="B2405" s="21" t="s">
        <v>6194</v>
      </c>
      <c r="C2405" s="2" t="str">
        <f>RIGHT(ProductInfo[[#This Row],[Drawing No]],1)</f>
        <v>0</v>
      </c>
      <c r="D2405" s="191" t="s">
        <v>5229</v>
      </c>
      <c r="E2405" s="16" t="s">
        <v>6703</v>
      </c>
      <c r="F2405" s="23" t="str">
        <f>IFERROR(INDEX(MaterialCode[รายละเอียด],MATCH(ProductInfo[[#This Row],[Material Code]],MaterialCode[Material Code],0)),"ไม่พบวัตถุดิบ")</f>
        <v>MATT FORDGE G M42 NEW 2023 SET JUMBO</v>
      </c>
      <c r="G2405" s="31"/>
      <c r="H2405" s="31">
        <v>20</v>
      </c>
      <c r="I2405" s="1">
        <f>COUNTA(ProductInfo[[#This Row],[P1]:[P15]])</f>
        <v>4</v>
      </c>
      <c r="J24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05" s="7" t="s">
        <v>12</v>
      </c>
      <c r="M2405" s="7" t="s">
        <v>13</v>
      </c>
      <c r="N2405" s="4" t="s">
        <v>16</v>
      </c>
      <c r="O2405" s="4" t="s">
        <v>19</v>
      </c>
    </row>
    <row r="2406" spans="1:26">
      <c r="A2406" s="33" t="s">
        <v>6197</v>
      </c>
      <c r="B2406" s="82" t="s">
        <v>6196</v>
      </c>
      <c r="C2406" s="2" t="str">
        <f>RIGHT(ProductInfo[[#This Row],[Drawing No]],1)</f>
        <v>0</v>
      </c>
      <c r="D2406" s="205" t="s">
        <v>6198</v>
      </c>
      <c r="E2406" s="16" t="s">
        <v>3439</v>
      </c>
      <c r="F2406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406" s="31" t="s">
        <v>6208</v>
      </c>
      <c r="H2406" s="31" t="s">
        <v>6207</v>
      </c>
      <c r="I2406" s="1">
        <f>COUNTA(ProductInfo[[#This Row],[P1]:[P15]])</f>
        <v>4</v>
      </c>
      <c r="J24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06" s="7" t="s">
        <v>12</v>
      </c>
      <c r="M2406" s="7" t="s">
        <v>13</v>
      </c>
      <c r="N2406" s="4" t="s">
        <v>15</v>
      </c>
      <c r="O2406" s="4" t="s">
        <v>16</v>
      </c>
    </row>
    <row r="2407" spans="1:26">
      <c r="A2407" s="54" t="s">
        <v>6214</v>
      </c>
      <c r="B2407" s="8" t="s">
        <v>6215</v>
      </c>
      <c r="C2407" s="2" t="str">
        <f>RIGHT(ProductInfo[[#This Row],[Drawing No]],1)</f>
        <v>0</v>
      </c>
      <c r="D2407" s="174" t="s">
        <v>6216</v>
      </c>
      <c r="E2407" s="16"/>
      <c r="F240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07" s="31" t="s">
        <v>6176</v>
      </c>
      <c r="H2407" s="31"/>
      <c r="I2407" s="1">
        <f>COUNTA(ProductInfo[[#This Row],[P1]:[P15]])</f>
        <v>1</v>
      </c>
      <c r="J24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07" s="7" t="s">
        <v>12</v>
      </c>
      <c r="M2407" s="7"/>
    </row>
    <row r="2408" spans="1:26">
      <c r="A2408" s="54" t="s">
        <v>6217</v>
      </c>
      <c r="B2408" s="8" t="s">
        <v>6218</v>
      </c>
      <c r="C2408" s="2" t="str">
        <f>RIGHT(ProductInfo[[#This Row],[Drawing No]],1)</f>
        <v>0</v>
      </c>
      <c r="D2408" s="174" t="s">
        <v>6219</v>
      </c>
      <c r="E2408" s="16"/>
      <c r="F240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08" s="31" t="s">
        <v>6176</v>
      </c>
      <c r="H2408" s="31"/>
      <c r="I2408" s="1">
        <f>COUNTA(ProductInfo[[#This Row],[P1]:[P15]])</f>
        <v>1</v>
      </c>
      <c r="J24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08" s="7" t="s">
        <v>12</v>
      </c>
      <c r="M2408" s="7"/>
    </row>
    <row r="2409" spans="1:26">
      <c r="A2409" s="33" t="s">
        <v>6221</v>
      </c>
      <c r="B2409" s="21" t="s">
        <v>6220</v>
      </c>
      <c r="C2409" s="2" t="str">
        <f>RIGHT(ProductInfo[[#This Row],[Drawing No]],1)</f>
        <v>0</v>
      </c>
      <c r="D2409" s="205" t="s">
        <v>6222</v>
      </c>
      <c r="E2409" s="16" t="s">
        <v>3441</v>
      </c>
      <c r="F2409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09" s="31" t="s">
        <v>6223</v>
      </c>
      <c r="H2409" s="31" t="s">
        <v>6210</v>
      </c>
      <c r="I2409" s="1">
        <f>COUNTA(ProductInfo[[#This Row],[P1]:[P15]])</f>
        <v>0</v>
      </c>
      <c r="J24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09" s="4"/>
    </row>
    <row r="2410" spans="1:26">
      <c r="A2410" s="54" t="s">
        <v>6225</v>
      </c>
      <c r="B2410" s="8" t="s">
        <v>6226</v>
      </c>
      <c r="C2410" s="2" t="str">
        <f>RIGHT(ProductInfo[[#This Row],[Drawing No]],1)</f>
        <v>0</v>
      </c>
      <c r="D2410" s="174" t="s">
        <v>6227</v>
      </c>
      <c r="E2410" s="16" t="s">
        <v>5150</v>
      </c>
      <c r="F2410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410" s="31" t="s">
        <v>6228</v>
      </c>
      <c r="H2410" s="31" t="s">
        <v>6210</v>
      </c>
      <c r="I2410" s="1">
        <f>COUNTA(ProductInfo[[#This Row],[P1]:[P15]])</f>
        <v>4</v>
      </c>
      <c r="J24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10" s="4" t="s">
        <v>12</v>
      </c>
      <c r="M2410" s="4" t="s">
        <v>13</v>
      </c>
      <c r="N2410" s="4" t="s">
        <v>15</v>
      </c>
      <c r="O2410" s="4" t="s">
        <v>16</v>
      </c>
    </row>
    <row r="2411" spans="1:26" s="1" customFormat="1">
      <c r="A2411" s="8" t="s">
        <v>6229</v>
      </c>
      <c r="B2411" s="8" t="s">
        <v>6230</v>
      </c>
      <c r="C2411" s="1" t="str">
        <f>RIGHT(ProductInfo[[#This Row],[Drawing No]],1)</f>
        <v>0</v>
      </c>
      <c r="D2411" s="179" t="s">
        <v>3050</v>
      </c>
      <c r="E2411" s="18" t="s">
        <v>3716</v>
      </c>
      <c r="F2411" s="26" t="str">
        <f>IFERROR(INDEX(MaterialCode[รายละเอียด],MATCH(ProductInfo[[#This Row],[Material Code]],MaterialCode[Material Code],0)),"ไม่พบวัตถุดิบ")</f>
        <v>MATT FORDGE C M35</v>
      </c>
      <c r="G2411" s="32" t="s">
        <v>6034</v>
      </c>
      <c r="H2411" s="3">
        <v>50</v>
      </c>
      <c r="I2411" s="1">
        <f>COUNTA(ProductInfo[[#This Row],[P1]:[P15]])</f>
        <v>2</v>
      </c>
      <c r="J24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11" s="7" t="s">
        <v>12</v>
      </c>
      <c r="M2411" s="7" t="s">
        <v>13</v>
      </c>
      <c r="N2411" s="4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>
      <c r="A2412" s="33" t="s">
        <v>6236</v>
      </c>
      <c r="B2412" s="82" t="s">
        <v>6234</v>
      </c>
      <c r="C2412" s="2" t="str">
        <f>RIGHT(ProductInfo[[#This Row],[Drawing No]],1)</f>
        <v>0</v>
      </c>
      <c r="D2412" s="205" t="s">
        <v>6237</v>
      </c>
      <c r="E2412" s="16" t="s">
        <v>6529</v>
      </c>
      <c r="F241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12" s="31" t="s">
        <v>6563</v>
      </c>
      <c r="H2412" s="31" t="s">
        <v>5999</v>
      </c>
      <c r="I2412" s="1">
        <f>COUNTA(ProductInfo[[#This Row],[P1]:[P15]])</f>
        <v>3</v>
      </c>
      <c r="J24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12" s="7" t="s">
        <v>12</v>
      </c>
      <c r="M2412" s="7" t="s">
        <v>13</v>
      </c>
      <c r="N2412" s="4" t="s">
        <v>15</v>
      </c>
      <c r="O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>
      <c r="A2413" s="33" t="s">
        <v>6235</v>
      </c>
      <c r="B2413" s="82" t="s">
        <v>6234</v>
      </c>
      <c r="C2413" s="2" t="str">
        <f>RIGHT(ProductInfo[[#This Row],[Drawing No]],1)</f>
        <v>0</v>
      </c>
      <c r="D2413" s="205" t="s">
        <v>5685</v>
      </c>
      <c r="E2413" s="16" t="s">
        <v>6529</v>
      </c>
      <c r="F241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13" s="31" t="s">
        <v>6384</v>
      </c>
      <c r="H2413" s="31" t="s">
        <v>5999</v>
      </c>
      <c r="I2413" s="1">
        <f>COUNTA(ProductInfo[[#This Row],[P1]:[P15]])</f>
        <v>3</v>
      </c>
      <c r="J24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13" s="7" t="s">
        <v>12</v>
      </c>
      <c r="M2413" s="7" t="s">
        <v>13</v>
      </c>
      <c r="N2413" s="4" t="s">
        <v>15</v>
      </c>
      <c r="O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>
      <c r="A2414" s="33" t="s">
        <v>6239</v>
      </c>
      <c r="B2414" s="82" t="s">
        <v>6238</v>
      </c>
      <c r="C2414" s="2" t="str">
        <f>RIGHT(ProductInfo[[#This Row],[Drawing No]],1)</f>
        <v>0</v>
      </c>
      <c r="D2414" s="205" t="s">
        <v>6240</v>
      </c>
      <c r="E2414" s="16" t="s">
        <v>3494</v>
      </c>
      <c r="F2414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414" s="31" t="s">
        <v>6393</v>
      </c>
      <c r="H2414" s="31" t="s">
        <v>5999</v>
      </c>
      <c r="I2414" s="1">
        <f>COUNTA(ProductInfo[[#This Row],[P1]:[P15]])</f>
        <v>3</v>
      </c>
      <c r="J24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14" s="7" t="s">
        <v>15</v>
      </c>
      <c r="M2414" s="7" t="s">
        <v>12</v>
      </c>
      <c r="N2414" s="4" t="s">
        <v>13</v>
      </c>
      <c r="O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s="1" customFormat="1">
      <c r="A2415" s="8" t="s">
        <v>6241</v>
      </c>
      <c r="B2415" s="8" t="s">
        <v>6242</v>
      </c>
      <c r="C2415" s="1" t="str">
        <f>RIGHT(ProductInfo[[#This Row],[Drawing No]],1)</f>
        <v>0</v>
      </c>
      <c r="D2415" s="176" t="s">
        <v>2573</v>
      </c>
      <c r="E2415" s="16" t="s">
        <v>4522</v>
      </c>
      <c r="F2415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415" s="59">
        <v>133</v>
      </c>
      <c r="H2415" s="59">
        <v>30</v>
      </c>
      <c r="I2415" s="1">
        <f>COUNTA(ProductInfo[[#This Row],[P1]:[P15]])</f>
        <v>4</v>
      </c>
      <c r="J24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15" s="7" t="s">
        <v>15</v>
      </c>
      <c r="M2415" s="7" t="s">
        <v>12</v>
      </c>
      <c r="N2415" s="7" t="s">
        <v>14</v>
      </c>
      <c r="O2415" s="7" t="s">
        <v>19</v>
      </c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>
      <c r="A2416" s="8" t="s">
        <v>6244</v>
      </c>
      <c r="B2416" s="8" t="s">
        <v>6243</v>
      </c>
      <c r="C2416" s="2" t="str">
        <f>RIGHT(ProductInfo[[#This Row],[Drawing No]],1)</f>
        <v>0</v>
      </c>
      <c r="D2416" s="179" t="s">
        <v>5599</v>
      </c>
      <c r="E2416" s="32" t="s">
        <v>3536</v>
      </c>
      <c r="F2416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416" s="3">
        <v>51</v>
      </c>
      <c r="H2416" s="59">
        <v>100</v>
      </c>
      <c r="I2416" s="1">
        <f>COUNTA(ProductInfo[[#This Row],[P1]:[P15]])</f>
        <v>3</v>
      </c>
      <c r="J24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16" s="7" t="s">
        <v>12</v>
      </c>
      <c r="M2416" s="7" t="s">
        <v>15</v>
      </c>
      <c r="N2416" s="4" t="s">
        <v>16</v>
      </c>
      <c r="O2416" s="7"/>
      <c r="Z2416" s="7"/>
    </row>
    <row r="2417" spans="1:26">
      <c r="A2417" s="8" t="s">
        <v>6245</v>
      </c>
      <c r="B2417" s="8" t="s">
        <v>6246</v>
      </c>
      <c r="C2417" s="1" t="str">
        <f>RIGHT(ProductInfo[[#This Row],[Drawing No]],1)</f>
        <v>0</v>
      </c>
      <c r="D2417" s="176" t="s">
        <v>2693</v>
      </c>
      <c r="E2417" s="32" t="s">
        <v>3536</v>
      </c>
      <c r="F2417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417" s="59">
        <v>81</v>
      </c>
      <c r="H2417" s="59">
        <v>100</v>
      </c>
      <c r="I2417" s="1">
        <f>COUNTA(ProductInfo[[#This Row],[P1]:[P15]])</f>
        <v>2</v>
      </c>
      <c r="J24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17" s="7" t="s">
        <v>12</v>
      </c>
      <c r="M2417" s="7" t="s">
        <v>15</v>
      </c>
      <c r="N2417" s="7"/>
      <c r="O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>
      <c r="A2418" s="8" t="s">
        <v>6248</v>
      </c>
      <c r="B2418" s="8" t="s">
        <v>6247</v>
      </c>
      <c r="C2418" s="1" t="str">
        <f>RIGHT(ProductInfo[[#This Row],[Drawing No]],1)</f>
        <v>0</v>
      </c>
      <c r="D2418" s="179" t="s">
        <v>2691</v>
      </c>
      <c r="E2418" s="32" t="s">
        <v>4524</v>
      </c>
      <c r="F2418" s="26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418" s="33" t="s">
        <v>6559</v>
      </c>
      <c r="H2418" s="33">
        <v>40</v>
      </c>
      <c r="I2418" s="1">
        <f>COUNTA(ProductInfo[[#This Row],[P1]:[P15]])</f>
        <v>2</v>
      </c>
      <c r="J24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18" s="7" t="s">
        <v>15</v>
      </c>
      <c r="M2418" s="7" t="s">
        <v>12</v>
      </c>
      <c r="N2418" s="7"/>
      <c r="O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>
      <c r="A2419" s="8" t="s">
        <v>6249</v>
      </c>
      <c r="B2419" s="8" t="s">
        <v>6250</v>
      </c>
      <c r="C2419" s="2" t="str">
        <f>RIGHT(ProductInfo[[#This Row],[Drawing No]],1)</f>
        <v>0</v>
      </c>
      <c r="D2419" s="176" t="s">
        <v>5600</v>
      </c>
      <c r="E2419" s="32" t="s">
        <v>3536</v>
      </c>
      <c r="F2419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419" s="59">
        <v>51</v>
      </c>
      <c r="H2419" s="59">
        <v>100</v>
      </c>
      <c r="I2419" s="1">
        <f>COUNTA(ProductInfo[[#This Row],[P1]:[P15]])</f>
        <v>3</v>
      </c>
      <c r="J24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19" s="7" t="s">
        <v>12</v>
      </c>
      <c r="M2419" s="7" t="s">
        <v>15</v>
      </c>
      <c r="N2419" s="4" t="s">
        <v>16</v>
      </c>
      <c r="O2419" s="7"/>
    </row>
    <row r="2420" spans="1:26">
      <c r="A2420" s="8" t="s">
        <v>6255</v>
      </c>
      <c r="B2420" s="8" t="s">
        <v>6254</v>
      </c>
      <c r="C2420" s="1" t="str">
        <f>RIGHT(ProductInfo[[#This Row],[Drawing No]],1)</f>
        <v>0</v>
      </c>
      <c r="D2420" s="176" t="s">
        <v>2834</v>
      </c>
      <c r="E2420" s="16" t="s">
        <v>3441</v>
      </c>
      <c r="F2420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20" s="31" t="s">
        <v>6256</v>
      </c>
      <c r="H2420" s="31" t="s">
        <v>6210</v>
      </c>
      <c r="I2420" s="1">
        <f>COUNTA(ProductInfo[[#This Row],[P1]:[P15]])</f>
        <v>5</v>
      </c>
      <c r="J24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20" s="7" t="s">
        <v>12</v>
      </c>
      <c r="M2420" s="7" t="s">
        <v>13</v>
      </c>
      <c r="N2420" s="7" t="s">
        <v>14</v>
      </c>
      <c r="O2420" s="7" t="s">
        <v>15</v>
      </c>
      <c r="P2420" s="4" t="s">
        <v>16</v>
      </c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>
      <c r="A2421" s="15" t="s">
        <v>6257</v>
      </c>
      <c r="B2421" s="8" t="s">
        <v>6293</v>
      </c>
      <c r="C2421" s="2" t="str">
        <f>RIGHT(ProductInfo[[#This Row],[Drawing No]],1)</f>
        <v>0</v>
      </c>
      <c r="D2421" s="191" t="s">
        <v>6264</v>
      </c>
      <c r="E2421" s="16" t="s">
        <v>3559</v>
      </c>
      <c r="F2421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21" s="31" t="s">
        <v>6263</v>
      </c>
      <c r="H2421" s="31">
        <v>100</v>
      </c>
      <c r="I2421" s="1">
        <f>COUNTA(ProductInfo[[#This Row],[P1]:[P15]])</f>
        <v>2</v>
      </c>
      <c r="J24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1" s="7" t="s">
        <v>12</v>
      </c>
      <c r="M2421" s="7" t="s">
        <v>13</v>
      </c>
      <c r="O2421" s="7"/>
    </row>
    <row r="2422" spans="1:26">
      <c r="A2422" s="15" t="s">
        <v>6259</v>
      </c>
      <c r="B2422" s="8" t="s">
        <v>6293</v>
      </c>
      <c r="C2422" s="2" t="str">
        <f>RIGHT(ProductInfo[[#This Row],[Drawing No]],1)</f>
        <v>0</v>
      </c>
      <c r="D2422" s="191" t="s">
        <v>6265</v>
      </c>
      <c r="E2422" s="16" t="s">
        <v>3559</v>
      </c>
      <c r="F242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22" s="31" t="s">
        <v>6081</v>
      </c>
      <c r="H2422" s="31">
        <v>100</v>
      </c>
      <c r="I2422" s="1">
        <f>COUNTA(ProductInfo[[#This Row],[P1]:[P15]])</f>
        <v>2</v>
      </c>
      <c r="J24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2" s="7" t="s">
        <v>12</v>
      </c>
      <c r="M2422" s="7" t="s">
        <v>13</v>
      </c>
      <c r="O2422" s="7"/>
    </row>
    <row r="2423" spans="1:26">
      <c r="A2423" s="15" t="s">
        <v>6261</v>
      </c>
      <c r="B2423" s="8" t="s">
        <v>6293</v>
      </c>
      <c r="C2423" s="2" t="str">
        <f>RIGHT(ProductInfo[[#This Row],[Drawing No]],1)</f>
        <v>0</v>
      </c>
      <c r="D2423" s="191" t="s">
        <v>6266</v>
      </c>
      <c r="E2423" s="16" t="s">
        <v>3559</v>
      </c>
      <c r="F242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23" s="31" t="s">
        <v>6267</v>
      </c>
      <c r="H2423" s="31">
        <v>100</v>
      </c>
      <c r="I2423" s="1">
        <f>COUNTA(ProductInfo[[#This Row],[P1]:[P15]])</f>
        <v>2</v>
      </c>
      <c r="J24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3" s="7" t="s">
        <v>12</v>
      </c>
      <c r="M2423" s="7" t="s">
        <v>13</v>
      </c>
      <c r="O2423" s="7"/>
    </row>
    <row r="2424" spans="1:26">
      <c r="A2424" s="15" t="s">
        <v>6269</v>
      </c>
      <c r="B2424" s="21" t="s">
        <v>4153</v>
      </c>
      <c r="C2424" s="2" t="str">
        <f>RIGHT(ProductInfo[[#This Row],[Drawing No]],1)</f>
        <v>5</v>
      </c>
      <c r="D2424" s="191" t="s">
        <v>6270</v>
      </c>
      <c r="E2424" s="16" t="s">
        <v>5150</v>
      </c>
      <c r="F2424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424" s="31">
        <v>85.5</v>
      </c>
      <c r="H2424" s="31">
        <v>100</v>
      </c>
      <c r="I2424" s="1">
        <f>COUNTA(ProductInfo[[#This Row],[P1]:[P15]])</f>
        <v>4</v>
      </c>
      <c r="J24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24" s="7" t="s">
        <v>12</v>
      </c>
      <c r="M2424" s="7" t="s">
        <v>13</v>
      </c>
      <c r="N2424" s="7" t="s">
        <v>15</v>
      </c>
      <c r="O2424" s="7" t="s">
        <v>16</v>
      </c>
      <c r="R2424" s="7"/>
    </row>
    <row r="2425" spans="1:26">
      <c r="A2425" s="54" t="s">
        <v>6272</v>
      </c>
      <c r="B2425" s="8" t="s">
        <v>6351</v>
      </c>
      <c r="C2425" s="2" t="str">
        <f>RIGHT(ProductInfo[[#This Row],[Drawing No]],1)</f>
        <v>2</v>
      </c>
      <c r="D2425" s="176" t="s">
        <v>5660</v>
      </c>
      <c r="E2425" s="16" t="s">
        <v>3536</v>
      </c>
      <c r="F2425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425" s="31" t="s">
        <v>6273</v>
      </c>
      <c r="H2425" s="31" t="s">
        <v>6440</v>
      </c>
      <c r="I2425" s="1">
        <f>COUNTA(ProductInfo[[#This Row],[P1]:[P15]])</f>
        <v>3</v>
      </c>
      <c r="J24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25" s="7" t="s">
        <v>12</v>
      </c>
      <c r="M2425" s="7" t="s">
        <v>15</v>
      </c>
      <c r="N2425" s="7" t="s">
        <v>16</v>
      </c>
      <c r="O2425" s="7"/>
      <c r="R2425" s="7"/>
    </row>
    <row r="2426" spans="1:26">
      <c r="A2426" s="54" t="s">
        <v>6276</v>
      </c>
      <c r="B2426" s="8" t="s">
        <v>6275</v>
      </c>
      <c r="C2426" s="2" t="str">
        <f>RIGHT(ProductInfo[[#This Row],[Drawing No]],1)</f>
        <v>0</v>
      </c>
      <c r="D2426" s="174" t="s">
        <v>6274</v>
      </c>
      <c r="E2426" s="16"/>
      <c r="F242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26" s="31"/>
      <c r="H2426" s="31"/>
      <c r="I2426" s="1">
        <f>COUNTA(ProductInfo[[#This Row],[P1]:[P15]])</f>
        <v>0</v>
      </c>
      <c r="J24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6" s="7"/>
      <c r="M2426" s="7"/>
      <c r="N2426" s="7"/>
      <c r="O2426" s="7"/>
      <c r="R2426" s="7"/>
    </row>
    <row r="2427" spans="1:26">
      <c r="A2427" s="33" t="s">
        <v>6278</v>
      </c>
      <c r="B2427" s="82" t="s">
        <v>6277</v>
      </c>
      <c r="C2427" s="2" t="str">
        <f>RIGHT(ProductInfo[[#This Row],[Drawing No]],1)</f>
        <v>0</v>
      </c>
      <c r="D2427" s="191" t="s">
        <v>6279</v>
      </c>
      <c r="E2427" s="16" t="s">
        <v>6529</v>
      </c>
      <c r="F242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27" s="31" t="s">
        <v>6280</v>
      </c>
      <c r="H2427" s="31" t="s">
        <v>5999</v>
      </c>
      <c r="I2427" s="1">
        <f>COUNTA(ProductInfo[[#This Row],[P1]:[P15]])</f>
        <v>0</v>
      </c>
      <c r="J24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27" s="4"/>
    </row>
    <row r="2428" spans="1:26">
      <c r="A2428" s="8" t="s">
        <v>6282</v>
      </c>
      <c r="B2428" s="8" t="s">
        <v>6281</v>
      </c>
      <c r="C2428" s="1" t="str">
        <f>RIGHT(ProductInfo[[#This Row],[Drawing No]],1)</f>
        <v>0</v>
      </c>
      <c r="D2428" s="176" t="s">
        <v>2559</v>
      </c>
      <c r="E2428" s="16" t="s">
        <v>3607</v>
      </c>
      <c r="F2428" s="23" t="str">
        <f>IFERROR(INDEX(MaterialCode[รายละเอียด],MATCH(ProductInfo[[#This Row],[Material Code]],MaterialCode[Material Code],0)),"ไม่พบวัตถุดิบ")</f>
        <v>MATT FORDGE Z ตัวเล็ก</v>
      </c>
      <c r="G2428" s="31"/>
      <c r="H2428" s="59">
        <v>80</v>
      </c>
      <c r="I2428" s="1">
        <v>5</v>
      </c>
      <c r="J2428" s="1">
        <v>3</v>
      </c>
      <c r="K2428" s="1">
        <v>2</v>
      </c>
      <c r="L2428" s="7" t="s">
        <v>12</v>
      </c>
      <c r="M2428" s="7" t="s">
        <v>13</v>
      </c>
      <c r="N2428" s="7" t="s">
        <v>14</v>
      </c>
      <c r="O2428" s="7" t="s">
        <v>15</v>
      </c>
      <c r="Q2428" s="7"/>
      <c r="R2428" s="7"/>
      <c r="S2428" s="1"/>
      <c r="T2428" s="1"/>
      <c r="U2428" s="1"/>
      <c r="V2428" s="1"/>
      <c r="W2428" s="1"/>
      <c r="X2428" s="1"/>
      <c r="Y2428" s="1"/>
      <c r="Z2428" s="1"/>
    </row>
    <row r="2429" spans="1:26">
      <c r="A2429" s="54" t="s">
        <v>6284</v>
      </c>
      <c r="B2429" s="8" t="s">
        <v>6283</v>
      </c>
      <c r="C2429" s="2" t="str">
        <f>RIGHT(ProductInfo[[#This Row],[Drawing No]],1)</f>
        <v>0</v>
      </c>
      <c r="D2429" s="174" t="s">
        <v>6285</v>
      </c>
      <c r="E2429" s="16" t="s">
        <v>7032</v>
      </c>
      <c r="F2429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429" s="31" t="s">
        <v>5236</v>
      </c>
      <c r="H2429" s="31" t="s">
        <v>4899</v>
      </c>
      <c r="I2429" s="1">
        <f>COUNTA(ProductInfo[[#This Row],[P1]:[P15]])</f>
        <v>3</v>
      </c>
      <c r="J24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29" s="7" t="s">
        <v>12</v>
      </c>
      <c r="M2429" s="7" t="s">
        <v>13</v>
      </c>
      <c r="N2429" s="7" t="s">
        <v>15</v>
      </c>
      <c r="O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>
      <c r="A2430" s="54" t="s">
        <v>6287</v>
      </c>
      <c r="B2430" s="8" t="s">
        <v>6286</v>
      </c>
      <c r="C2430" s="2" t="str">
        <f>RIGHT(ProductInfo[[#This Row],[Drawing No]],1)</f>
        <v>0</v>
      </c>
      <c r="D2430" s="174" t="s">
        <v>6289</v>
      </c>
      <c r="E2430" s="16" t="s">
        <v>3559</v>
      </c>
      <c r="F2430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30" s="31" t="s">
        <v>6267</v>
      </c>
      <c r="H2430" s="31" t="s">
        <v>4899</v>
      </c>
      <c r="I2430" s="1">
        <f>COUNTA(ProductInfo[[#This Row],[P1]:[P15]])</f>
        <v>2</v>
      </c>
      <c r="J24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0" s="7" t="s">
        <v>12</v>
      </c>
      <c r="M2430" s="7" t="s">
        <v>13</v>
      </c>
      <c r="N2430" s="7"/>
      <c r="O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>
      <c r="A2431" s="15" t="s">
        <v>2291</v>
      </c>
      <c r="B2431" s="21" t="s">
        <v>6292</v>
      </c>
      <c r="C2431" s="2" t="str">
        <f>RIGHT(ProductInfo[[#This Row],[Drawing No]],1)</f>
        <v>0</v>
      </c>
      <c r="D2431" s="191" t="s">
        <v>6290</v>
      </c>
      <c r="E2431" s="16" t="s">
        <v>3494</v>
      </c>
      <c r="F2431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431" s="31" t="s">
        <v>6291</v>
      </c>
      <c r="H2431" s="31" t="s">
        <v>4899</v>
      </c>
      <c r="I2431" s="1">
        <f>COUNTA(ProductInfo[[#This Row],[P1]:[P15]])</f>
        <v>3</v>
      </c>
      <c r="J24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31" s="4" t="s">
        <v>12</v>
      </c>
      <c r="M2431" s="4" t="s">
        <v>15</v>
      </c>
      <c r="N2431" s="4" t="s">
        <v>13</v>
      </c>
    </row>
    <row r="2432" spans="1:26">
      <c r="A2432" s="33" t="s">
        <v>6296</v>
      </c>
      <c r="B2432" s="8" t="s">
        <v>6294</v>
      </c>
      <c r="C2432" s="2" t="str">
        <f>RIGHT(ProductInfo[[#This Row],[Drawing No]],1)</f>
        <v>0</v>
      </c>
      <c r="D2432" s="180" t="s">
        <v>6295</v>
      </c>
      <c r="E2432" s="16"/>
      <c r="F243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2" s="31"/>
      <c r="H2432" s="31"/>
      <c r="I2432" s="1">
        <f>COUNTA(ProductInfo[[#This Row],[P1]:[P15]])</f>
        <v>0</v>
      </c>
      <c r="J24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2" s="4"/>
    </row>
    <row r="2433" spans="1:13">
      <c r="A2433" s="33" t="s">
        <v>6298</v>
      </c>
      <c r="B2433" s="8" t="s">
        <v>6294</v>
      </c>
      <c r="C2433" s="2" t="str">
        <f>RIGHT(ProductInfo[[#This Row],[Drawing No]],1)</f>
        <v>0</v>
      </c>
      <c r="D2433" s="180" t="s">
        <v>6308</v>
      </c>
      <c r="E2433" s="16"/>
      <c r="F243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3" s="31"/>
      <c r="H2433" s="31"/>
      <c r="I2433" s="1">
        <f>COUNTA(ProductInfo[[#This Row],[P1]:[P15]])</f>
        <v>0</v>
      </c>
      <c r="J24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3" s="4"/>
    </row>
    <row r="2434" spans="1:13">
      <c r="A2434" s="33" t="s">
        <v>6311</v>
      </c>
      <c r="B2434" s="8" t="s">
        <v>6294</v>
      </c>
      <c r="C2434" s="2" t="str">
        <f>RIGHT(ProductInfo[[#This Row],[Drawing No]],1)</f>
        <v>0</v>
      </c>
      <c r="D2434" s="180" t="s">
        <v>6309</v>
      </c>
      <c r="E2434" s="16" t="s">
        <v>3467</v>
      </c>
      <c r="F2434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34" s="31" t="s">
        <v>6691</v>
      </c>
      <c r="H2434" s="31" t="s">
        <v>6692</v>
      </c>
      <c r="I2434" s="1">
        <f>COUNTA(ProductInfo[[#This Row],[P1]:[P15]])</f>
        <v>2</v>
      </c>
      <c r="J24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4" s="4" t="s">
        <v>12</v>
      </c>
      <c r="M2434" s="4" t="s">
        <v>13</v>
      </c>
    </row>
    <row r="2435" spans="1:13">
      <c r="A2435" s="33" t="s">
        <v>6299</v>
      </c>
      <c r="B2435" s="8" t="s">
        <v>6294</v>
      </c>
      <c r="C2435" s="2" t="str">
        <f>RIGHT(ProductInfo[[#This Row],[Drawing No]],1)</f>
        <v>0</v>
      </c>
      <c r="D2435" s="180" t="s">
        <v>6310</v>
      </c>
      <c r="E2435" s="16"/>
      <c r="F24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5" s="31"/>
      <c r="H2435" s="31"/>
      <c r="I2435" s="1">
        <f>COUNTA(ProductInfo[[#This Row],[P1]:[P15]])</f>
        <v>0</v>
      </c>
      <c r="J24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5" s="4"/>
    </row>
    <row r="2436" spans="1:13">
      <c r="A2436" s="33" t="s">
        <v>6300</v>
      </c>
      <c r="B2436" s="8" t="s">
        <v>6294</v>
      </c>
      <c r="C2436" s="2" t="str">
        <f>RIGHT(ProductInfo[[#This Row],[Drawing No]],1)</f>
        <v>0</v>
      </c>
      <c r="D2436" s="180" t="s">
        <v>6312</v>
      </c>
      <c r="E2436" s="16"/>
      <c r="F24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6" s="31"/>
      <c r="H2436" s="31"/>
      <c r="I2436" s="1">
        <f>COUNTA(ProductInfo[[#This Row],[P1]:[P15]])</f>
        <v>0</v>
      </c>
      <c r="J24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6" s="4"/>
    </row>
    <row r="2437" spans="1:13">
      <c r="A2437" s="33" t="s">
        <v>6301</v>
      </c>
      <c r="B2437" s="8" t="s">
        <v>6294</v>
      </c>
      <c r="C2437" s="2" t="str">
        <f>RIGHT(ProductInfo[[#This Row],[Drawing No]],1)</f>
        <v>0</v>
      </c>
      <c r="D2437" s="180" t="s">
        <v>6313</v>
      </c>
      <c r="E2437" t="s">
        <v>3467</v>
      </c>
      <c r="F2437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37" s="59">
        <v>92</v>
      </c>
      <c r="H2437" s="3">
        <v>90</v>
      </c>
      <c r="I2437" s="1">
        <f>COUNTA(ProductInfo[[#This Row],[P1]:[P15]])</f>
        <v>2</v>
      </c>
      <c r="J24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7" s="4" t="s">
        <v>12</v>
      </c>
      <c r="M2437" s="4" t="s">
        <v>13</v>
      </c>
    </row>
    <row r="2438" spans="1:13">
      <c r="A2438" s="33" t="s">
        <v>6302</v>
      </c>
      <c r="B2438" s="8" t="s">
        <v>6294</v>
      </c>
      <c r="C2438" s="2" t="str">
        <f>RIGHT(ProductInfo[[#This Row],[Drawing No]],1)</f>
        <v>0</v>
      </c>
      <c r="D2438" s="180" t="s">
        <v>6314</v>
      </c>
      <c r="E2438" s="16"/>
      <c r="F24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8" s="31"/>
      <c r="H2438" s="31"/>
      <c r="I2438" s="1">
        <f>COUNTA(ProductInfo[[#This Row],[P1]:[P15]])</f>
        <v>0</v>
      </c>
      <c r="J24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8" s="4"/>
    </row>
    <row r="2439" spans="1:13">
      <c r="A2439" s="33" t="s">
        <v>6303</v>
      </c>
      <c r="B2439" s="8" t="s">
        <v>6294</v>
      </c>
      <c r="C2439" s="2" t="str">
        <f>RIGHT(ProductInfo[[#This Row],[Drawing No]],1)</f>
        <v>0</v>
      </c>
      <c r="D2439" s="180" t="s">
        <v>6315</v>
      </c>
      <c r="E2439" s="16"/>
      <c r="F243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39" s="31"/>
      <c r="H2439" s="31"/>
      <c r="I2439" s="1">
        <f>COUNTA(ProductInfo[[#This Row],[P1]:[P15]])</f>
        <v>0</v>
      </c>
      <c r="J24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39" s="4"/>
    </row>
    <row r="2440" spans="1:13">
      <c r="A2440" s="33" t="s">
        <v>6304</v>
      </c>
      <c r="B2440" s="8" t="s">
        <v>6294</v>
      </c>
      <c r="C2440" s="2" t="str">
        <f>RIGHT(ProductInfo[[#This Row],[Drawing No]],1)</f>
        <v>0</v>
      </c>
      <c r="D2440" s="180" t="s">
        <v>6316</v>
      </c>
      <c r="E2440" s="16"/>
      <c r="F24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40" s="31"/>
      <c r="H2440" s="31"/>
      <c r="I2440" s="1">
        <f>COUNTA(ProductInfo[[#This Row],[P1]:[P15]])</f>
        <v>0</v>
      </c>
      <c r="J24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0" s="4"/>
    </row>
    <row r="2441" spans="1:13">
      <c r="A2441" s="33" t="s">
        <v>6297</v>
      </c>
      <c r="B2441" s="8" t="s">
        <v>6294</v>
      </c>
      <c r="C2441" s="2" t="str">
        <f>RIGHT(ProductInfo[[#This Row],[Drawing No]],1)</f>
        <v>0</v>
      </c>
      <c r="D2441" s="180" t="s">
        <v>6307</v>
      </c>
      <c r="E2441" s="16" t="s">
        <v>3467</v>
      </c>
      <c r="F2441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41" s="31" t="s">
        <v>6563</v>
      </c>
      <c r="H2441" s="31" t="s">
        <v>6692</v>
      </c>
      <c r="I2441" s="1">
        <f>COUNTA(ProductInfo[[#This Row],[P1]:[P15]])</f>
        <v>2</v>
      </c>
      <c r="J24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1" s="7" t="s">
        <v>12</v>
      </c>
      <c r="M2441" s="7" t="s">
        <v>13</v>
      </c>
    </row>
    <row r="2442" spans="1:13">
      <c r="A2442" s="33" t="s">
        <v>6305</v>
      </c>
      <c r="B2442" s="8" t="s">
        <v>6294</v>
      </c>
      <c r="C2442" s="2" t="str">
        <f>RIGHT(ProductInfo[[#This Row],[Drawing No]],1)</f>
        <v>0</v>
      </c>
      <c r="D2442" s="180" t="s">
        <v>6317</v>
      </c>
      <c r="E2442" s="16"/>
      <c r="F24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42" s="31"/>
      <c r="H2442" s="31"/>
      <c r="I2442" s="1">
        <f>COUNTA(ProductInfo[[#This Row],[P1]:[P15]])</f>
        <v>0</v>
      </c>
      <c r="J24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2" s="4"/>
    </row>
    <row r="2443" spans="1:13">
      <c r="A2443" s="33" t="s">
        <v>6306</v>
      </c>
      <c r="B2443" s="21" t="s">
        <v>6294</v>
      </c>
      <c r="C2443" s="2" t="str">
        <f>RIGHT(ProductInfo[[#This Row],[Drawing No]],1)</f>
        <v>0</v>
      </c>
      <c r="D2443" s="180" t="s">
        <v>3127</v>
      </c>
      <c r="E2443" s="16"/>
      <c r="F244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43" s="31"/>
      <c r="H2443" s="31"/>
      <c r="I2443" s="1">
        <f>COUNTA(ProductInfo[[#This Row],[P1]:[P15]])</f>
        <v>0</v>
      </c>
      <c r="J24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3" s="4"/>
    </row>
    <row r="2444" spans="1:13">
      <c r="A2444" s="54" t="s">
        <v>6319</v>
      </c>
      <c r="B2444" s="72" t="s">
        <v>6318</v>
      </c>
      <c r="C2444" s="2" t="str">
        <f>RIGHT(ProductInfo[[#This Row],[Drawing No]],1)</f>
        <v>0</v>
      </c>
      <c r="D2444" s="176" t="s">
        <v>5425</v>
      </c>
      <c r="E2444" s="16" t="s">
        <v>3559</v>
      </c>
      <c r="F244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44" s="59">
        <v>62</v>
      </c>
      <c r="H2444" s="59">
        <v>100</v>
      </c>
      <c r="I2444" s="1">
        <f>COUNTA(ProductInfo[[#This Row],[P1]:[P15]])</f>
        <v>2</v>
      </c>
      <c r="J24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4" s="7" t="s">
        <v>12</v>
      </c>
      <c r="M2444" s="7" t="s">
        <v>13</v>
      </c>
    </row>
    <row r="2445" spans="1:13">
      <c r="A2445" s="15" t="s">
        <v>6320</v>
      </c>
      <c r="B2445" s="72" t="s">
        <v>6318</v>
      </c>
      <c r="C2445" s="2" t="str">
        <f>RIGHT(ProductInfo[[#This Row],[Drawing No]],1)</f>
        <v>0</v>
      </c>
      <c r="D2445" s="176" t="s">
        <v>5426</v>
      </c>
      <c r="E2445" s="16" t="s">
        <v>3559</v>
      </c>
      <c r="F244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445" s="59">
        <v>72</v>
      </c>
      <c r="H2445" s="59">
        <v>100</v>
      </c>
      <c r="I2445" s="1">
        <f>COUNTA(ProductInfo[[#This Row],[P1]:[P15]])</f>
        <v>2</v>
      </c>
      <c r="J24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5" s="7" t="s">
        <v>12</v>
      </c>
      <c r="M2445" s="7" t="s">
        <v>13</v>
      </c>
    </row>
    <row r="2446" spans="1:13">
      <c r="A2446" s="33" t="s">
        <v>6323</v>
      </c>
      <c r="B2446" s="8" t="s">
        <v>6321</v>
      </c>
      <c r="C2446" s="2" t="str">
        <f>RIGHT(ProductInfo[[#This Row],[Drawing No]],1)</f>
        <v>0</v>
      </c>
      <c r="D2446" s="176" t="s">
        <v>3161</v>
      </c>
      <c r="E2446" s="16" t="s">
        <v>3467</v>
      </c>
      <c r="F2446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46" s="59">
        <v>67</v>
      </c>
      <c r="H2446" s="3">
        <v>90</v>
      </c>
      <c r="I2446" s="1">
        <f>COUNTA(ProductInfo[[#This Row],[P1]:[P15]])</f>
        <v>1</v>
      </c>
      <c r="J24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6" s="7" t="s">
        <v>12</v>
      </c>
    </row>
    <row r="2447" spans="1:13">
      <c r="A2447" s="33" t="s">
        <v>6322</v>
      </c>
      <c r="B2447" s="8" t="s">
        <v>6321</v>
      </c>
      <c r="C2447" s="2" t="str">
        <f>RIGHT(ProductInfo[[#This Row],[Drawing No]],1)</f>
        <v>0</v>
      </c>
      <c r="D2447" s="176" t="s">
        <v>3278</v>
      </c>
      <c r="E2447" s="16" t="s">
        <v>3467</v>
      </c>
      <c r="F2447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47" s="59">
        <v>77</v>
      </c>
      <c r="H2447" s="3">
        <v>90</v>
      </c>
      <c r="I2447" s="1">
        <f>COUNTA(ProductInfo[[#This Row],[P1]:[P15]])</f>
        <v>1</v>
      </c>
      <c r="J24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7" s="7" t="s">
        <v>12</v>
      </c>
    </row>
    <row r="2448" spans="1:13">
      <c r="A2448" s="33" t="s">
        <v>6324</v>
      </c>
      <c r="B2448" s="8" t="s">
        <v>6321</v>
      </c>
      <c r="C2448" s="2" t="str">
        <f>RIGHT(ProductInfo[[#This Row],[Drawing No]],1)</f>
        <v>0</v>
      </c>
      <c r="D2448" s="180" t="s">
        <v>4742</v>
      </c>
      <c r="E2448" s="16" t="s">
        <v>3467</v>
      </c>
      <c r="F2448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48" s="59">
        <v>92</v>
      </c>
      <c r="H2448" s="3">
        <v>90</v>
      </c>
      <c r="I2448" s="1">
        <f>COUNTA(ProductInfo[[#This Row],[P1]:[P15]])</f>
        <v>1</v>
      </c>
      <c r="J24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8" s="7" t="s">
        <v>12</v>
      </c>
    </row>
    <row r="2449" spans="1:18">
      <c r="A2449" s="33" t="s">
        <v>6325</v>
      </c>
      <c r="B2449" s="8" t="s">
        <v>6321</v>
      </c>
      <c r="C2449" s="2" t="str">
        <f>RIGHT(ProductInfo[[#This Row],[Drawing No]],1)</f>
        <v>0</v>
      </c>
      <c r="D2449" s="176" t="s">
        <v>4685</v>
      </c>
      <c r="E2449" s="16" t="s">
        <v>3467</v>
      </c>
      <c r="F2449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49" s="59">
        <v>107</v>
      </c>
      <c r="H2449" s="3">
        <v>90</v>
      </c>
      <c r="I2449" s="1">
        <f>COUNTA(ProductInfo[[#This Row],[P1]:[P15]])</f>
        <v>1</v>
      </c>
      <c r="J24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49" s="7" t="s">
        <v>12</v>
      </c>
    </row>
    <row r="2450" spans="1:18">
      <c r="A2450" s="33" t="s">
        <v>6326</v>
      </c>
      <c r="B2450" s="21" t="s">
        <v>6321</v>
      </c>
      <c r="C2450" s="2" t="str">
        <f>RIGHT(ProductInfo[[#This Row],[Drawing No]],1)</f>
        <v>0</v>
      </c>
      <c r="D2450" s="176" t="s">
        <v>3162</v>
      </c>
      <c r="E2450" s="16" t="s">
        <v>3467</v>
      </c>
      <c r="F2450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450" s="59">
        <v>122</v>
      </c>
      <c r="H2450" s="3">
        <v>90</v>
      </c>
      <c r="I2450" s="1">
        <f>COUNTA(ProductInfo[[#This Row],[P1]:[P15]])</f>
        <v>1</v>
      </c>
      <c r="J24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0" s="7" t="s">
        <v>12</v>
      </c>
    </row>
    <row r="2451" spans="1:18">
      <c r="A2451" s="15" t="s">
        <v>6328</v>
      </c>
      <c r="B2451" s="21" t="s">
        <v>6327</v>
      </c>
      <c r="C2451" s="2" t="str">
        <f>RIGHT(ProductInfo[[#This Row],[Drawing No]],1)</f>
        <v>0</v>
      </c>
      <c r="D2451" s="191" t="s">
        <v>3163</v>
      </c>
      <c r="E2451" s="16" t="s">
        <v>3492</v>
      </c>
      <c r="F245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451" s="31">
        <v>112</v>
      </c>
      <c r="H2451" s="31">
        <v>70</v>
      </c>
      <c r="I2451" s="1">
        <f>COUNTA(ProductInfo[[#This Row],[P1]:[P15]])</f>
        <v>3</v>
      </c>
      <c r="J24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1" s="7" t="s">
        <v>12</v>
      </c>
      <c r="M2451" s="7" t="s">
        <v>13</v>
      </c>
      <c r="N2451" s="7" t="s">
        <v>14</v>
      </c>
      <c r="O2451" s="7"/>
      <c r="Q2451" s="7"/>
      <c r="R2451" s="7"/>
    </row>
    <row r="2452" spans="1:18">
      <c r="A2452" s="33" t="s">
        <v>6329</v>
      </c>
      <c r="B2452" s="8" t="s">
        <v>6333</v>
      </c>
      <c r="C2452" s="2" t="str">
        <f>RIGHT(ProductInfo[[#This Row],[Drawing No]],1)</f>
        <v>0</v>
      </c>
      <c r="D2452" s="176" t="s">
        <v>3164</v>
      </c>
      <c r="E2452" s="16" t="s">
        <v>3506</v>
      </c>
      <c r="F2452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2452" s="59">
        <v>77</v>
      </c>
      <c r="H2452" s="59">
        <v>100</v>
      </c>
      <c r="I2452" s="1">
        <f>COUNTA(ProductInfo[[#This Row],[P1]:[P15]])</f>
        <v>1</v>
      </c>
      <c r="J24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2" s="7" t="s">
        <v>12</v>
      </c>
    </row>
    <row r="2453" spans="1:18">
      <c r="A2453" s="33" t="s">
        <v>6330</v>
      </c>
      <c r="B2453" s="8" t="s">
        <v>6333</v>
      </c>
      <c r="C2453" s="2" t="str">
        <f>RIGHT(ProductInfo[[#This Row],[Drawing No]],1)</f>
        <v>0</v>
      </c>
      <c r="D2453" s="176" t="s">
        <v>3165</v>
      </c>
      <c r="E2453" s="16" t="s">
        <v>3506</v>
      </c>
      <c r="F2453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2453" s="59">
        <v>87</v>
      </c>
      <c r="H2453" s="59">
        <v>100</v>
      </c>
      <c r="I2453" s="1">
        <f>COUNTA(ProductInfo[[#This Row],[P1]:[P15]])</f>
        <v>1</v>
      </c>
      <c r="J24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3" s="7" t="s">
        <v>12</v>
      </c>
    </row>
    <row r="2454" spans="1:18">
      <c r="A2454" s="33" t="s">
        <v>6331</v>
      </c>
      <c r="B2454" s="8" t="s">
        <v>6333</v>
      </c>
      <c r="C2454" s="2" t="str">
        <f>RIGHT(ProductInfo[[#This Row],[Drawing No]],1)</f>
        <v>0</v>
      </c>
      <c r="D2454" s="176" t="s">
        <v>3279</v>
      </c>
      <c r="E2454" s="16" t="s">
        <v>3506</v>
      </c>
      <c r="F2454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2454" s="59">
        <v>102</v>
      </c>
      <c r="H2454" s="59">
        <v>100</v>
      </c>
      <c r="I2454" s="1">
        <f>COUNTA(ProductInfo[[#This Row],[P1]:[P15]])</f>
        <v>1</v>
      </c>
      <c r="J24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4" s="7" t="s">
        <v>12</v>
      </c>
    </row>
    <row r="2455" spans="1:18">
      <c r="A2455" s="33" t="s">
        <v>6332</v>
      </c>
      <c r="B2455" s="21" t="s">
        <v>6333</v>
      </c>
      <c r="C2455" s="2" t="str">
        <f>RIGHT(ProductInfo[[#This Row],[Drawing No]],1)</f>
        <v>0</v>
      </c>
      <c r="D2455" s="176" t="s">
        <v>3166</v>
      </c>
      <c r="E2455" s="16" t="s">
        <v>3506</v>
      </c>
      <c r="F2455" s="23" t="str">
        <f>IFERROR(INDEX(MaterialCode[รายละเอียด],MATCH(ProductInfo[[#This Row],[Material Code]],MaterialCode[Material Code],0)),"ไม่พบวัตถุดิบ")</f>
        <v>ท่ออลูมีเนี่ยมโต 49.5 มม.xรู43มม.</v>
      </c>
      <c r="G2455" s="59">
        <v>122</v>
      </c>
      <c r="H2455" s="59">
        <v>100</v>
      </c>
      <c r="I2455" s="1">
        <f>COUNTA(ProductInfo[[#This Row],[P1]:[P15]])</f>
        <v>1</v>
      </c>
      <c r="J24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5" s="7" t="s">
        <v>12</v>
      </c>
    </row>
    <row r="2456" spans="1:18">
      <c r="A2456" s="33" t="s">
        <v>6336</v>
      </c>
      <c r="B2456" s="82" t="s">
        <v>6335</v>
      </c>
      <c r="C2456" s="2" t="str">
        <f>RIGHT(ProductInfo[[#This Row],[Drawing No]],1)</f>
        <v>0</v>
      </c>
      <c r="D2456" s="205" t="s">
        <v>6334</v>
      </c>
      <c r="E2456" s="16" t="s">
        <v>3441</v>
      </c>
      <c r="F2456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56" s="31" t="s">
        <v>6256</v>
      </c>
      <c r="H2456" s="31"/>
      <c r="I2456" s="1">
        <f>COUNTA(ProductInfo[[#This Row],[P1]:[P15]])</f>
        <v>4</v>
      </c>
      <c r="J24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56" s="7" t="s">
        <v>12</v>
      </c>
      <c r="M2456" s="4" t="s">
        <v>13</v>
      </c>
      <c r="N2456" s="4" t="s">
        <v>15</v>
      </c>
      <c r="O2456" s="4" t="s">
        <v>14</v>
      </c>
    </row>
    <row r="2457" spans="1:18">
      <c r="A2457" s="33" t="s">
        <v>6338</v>
      </c>
      <c r="B2457" s="82" t="s">
        <v>6337</v>
      </c>
      <c r="C2457" s="2" t="str">
        <f>RIGHT(ProductInfo[[#This Row],[Drawing No]],1)</f>
        <v>0</v>
      </c>
      <c r="D2457" s="191" t="s">
        <v>6339</v>
      </c>
      <c r="E2457" s="16" t="s">
        <v>5150</v>
      </c>
      <c r="F2457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457" s="31" t="s">
        <v>6340</v>
      </c>
      <c r="H2457" s="31" t="s">
        <v>4899</v>
      </c>
      <c r="I2457" s="1">
        <f>COUNTA(ProductInfo[[#This Row],[P1]:[P15]])</f>
        <v>3</v>
      </c>
      <c r="J24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57" s="4" t="s">
        <v>12</v>
      </c>
      <c r="M2457" s="4" t="s">
        <v>13</v>
      </c>
      <c r="N2457" s="4" t="s">
        <v>15</v>
      </c>
    </row>
    <row r="2458" spans="1:18">
      <c r="A2458" s="54" t="s">
        <v>6345</v>
      </c>
      <c r="B2458" s="8" t="s">
        <v>6344</v>
      </c>
      <c r="C2458" s="2" t="str">
        <f>RIGHT(ProductInfo[[#This Row],[Drawing No]],1)</f>
        <v>0</v>
      </c>
      <c r="D2458" s="205" t="s">
        <v>6346</v>
      </c>
      <c r="E2458" s="16" t="s">
        <v>4561</v>
      </c>
      <c r="F2458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458" s="31" t="s">
        <v>6395</v>
      </c>
      <c r="H2458" s="31" t="s">
        <v>6273</v>
      </c>
      <c r="I2458" s="1">
        <f>COUNTA(ProductInfo[[#This Row],[P1]:[P15]])</f>
        <v>4</v>
      </c>
      <c r="J24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58" s="4" t="s">
        <v>12</v>
      </c>
      <c r="M2458" s="4" t="s">
        <v>13</v>
      </c>
      <c r="N2458" s="4" t="s">
        <v>15</v>
      </c>
      <c r="O2458" s="4" t="s">
        <v>16</v>
      </c>
    </row>
    <row r="2459" spans="1:18">
      <c r="A2459" s="15" t="s">
        <v>6349</v>
      </c>
      <c r="B2459" s="21" t="s">
        <v>6348</v>
      </c>
      <c r="C2459" s="2" t="str">
        <f>RIGHT(ProductInfo[[#This Row],[Drawing No]],1)</f>
        <v>0</v>
      </c>
      <c r="D2459" s="191" t="s">
        <v>6350</v>
      </c>
      <c r="E2459" s="16"/>
      <c r="F245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59" s="31"/>
      <c r="H2459" s="31"/>
      <c r="I2459" s="1">
        <f>COUNTA(ProductInfo[[#This Row],[P1]:[P15]])</f>
        <v>0</v>
      </c>
      <c r="J24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59" s="4"/>
    </row>
    <row r="2460" spans="1:18">
      <c r="A2460" s="33" t="s">
        <v>6370</v>
      </c>
      <c r="B2460" s="82" t="s">
        <v>6369</v>
      </c>
      <c r="C2460" s="2" t="str">
        <f>RIGHT(ProductInfo[[#This Row],[Drawing No]],1)</f>
        <v>0</v>
      </c>
      <c r="D2460" s="191" t="s">
        <v>6371</v>
      </c>
      <c r="E2460" s="16" t="s">
        <v>3516</v>
      </c>
      <c r="F2460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 *รู 46 มม.</v>
      </c>
      <c r="G2460" s="31" t="s">
        <v>6394</v>
      </c>
      <c r="H2460" s="31" t="s">
        <v>5999</v>
      </c>
      <c r="I2460" s="1">
        <f>COUNTA(ProductInfo[[#This Row],[P1]:[P15]])</f>
        <v>0</v>
      </c>
      <c r="J24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60" s="4"/>
    </row>
    <row r="2461" spans="1:18">
      <c r="A2461" s="33" t="s">
        <v>6373</v>
      </c>
      <c r="B2461" s="82" t="s">
        <v>6372</v>
      </c>
      <c r="C2461" s="2" t="str">
        <f>RIGHT(ProductInfo[[#This Row],[Drawing No]],1)</f>
        <v>0</v>
      </c>
      <c r="D2461" s="191" t="s">
        <v>6374</v>
      </c>
      <c r="E2461" s="16" t="s">
        <v>5150</v>
      </c>
      <c r="F2461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461" s="31" t="s">
        <v>6662</v>
      </c>
      <c r="H2461" s="31" t="s">
        <v>5999</v>
      </c>
      <c r="I2461" s="1">
        <f>COUNTA(ProductInfo[[#This Row],[P1]:[P15]])</f>
        <v>5</v>
      </c>
      <c r="J24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61" s="4" t="s">
        <v>12</v>
      </c>
      <c r="M2461" s="4" t="s">
        <v>13</v>
      </c>
      <c r="N2461" s="4" t="s">
        <v>15</v>
      </c>
      <c r="O2461" s="4" t="s">
        <v>16</v>
      </c>
      <c r="P2461" s="4" t="s">
        <v>14</v>
      </c>
    </row>
    <row r="2462" spans="1:18">
      <c r="A2462" s="33" t="s">
        <v>6376</v>
      </c>
      <c r="B2462" s="82" t="s">
        <v>6375</v>
      </c>
      <c r="C2462" s="2" t="str">
        <f>RIGHT(ProductInfo[[#This Row],[Drawing No]],1)</f>
        <v>0</v>
      </c>
      <c r="D2462" s="205" t="s">
        <v>6377</v>
      </c>
      <c r="E2462" s="16"/>
      <c r="F246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62" s="31"/>
      <c r="H2462" s="31"/>
      <c r="I2462" s="1">
        <f>COUNTA(ProductInfo[[#This Row],[P1]:[P15]])</f>
        <v>0</v>
      </c>
      <c r="J24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62" s="4"/>
    </row>
    <row r="2463" spans="1:18">
      <c r="A2463" s="33" t="s">
        <v>6379</v>
      </c>
      <c r="B2463" s="82" t="s">
        <v>6378</v>
      </c>
      <c r="C2463" s="2" t="str">
        <f>RIGHT(ProductInfo[[#This Row],[Drawing No]],1)</f>
        <v>0</v>
      </c>
      <c r="D2463" s="191" t="s">
        <v>6380</v>
      </c>
      <c r="E2463" s="16" t="s">
        <v>6529</v>
      </c>
      <c r="F2463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63" s="31" t="s">
        <v>5664</v>
      </c>
      <c r="H2463" s="31" t="s">
        <v>5999</v>
      </c>
      <c r="I2463" s="1">
        <f>COUNTA(ProductInfo[[#This Row],[P1]:[P15]])</f>
        <v>4</v>
      </c>
      <c r="J24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63" s="4" t="s">
        <v>12</v>
      </c>
      <c r="M2463" s="4" t="s">
        <v>13</v>
      </c>
      <c r="N2463" s="4" t="s">
        <v>15</v>
      </c>
      <c r="O2463" s="4" t="s">
        <v>16</v>
      </c>
    </row>
    <row r="2464" spans="1:18" ht="19.8">
      <c r="A2464" s="33" t="s">
        <v>6381</v>
      </c>
      <c r="B2464" s="82" t="s">
        <v>6383</v>
      </c>
      <c r="C2464" s="2" t="str">
        <f>RIGHT(ProductInfo[[#This Row],[Drawing No]],1)</f>
        <v>0</v>
      </c>
      <c r="D2464" s="191" t="s">
        <v>6382</v>
      </c>
      <c r="E2464" s="121" t="s">
        <v>6530</v>
      </c>
      <c r="F246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464" s="31" t="s">
        <v>5664</v>
      </c>
      <c r="H2464" s="31" t="s">
        <v>5999</v>
      </c>
      <c r="I2464" s="1">
        <f>COUNTA(ProductInfo[[#This Row],[P1]:[P15]])</f>
        <v>4</v>
      </c>
      <c r="J24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64" s="7" t="s">
        <v>12</v>
      </c>
      <c r="M2464" s="7" t="s">
        <v>13</v>
      </c>
      <c r="N2464" s="4" t="s">
        <v>15</v>
      </c>
      <c r="O2464" s="4" t="s">
        <v>16</v>
      </c>
    </row>
    <row r="2465" spans="1:26">
      <c r="A2465" s="33" t="s">
        <v>6385</v>
      </c>
      <c r="B2465" s="75" t="s">
        <v>6354</v>
      </c>
      <c r="C2465" s="2" t="str">
        <f>RIGHT(ProductInfo[[#This Row],[Drawing No]],1)</f>
        <v>1</v>
      </c>
      <c r="D2465" s="191" t="s">
        <v>6360</v>
      </c>
      <c r="E2465" s="18" t="s">
        <v>3469</v>
      </c>
      <c r="F2465" s="23" t="str">
        <f>IFERROR(INDEX(MaterialCode[รายละเอียด],MATCH(ProductInfo[[#This Row],[Material Code]],MaterialCode[Material Code],0)),"ไม่พบวัตถุดิบ")</f>
        <v>ท่ออลูมีเนียมโต 52 มม.*รูใน 44.8 มม. **NEW 1/8/61**</v>
      </c>
      <c r="G2465" s="31" t="s">
        <v>6390</v>
      </c>
      <c r="H2465" s="31" t="s">
        <v>4897</v>
      </c>
      <c r="I2465" s="1">
        <f>COUNTA(ProductInfo[[#This Row],[P1]:[P15]])</f>
        <v>4</v>
      </c>
      <c r="J24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4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65" s="4" t="s">
        <v>12</v>
      </c>
      <c r="M2465" s="4" t="s">
        <v>13</v>
      </c>
      <c r="N2465" s="4" t="s">
        <v>14</v>
      </c>
      <c r="O2465" s="4" t="s">
        <v>3105</v>
      </c>
    </row>
    <row r="2466" spans="1:26">
      <c r="A2466" s="33" t="s">
        <v>6387</v>
      </c>
      <c r="B2466" s="82" t="s">
        <v>6386</v>
      </c>
      <c r="C2466" s="2" t="str">
        <f>RIGHT(ProductInfo[[#This Row],[Drawing No]],1)</f>
        <v>0</v>
      </c>
      <c r="D2466" s="205" t="s">
        <v>6388</v>
      </c>
      <c r="E2466" s="16" t="s">
        <v>7032</v>
      </c>
      <c r="F2466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466" s="31" t="s">
        <v>6389</v>
      </c>
      <c r="H2466" s="31" t="s">
        <v>5999</v>
      </c>
      <c r="I2466" s="1">
        <f>COUNTA(ProductInfo[[#This Row],[P1]:[P15]])</f>
        <v>3</v>
      </c>
      <c r="J24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66" s="4" t="s">
        <v>12</v>
      </c>
      <c r="M2466" s="4" t="s">
        <v>13</v>
      </c>
      <c r="N2466" s="4" t="s">
        <v>15</v>
      </c>
    </row>
    <row r="2467" spans="1:26" s="1" customFormat="1">
      <c r="A2467" s="8" t="s">
        <v>6398</v>
      </c>
      <c r="B2467" s="8" t="s">
        <v>6397</v>
      </c>
      <c r="C2467" s="2" t="str">
        <f>RIGHT(ProductInfo[[#This Row],[Drawing No]],1)</f>
        <v>0</v>
      </c>
      <c r="D2467" s="176" t="s">
        <v>4494</v>
      </c>
      <c r="E2467" s="16" t="s">
        <v>4522</v>
      </c>
      <c r="F2467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467" s="2">
        <v>101.5</v>
      </c>
      <c r="H2467" s="2">
        <v>40</v>
      </c>
      <c r="I2467" s="1">
        <f>COUNTA(ProductInfo[[#This Row],[P1]:[P15]])</f>
        <v>7</v>
      </c>
      <c r="J24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467" s="7" t="s">
        <v>15</v>
      </c>
      <c r="M2467" s="7" t="s">
        <v>16</v>
      </c>
      <c r="N2467" s="4" t="s">
        <v>12</v>
      </c>
      <c r="O2467" s="7" t="s">
        <v>13</v>
      </c>
      <c r="P2467" s="7"/>
      <c r="Q2467" s="7" t="s">
        <v>25</v>
      </c>
      <c r="R2467" s="4" t="s">
        <v>4339</v>
      </c>
      <c r="S2467" s="4" t="s">
        <v>4661</v>
      </c>
      <c r="T2467" s="4"/>
      <c r="U2467" s="4"/>
      <c r="V2467" s="4"/>
      <c r="W2467" s="4"/>
      <c r="X2467" s="4"/>
      <c r="Y2467" s="4"/>
      <c r="Z2467" s="4"/>
    </row>
    <row r="2468" spans="1:26">
      <c r="A2468" s="8" t="s">
        <v>6399</v>
      </c>
      <c r="B2468" s="8" t="s">
        <v>6400</v>
      </c>
      <c r="C2468" s="2" t="str">
        <f>RIGHT(ProductInfo[[#This Row],[Drawing No]],1)</f>
        <v>0</v>
      </c>
      <c r="D2468" s="176" t="s">
        <v>5480</v>
      </c>
      <c r="E2468" s="16" t="s">
        <v>5627</v>
      </c>
      <c r="F2468" s="23" t="str">
        <f>IFERROR(INDEX(MaterialCode[รายละเอียด],MATCH(ProductInfo[[#This Row],[Material Code]],MaterialCode[Material Code],0)),"ไม่พบวัตถุดิบ")</f>
        <v>MATT FORDGE G M35 NEW 2022</v>
      </c>
      <c r="G2468" s="59">
        <v>1</v>
      </c>
      <c r="H2468" s="59">
        <v>50</v>
      </c>
      <c r="I2468" s="1">
        <f>COUNTA(ProductInfo[[#This Row],[P1]:[P15]])</f>
        <v>5</v>
      </c>
      <c r="J24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68" s="7" t="s">
        <v>12</v>
      </c>
      <c r="M2468" s="7" t="s">
        <v>13</v>
      </c>
      <c r="N2468" s="7" t="s">
        <v>14</v>
      </c>
      <c r="O2468" s="4" t="s">
        <v>15</v>
      </c>
      <c r="P2468" s="4" t="s">
        <v>16</v>
      </c>
      <c r="Q2468" s="7"/>
    </row>
    <row r="2469" spans="1:26" ht="19.8">
      <c r="A2469" s="33" t="s">
        <v>6403</v>
      </c>
      <c r="B2469" s="82" t="s">
        <v>6402</v>
      </c>
      <c r="C2469" s="2" t="str">
        <f>RIGHT(ProductInfo[[#This Row],[Drawing No]],1)</f>
        <v>0</v>
      </c>
      <c r="D2469" s="205" t="s">
        <v>6404</v>
      </c>
      <c r="E2469" s="121" t="s">
        <v>6530</v>
      </c>
      <c r="F2469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469" s="31" t="s">
        <v>6223</v>
      </c>
      <c r="H2469" s="31" t="s">
        <v>5999</v>
      </c>
      <c r="I2469" s="1">
        <f>COUNTA(ProductInfo[[#This Row],[P1]:[P15]])</f>
        <v>4</v>
      </c>
      <c r="J24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69" s="7" t="s">
        <v>12</v>
      </c>
      <c r="M2469" s="7" t="s">
        <v>13</v>
      </c>
      <c r="N2469" s="7" t="s">
        <v>15</v>
      </c>
      <c r="O2469" s="4" t="s">
        <v>16</v>
      </c>
      <c r="Q2469" s="7"/>
    </row>
    <row r="2470" spans="1:26">
      <c r="A2470" s="8" t="s">
        <v>833</v>
      </c>
      <c r="B2470" s="8" t="s">
        <v>6341</v>
      </c>
      <c r="C2470" s="1" t="str">
        <f>RIGHT(ProductInfo[[#This Row],[Drawing No]],1)</f>
        <v>0</v>
      </c>
      <c r="D2470" s="181" t="s">
        <v>2426</v>
      </c>
      <c r="E2470" s="19" t="s">
        <v>7030</v>
      </c>
      <c r="F2470" s="27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470" s="60">
        <v>103</v>
      </c>
      <c r="H2470" s="59">
        <v>100</v>
      </c>
      <c r="I2470" s="1">
        <f>COUNTA(ProductInfo[[#This Row],[P1]:[P15]])</f>
        <v>4</v>
      </c>
      <c r="J24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70" s="7" t="s">
        <v>12</v>
      </c>
      <c r="M2470" s="7" t="s">
        <v>13</v>
      </c>
      <c r="N2470" s="7" t="s">
        <v>15</v>
      </c>
      <c r="O2470" s="7" t="s">
        <v>16</v>
      </c>
      <c r="Q2470" s="7"/>
      <c r="S2470" s="7"/>
    </row>
    <row r="2471" spans="1:26">
      <c r="A2471" s="54" t="s">
        <v>6409</v>
      </c>
      <c r="B2471" s="8" t="s">
        <v>6408</v>
      </c>
      <c r="C2471" s="2" t="str">
        <f>RIGHT(ProductInfo[[#This Row],[Drawing No]],1)</f>
        <v>0</v>
      </c>
      <c r="D2471" s="174" t="s">
        <v>6410</v>
      </c>
      <c r="E2471" s="16" t="s">
        <v>6529</v>
      </c>
      <c r="F247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71" s="31" t="s">
        <v>6496</v>
      </c>
      <c r="H2471" s="31" t="s">
        <v>4899</v>
      </c>
      <c r="I2471" s="1">
        <f>COUNTA(ProductInfo[[#This Row],[P1]:[P15]])</f>
        <v>3</v>
      </c>
      <c r="J24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71" s="7" t="s">
        <v>12</v>
      </c>
      <c r="M2471" s="7" t="s">
        <v>15</v>
      </c>
      <c r="N2471" s="7" t="s">
        <v>13</v>
      </c>
      <c r="O2471" s="7"/>
      <c r="Q2471" s="7"/>
      <c r="S2471" s="7"/>
    </row>
    <row r="2472" spans="1:26">
      <c r="A2472" s="54" t="s">
        <v>6412</v>
      </c>
      <c r="B2472" s="8" t="s">
        <v>6411</v>
      </c>
      <c r="C2472" s="2" t="str">
        <f>RIGHT(ProductInfo[[#This Row],[Drawing No]],1)</f>
        <v>0</v>
      </c>
      <c r="D2472" s="174" t="s">
        <v>6413</v>
      </c>
      <c r="E2472" s="16"/>
      <c r="F247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72" s="31"/>
      <c r="H2472" s="31"/>
      <c r="I2472" s="1">
        <f>COUNTA(ProductInfo[[#This Row],[P1]:[P15]])</f>
        <v>0</v>
      </c>
      <c r="J24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72" s="7"/>
      <c r="M2472" s="7"/>
      <c r="N2472" s="7"/>
      <c r="O2472" s="7"/>
      <c r="Q2472" s="7"/>
      <c r="S2472" s="7"/>
    </row>
    <row r="2473" spans="1:26">
      <c r="A2473" s="33" t="s">
        <v>6415</v>
      </c>
      <c r="B2473" s="82" t="s">
        <v>6414</v>
      </c>
      <c r="C2473" s="2" t="str">
        <f>RIGHT(ProductInfo[[#This Row],[Drawing No]],1)</f>
        <v>0</v>
      </c>
      <c r="D2473" s="191" t="s">
        <v>6429</v>
      </c>
      <c r="E2473" s="18" t="s">
        <v>7030</v>
      </c>
      <c r="F2473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473" s="3">
        <v>78.5</v>
      </c>
      <c r="H2473" s="59">
        <v>100</v>
      </c>
      <c r="I2473" s="1">
        <f>COUNTA(ProductInfo[[#This Row],[P1]:[P15]])</f>
        <v>4</v>
      </c>
      <c r="J24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73" s="7" t="s">
        <v>12</v>
      </c>
      <c r="M2473" s="7" t="s">
        <v>13</v>
      </c>
      <c r="N2473" s="7" t="s">
        <v>15</v>
      </c>
      <c r="O2473" s="7" t="s">
        <v>16</v>
      </c>
    </row>
    <row r="2474" spans="1:26">
      <c r="A2474" s="54" t="s">
        <v>6420</v>
      </c>
      <c r="B2474" s="8" t="s">
        <v>6419</v>
      </c>
      <c r="C2474" s="2" t="str">
        <f>RIGHT(ProductInfo[[#This Row],[Drawing No]],1)</f>
        <v>1</v>
      </c>
      <c r="D2474" s="205" t="s">
        <v>6730</v>
      </c>
      <c r="E2474" s="16" t="s">
        <v>6728</v>
      </c>
      <c r="F2474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474" s="59">
        <v>56</v>
      </c>
      <c r="H2474" s="59">
        <v>100</v>
      </c>
      <c r="I2474" s="1">
        <f>COUNTA(ProductInfo[[#This Row],[P1]:[P15]])</f>
        <v>3</v>
      </c>
      <c r="J24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74" s="4" t="s">
        <v>12</v>
      </c>
      <c r="M2474" s="4" t="s">
        <v>15</v>
      </c>
      <c r="N2474" s="4" t="s">
        <v>13</v>
      </c>
    </row>
    <row r="2475" spans="1:26">
      <c r="A2475" s="33" t="s">
        <v>6423</v>
      </c>
      <c r="B2475" s="82" t="s">
        <v>6422</v>
      </c>
      <c r="C2475" s="2" t="str">
        <f>RIGHT(ProductInfo[[#This Row],[Drawing No]],1)</f>
        <v>0</v>
      </c>
      <c r="D2475" s="191" t="s">
        <v>6424</v>
      </c>
      <c r="E2475" s="16" t="s">
        <v>7032</v>
      </c>
      <c r="F2475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475" s="31" t="s">
        <v>6576</v>
      </c>
      <c r="H2475" s="31" t="s">
        <v>5999</v>
      </c>
      <c r="I2475" s="1">
        <f>COUNTA(ProductInfo[[#This Row],[P1]:[P15]])</f>
        <v>4</v>
      </c>
      <c r="J24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75" s="4" t="s">
        <v>12</v>
      </c>
      <c r="M2475" s="4" t="s">
        <v>13</v>
      </c>
      <c r="N2475" s="4" t="s">
        <v>15</v>
      </c>
      <c r="O2475" s="4" t="s">
        <v>16</v>
      </c>
    </row>
    <row r="2476" spans="1:26">
      <c r="A2476" s="33" t="s">
        <v>6428</v>
      </c>
      <c r="B2476" s="82" t="s">
        <v>6427</v>
      </c>
      <c r="C2476" s="2" t="str">
        <f>RIGHT(ProductInfo[[#This Row],[Drawing No]],1)</f>
        <v>0</v>
      </c>
      <c r="D2476" s="174" t="s">
        <v>6429</v>
      </c>
      <c r="E2476" s="18" t="s">
        <v>7030</v>
      </c>
      <c r="F2476" s="23" t="str">
        <f>IFERROR(INDEX(MaterialCode[รายละเอียด],MATCH(ProductInfo[[#This Row],[Material Code]],MaterialCode[Material Code],0)),"ไม่พบวัตถุดิบ")</f>
        <v>เพลาอลูมีเนี่ยมโต 41.5 มม.</v>
      </c>
      <c r="G2476" s="3">
        <v>78.5</v>
      </c>
      <c r="H2476" s="59">
        <v>100</v>
      </c>
      <c r="I2476" s="1">
        <f>COUNTA(ProductInfo[[#This Row],[P1]:[P15]])</f>
        <v>4</v>
      </c>
      <c r="J24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76" s="7" t="s">
        <v>12</v>
      </c>
      <c r="M2476" s="7" t="s">
        <v>13</v>
      </c>
      <c r="N2476" s="7" t="s">
        <v>15</v>
      </c>
      <c r="O2476" s="7" t="s">
        <v>16</v>
      </c>
    </row>
    <row r="2477" spans="1:26">
      <c r="A2477" s="8" t="s">
        <v>6433</v>
      </c>
      <c r="B2477" s="8" t="s">
        <v>6430</v>
      </c>
      <c r="C2477" s="1" t="str">
        <f>RIGHT(ProductInfo[[#This Row],[Drawing No]],1)</f>
        <v>0</v>
      </c>
      <c r="D2477" s="176" t="s">
        <v>6435</v>
      </c>
      <c r="E2477" s="16" t="s">
        <v>6529</v>
      </c>
      <c r="F247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77" s="31" t="s">
        <v>6434</v>
      </c>
      <c r="H2477" s="59">
        <v>100</v>
      </c>
      <c r="I2477" s="1">
        <f>COUNTA(ProductInfo[[#This Row],[P1]:[P15]])</f>
        <v>3</v>
      </c>
      <c r="J24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77" s="7" t="s">
        <v>12</v>
      </c>
      <c r="M2477" s="7" t="s">
        <v>13</v>
      </c>
      <c r="N2477" s="7" t="s">
        <v>15</v>
      </c>
      <c r="O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>
      <c r="A2478" s="33" t="s">
        <v>3864</v>
      </c>
      <c r="B2478" s="75" t="s">
        <v>3863</v>
      </c>
      <c r="C2478" s="2" t="str">
        <f>RIGHT(ProductInfo[[#This Row],[Drawing No]],1)</f>
        <v>0</v>
      </c>
      <c r="D2478" s="180" t="s">
        <v>3865</v>
      </c>
      <c r="E2478" s="16" t="s">
        <v>5150</v>
      </c>
      <c r="F2478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478" s="31" t="s">
        <v>6439</v>
      </c>
      <c r="H2478" s="31" t="s">
        <v>6440</v>
      </c>
      <c r="I2478" s="1">
        <f>COUNTA(ProductInfo[[#This Row],[P1]:[P15]])</f>
        <v>3</v>
      </c>
      <c r="J24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78" s="7" t="s">
        <v>12</v>
      </c>
      <c r="M2478" s="7" t="s">
        <v>13</v>
      </c>
      <c r="N2478" s="7" t="s">
        <v>15</v>
      </c>
      <c r="O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s="1" customFormat="1">
      <c r="A2479" s="8" t="s">
        <v>6444</v>
      </c>
      <c r="B2479" s="8" t="s">
        <v>6443</v>
      </c>
      <c r="C2479" s="1" t="str">
        <f>RIGHT(ProductInfo[[#This Row],[Drawing No]],1)</f>
        <v>0</v>
      </c>
      <c r="D2479" s="176" t="s">
        <v>2556</v>
      </c>
      <c r="E2479" s="16" t="s">
        <v>3622</v>
      </c>
      <c r="F2479" s="23" t="str">
        <f>IFERROR(INDEX(MaterialCode[รายละเอียด],MATCH(ProductInfo[[#This Row],[Material Code]],MaterialCode[Material Code],0)),"ไม่พบวัตถุดิบ")</f>
        <v>MATT FORDGE Z ตัวใหญ่</v>
      </c>
      <c r="G2479" s="31"/>
      <c r="H2479" s="59">
        <v>50</v>
      </c>
      <c r="I2479" s="1">
        <f>COUNTA(ProductInfo[[#This Row],[P1]:[P15]])</f>
        <v>4</v>
      </c>
      <c r="J24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79" s="7" t="s">
        <v>12</v>
      </c>
      <c r="M2479" s="7" t="s">
        <v>12</v>
      </c>
      <c r="N2479" s="7" t="s">
        <v>15</v>
      </c>
      <c r="O2479" s="7" t="s">
        <v>14</v>
      </c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>
      <c r="A2480" s="8" t="s">
        <v>6447</v>
      </c>
      <c r="B2480" s="8" t="s">
        <v>6446</v>
      </c>
      <c r="C2480" s="1" t="str">
        <f>RIGHT(ProductInfo[[#This Row],[Drawing No]],1)</f>
        <v>0</v>
      </c>
      <c r="D2480" s="176" t="s">
        <v>3176</v>
      </c>
      <c r="E2480" s="16" t="s">
        <v>4524</v>
      </c>
      <c r="F2480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480" s="59">
        <v>65.5</v>
      </c>
      <c r="H2480" s="59">
        <v>25</v>
      </c>
      <c r="I2480" s="1">
        <f>COUNTA(ProductInfo[[#This Row],[P1]:[P15]])</f>
        <v>5</v>
      </c>
      <c r="J24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480" s="7" t="s">
        <v>15</v>
      </c>
      <c r="M2480" s="7" t="s">
        <v>12</v>
      </c>
      <c r="N2480" s="7" t="s">
        <v>13</v>
      </c>
      <c r="O2480" s="7" t="s">
        <v>16</v>
      </c>
      <c r="Q2480" s="7" t="s">
        <v>19</v>
      </c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>
      <c r="A2481" s="8" t="s">
        <v>6450</v>
      </c>
      <c r="B2481" s="8" t="s">
        <v>6449</v>
      </c>
      <c r="C2481" s="2" t="str">
        <f>RIGHT(ProductInfo[[#This Row],[Drawing No]],1)</f>
        <v>1</v>
      </c>
      <c r="D2481" s="176" t="s">
        <v>5612</v>
      </c>
      <c r="E2481" s="16" t="s">
        <v>4607</v>
      </c>
      <c r="F2481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481" s="31" t="s">
        <v>6452</v>
      </c>
      <c r="H2481" s="31"/>
      <c r="I2481" s="1">
        <f>COUNTA(ProductInfo[[#This Row],[P1]:[P15]])</f>
        <v>4</v>
      </c>
      <c r="J24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4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81" s="7" t="s">
        <v>12</v>
      </c>
      <c r="M2481" s="7" t="s">
        <v>13</v>
      </c>
      <c r="N2481" s="7" t="s">
        <v>14</v>
      </c>
      <c r="O2481" s="4" t="s">
        <v>3105</v>
      </c>
      <c r="R2481" s="7"/>
    </row>
    <row r="2482" spans="1:26">
      <c r="A2482" s="33" t="s">
        <v>6454</v>
      </c>
      <c r="B2482" s="82" t="s">
        <v>6453</v>
      </c>
      <c r="C2482" s="2" t="str">
        <f>RIGHT(ProductInfo[[#This Row],[Drawing No]],1)</f>
        <v>0</v>
      </c>
      <c r="D2482" s="205" t="s">
        <v>6388</v>
      </c>
      <c r="E2482" s="16" t="s">
        <v>7032</v>
      </c>
      <c r="F2482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482" s="31" t="s">
        <v>6389</v>
      </c>
      <c r="H2482" s="31" t="s">
        <v>5999</v>
      </c>
      <c r="I2482" s="1">
        <f>COUNTA(ProductInfo[[#This Row],[P1]:[P15]])</f>
        <v>3</v>
      </c>
      <c r="J24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82" s="7" t="s">
        <v>12</v>
      </c>
      <c r="M2482" s="7" t="s">
        <v>13</v>
      </c>
      <c r="N2482" s="7" t="s">
        <v>15</v>
      </c>
      <c r="R2482" s="7"/>
    </row>
    <row r="2483" spans="1:26">
      <c r="A2483" s="54" t="s">
        <v>6456</v>
      </c>
      <c r="B2483" s="8" t="s">
        <v>6455</v>
      </c>
      <c r="C2483" s="2" t="str">
        <f>RIGHT(ProductInfo[[#This Row],[Drawing No]],1)</f>
        <v>0</v>
      </c>
      <c r="D2483" s="176" t="s">
        <v>5660</v>
      </c>
      <c r="E2483" s="16" t="s">
        <v>3536</v>
      </c>
      <c r="F2483" s="23" t="str">
        <f>IFERROR(INDEX(MaterialCode[รายละเอียด],MATCH(ProductInfo[[#This Row],[Material Code]],MaterialCode[Material Code],0)),"ไม่พบวัตถุดิบ")</f>
        <v>เพลาอูมีเนียมหน้าตัดพิเศษ 22.5มม*52มม*50มมม.</v>
      </c>
      <c r="G2483" s="31" t="s">
        <v>6273</v>
      </c>
      <c r="H2483" s="31" t="s">
        <v>6440</v>
      </c>
      <c r="I2483" s="1">
        <f>COUNTA(ProductInfo[[#This Row],[P1]:[P15]])</f>
        <v>3</v>
      </c>
      <c r="J24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4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83" s="7" t="s">
        <v>12</v>
      </c>
      <c r="M2483" s="7" t="s">
        <v>15</v>
      </c>
      <c r="N2483" s="7" t="s">
        <v>16</v>
      </c>
      <c r="O2483" s="7"/>
      <c r="R2483" s="7"/>
    </row>
    <row r="2484" spans="1:26">
      <c r="A2484" s="54" t="s">
        <v>6458</v>
      </c>
      <c r="B2484" s="8" t="s">
        <v>6689</v>
      </c>
      <c r="C2484" s="2" t="str">
        <f>RIGHT(ProductInfo[[#This Row],[Drawing No]],1)</f>
        <v>1</v>
      </c>
      <c r="D2484" s="174" t="s">
        <v>6459</v>
      </c>
      <c r="E2484" s="16" t="s">
        <v>7032</v>
      </c>
      <c r="F2484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484" s="31" t="s">
        <v>5236</v>
      </c>
      <c r="H2484" s="31" t="s">
        <v>4899</v>
      </c>
      <c r="I2484" s="1">
        <f>COUNTA(ProductInfo[[#This Row],[P1]:[P15]])</f>
        <v>3</v>
      </c>
      <c r="J24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84" s="7" t="s">
        <v>12</v>
      </c>
      <c r="M2484" s="7" t="s">
        <v>13</v>
      </c>
      <c r="N2484" s="7" t="s">
        <v>15</v>
      </c>
      <c r="O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>
      <c r="A2485" s="54" t="s">
        <v>6461</v>
      </c>
      <c r="B2485" s="8" t="s">
        <v>6460</v>
      </c>
      <c r="C2485" s="2" t="str">
        <f>RIGHT(ProductInfo[[#This Row],[Drawing No]],1)</f>
        <v>0</v>
      </c>
      <c r="D2485" s="174" t="s">
        <v>6666</v>
      </c>
      <c r="E2485" s="16" t="s">
        <v>3494</v>
      </c>
      <c r="F2485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485" s="31" t="s">
        <v>6463</v>
      </c>
      <c r="H2485" s="31" t="s">
        <v>5999</v>
      </c>
      <c r="I2485" s="1">
        <f>COUNTA(ProductInfo[[#This Row],[P1]:[P15]])</f>
        <v>5</v>
      </c>
      <c r="J24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485" s="7" t="s">
        <v>12</v>
      </c>
      <c r="M2485" s="7" t="s">
        <v>13</v>
      </c>
      <c r="N2485" s="7" t="s">
        <v>15</v>
      </c>
      <c r="O2485" s="7" t="s">
        <v>16</v>
      </c>
      <c r="P2485" s="4" t="s">
        <v>19</v>
      </c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>
      <c r="A2486" s="8" t="s">
        <v>6466</v>
      </c>
      <c r="B2486" s="8" t="s">
        <v>6672</v>
      </c>
      <c r="C2486" s="1" t="str">
        <f>RIGHT(ProductInfo[[#This Row],[Drawing No]],1)</f>
        <v>1</v>
      </c>
      <c r="D2486" s="182" t="s">
        <v>6665</v>
      </c>
      <c r="E2486" s="16" t="s">
        <v>3494</v>
      </c>
      <c r="F2486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37 มม.xหนา 18 มม.</v>
      </c>
      <c r="G2486" s="31" t="s">
        <v>6467</v>
      </c>
      <c r="H2486" s="31" t="s">
        <v>4899</v>
      </c>
      <c r="I2486" s="1">
        <f>COUNTA(ProductInfo[[#This Row],[P1]:[P15]])</f>
        <v>3</v>
      </c>
      <c r="J24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86" s="7" t="s">
        <v>15</v>
      </c>
      <c r="M2486" s="7" t="s">
        <v>12</v>
      </c>
      <c r="N2486" s="7" t="s">
        <v>13</v>
      </c>
      <c r="O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>
      <c r="A2487" s="33" t="s">
        <v>6469</v>
      </c>
      <c r="B2487" s="82" t="s">
        <v>6468</v>
      </c>
      <c r="C2487" s="2" t="str">
        <f>RIGHT(ProductInfo[[#This Row],[Drawing No]],1)</f>
        <v>0</v>
      </c>
      <c r="D2487" s="205" t="s">
        <v>6470</v>
      </c>
      <c r="E2487" s="16" t="s">
        <v>3441</v>
      </c>
      <c r="F2487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87" s="31" t="s">
        <v>6476</v>
      </c>
      <c r="H2487" s="31" t="s">
        <v>6210</v>
      </c>
      <c r="I2487" s="1">
        <f>COUNTA(ProductInfo[[#This Row],[P1]:[P15]])</f>
        <v>4</v>
      </c>
      <c r="J24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87" s="7" t="s">
        <v>12</v>
      </c>
      <c r="M2487" s="7" t="s">
        <v>13</v>
      </c>
      <c r="N2487" s="7" t="s">
        <v>15</v>
      </c>
      <c r="O2487" s="7" t="s">
        <v>16</v>
      </c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>
      <c r="A2488" s="33" t="s">
        <v>6471</v>
      </c>
      <c r="B2488" s="82" t="s">
        <v>6468</v>
      </c>
      <c r="C2488" s="2" t="str">
        <f>RIGHT(ProductInfo[[#This Row],[Drawing No]],1)</f>
        <v>0</v>
      </c>
      <c r="D2488" s="205" t="s">
        <v>6472</v>
      </c>
      <c r="E2488" s="16" t="s">
        <v>3441</v>
      </c>
      <c r="F2488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88" s="31" t="s">
        <v>6477</v>
      </c>
      <c r="H2488" s="31" t="s">
        <v>6210</v>
      </c>
      <c r="I2488" s="1">
        <f>COUNTA(ProductInfo[[#This Row],[P1]:[P15]])</f>
        <v>4</v>
      </c>
      <c r="J24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88" s="7" t="s">
        <v>12</v>
      </c>
      <c r="M2488" s="7" t="s">
        <v>13</v>
      </c>
      <c r="N2488" s="7" t="s">
        <v>15</v>
      </c>
      <c r="O2488" s="7" t="s">
        <v>16</v>
      </c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>
      <c r="A2489" s="33" t="s">
        <v>6474</v>
      </c>
      <c r="B2489" s="82" t="s">
        <v>6473</v>
      </c>
      <c r="C2489" s="2" t="str">
        <f>RIGHT(ProductInfo[[#This Row],[Drawing No]],1)</f>
        <v>0</v>
      </c>
      <c r="D2489" s="205" t="s">
        <v>6475</v>
      </c>
      <c r="E2489" s="16" t="s">
        <v>3441</v>
      </c>
      <c r="F2489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489" s="31" t="s">
        <v>6478</v>
      </c>
      <c r="H2489" s="31" t="s">
        <v>6210</v>
      </c>
      <c r="I2489" s="1">
        <f>COUNTA(ProductInfo[[#This Row],[P1]:[P15]])</f>
        <v>0</v>
      </c>
      <c r="J24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89" s="7"/>
      <c r="M2489" s="7"/>
      <c r="N2489" s="7"/>
      <c r="O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>
      <c r="A2490" s="54" t="s">
        <v>6483</v>
      </c>
      <c r="B2490" s="8" t="s">
        <v>6482</v>
      </c>
      <c r="C2490" s="2" t="str">
        <f>RIGHT(ProductInfo[[#This Row],[Drawing No]],1)</f>
        <v>0</v>
      </c>
      <c r="D2490" s="205" t="s">
        <v>6484</v>
      </c>
      <c r="E2490" s="16" t="s">
        <v>6529</v>
      </c>
      <c r="F249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490" s="31" t="s">
        <v>6485</v>
      </c>
      <c r="H2490" s="31" t="s">
        <v>5999</v>
      </c>
      <c r="I2490" s="1">
        <f>COUNTA(ProductInfo[[#This Row],[P1]:[P15]])</f>
        <v>4</v>
      </c>
      <c r="J24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4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90" s="7" t="s">
        <v>12</v>
      </c>
      <c r="M2490" s="7" t="s">
        <v>13</v>
      </c>
      <c r="N2490" s="7" t="s">
        <v>15</v>
      </c>
      <c r="O2490" s="7" t="s">
        <v>14</v>
      </c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16.5" customHeight="1">
      <c r="A2491" s="8" t="s">
        <v>6487</v>
      </c>
      <c r="B2491" s="8" t="s">
        <v>6486</v>
      </c>
      <c r="C2491" s="1" t="str">
        <f>RIGHT(ProductInfo[[#This Row],[Drawing No]],1)</f>
        <v>1</v>
      </c>
      <c r="D2491" s="205" t="s">
        <v>6488</v>
      </c>
      <c r="E2491" s="121" t="s">
        <v>6530</v>
      </c>
      <c r="F2491" s="27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491" s="60">
        <v>103.5</v>
      </c>
      <c r="H2491" s="59">
        <v>110</v>
      </c>
      <c r="I2491" s="1">
        <f>COUNTA(ProductInfo[[#This Row],[P1]:[P15]])</f>
        <v>4</v>
      </c>
      <c r="J24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491" s="7" t="s">
        <v>12</v>
      </c>
      <c r="M2491" s="7" t="s">
        <v>13</v>
      </c>
      <c r="N2491" s="7" t="s">
        <v>15</v>
      </c>
      <c r="O2491" s="7" t="s">
        <v>16</v>
      </c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>
      <c r="A2492" s="54" t="s">
        <v>6490</v>
      </c>
      <c r="B2492" s="8" t="s">
        <v>6489</v>
      </c>
      <c r="C2492" s="2" t="str">
        <f>RIGHT(ProductInfo[[#This Row],[Drawing No]],1)</f>
        <v>0</v>
      </c>
      <c r="D2492" s="205" t="s">
        <v>6491</v>
      </c>
      <c r="E2492" s="16" t="s">
        <v>6728</v>
      </c>
      <c r="F2492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492" s="31" t="s">
        <v>6669</v>
      </c>
      <c r="H2492" s="31" t="s">
        <v>5999</v>
      </c>
      <c r="I2492" s="1">
        <f>COUNTA(ProductInfo[[#This Row],[P1]:[P15]])</f>
        <v>3</v>
      </c>
      <c r="J249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9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92" s="7" t="s">
        <v>12</v>
      </c>
      <c r="M2492" s="7" t="s">
        <v>15</v>
      </c>
      <c r="N2492" s="7" t="s">
        <v>13</v>
      </c>
      <c r="O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17.25" customHeight="1">
      <c r="A2493" s="54" t="s">
        <v>6493</v>
      </c>
      <c r="B2493" s="8" t="s">
        <v>6492</v>
      </c>
      <c r="C2493" s="2" t="str">
        <f>RIGHT(ProductInfo[[#This Row],[Drawing No]],1)</f>
        <v>0</v>
      </c>
      <c r="D2493" s="205" t="s">
        <v>6494</v>
      </c>
      <c r="E2493" s="243" t="s">
        <v>6728</v>
      </c>
      <c r="F2493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493" s="31" t="s">
        <v>6587</v>
      </c>
      <c r="H2493" s="31" t="s">
        <v>4899</v>
      </c>
      <c r="I2493" s="1">
        <f>COUNTA(ProductInfo[[#This Row],[P1]:[P15]])</f>
        <v>3</v>
      </c>
      <c r="J24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4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493" s="7" t="s">
        <v>15</v>
      </c>
      <c r="M2493" s="7" t="s">
        <v>12</v>
      </c>
      <c r="N2493" s="7" t="s">
        <v>13</v>
      </c>
      <c r="O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>
      <c r="A2494" s="33" t="s">
        <v>6498</v>
      </c>
      <c r="B2494" s="82" t="s">
        <v>6497</v>
      </c>
      <c r="C2494" s="2" t="str">
        <f>RIGHT(ProductInfo[[#This Row],[Drawing No]],1)</f>
        <v>0</v>
      </c>
      <c r="D2494" s="191" t="s">
        <v>6499</v>
      </c>
      <c r="E2494" s="16" t="s">
        <v>3439</v>
      </c>
      <c r="F2494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494" s="31" t="s">
        <v>6517</v>
      </c>
      <c r="H2494" s="31" t="s">
        <v>4899</v>
      </c>
      <c r="I2494" s="1">
        <f>COUNTA(ProductInfo[[#This Row],[P1]:[P15]])</f>
        <v>0</v>
      </c>
      <c r="J24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4" s="4"/>
    </row>
    <row r="2495" spans="1:26">
      <c r="A2495" s="33" t="s">
        <v>6501</v>
      </c>
      <c r="B2495" s="82" t="s">
        <v>6500</v>
      </c>
      <c r="C2495" s="2" t="str">
        <f>RIGHT(ProductInfo[[#This Row],[Drawing No]],1)</f>
        <v>0</v>
      </c>
      <c r="D2495" s="205" t="s">
        <v>6502</v>
      </c>
      <c r="E2495" s="16" t="s">
        <v>3439</v>
      </c>
      <c r="F2495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495" s="31" t="s">
        <v>6023</v>
      </c>
      <c r="H2495" s="31" t="s">
        <v>4899</v>
      </c>
      <c r="I2495" s="1">
        <f>COUNTA(ProductInfo[[#This Row],[P1]:[P15]])</f>
        <v>0</v>
      </c>
      <c r="J24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5" s="4"/>
    </row>
    <row r="2496" spans="1:26" ht="17.25" customHeight="1">
      <c r="A2496" s="33" t="s">
        <v>6504</v>
      </c>
      <c r="B2496" s="82" t="s">
        <v>6503</v>
      </c>
      <c r="C2496" s="2" t="str">
        <f>RIGHT(ProductInfo[[#This Row],[Drawing No]],1)</f>
        <v>0</v>
      </c>
      <c r="D2496" s="205" t="s">
        <v>6505</v>
      </c>
      <c r="E2496" s="121" t="s">
        <v>6530</v>
      </c>
      <c r="F2496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496" s="31" t="s">
        <v>6518</v>
      </c>
      <c r="H2496" s="31" t="s">
        <v>5999</v>
      </c>
      <c r="I2496" s="1">
        <f>COUNTA(ProductInfo[[#This Row],[P1]:[P15]])</f>
        <v>0</v>
      </c>
      <c r="J24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6" s="4"/>
    </row>
    <row r="2497" spans="1:18" ht="14.25" customHeight="1">
      <c r="A2497" s="33" t="s">
        <v>6506</v>
      </c>
      <c r="B2497" s="82" t="s">
        <v>6503</v>
      </c>
      <c r="C2497" s="2" t="str">
        <f>RIGHT(ProductInfo[[#This Row],[Drawing No]],1)</f>
        <v>0</v>
      </c>
      <c r="D2497" s="205" t="s">
        <v>6507</v>
      </c>
      <c r="E2497" s="121" t="s">
        <v>6530</v>
      </c>
      <c r="F2497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497" s="31" t="s">
        <v>6518</v>
      </c>
      <c r="H2497" s="31" t="s">
        <v>5999</v>
      </c>
      <c r="I2497" s="1">
        <f>COUNTA(ProductInfo[[#This Row],[P1]:[P15]])</f>
        <v>0</v>
      </c>
      <c r="J24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7" s="4"/>
    </row>
    <row r="2498" spans="1:18">
      <c r="A2498" s="33" t="s">
        <v>6509</v>
      </c>
      <c r="B2498" s="72" t="s">
        <v>6508</v>
      </c>
      <c r="C2498" s="2" t="str">
        <f>RIGHT(ProductInfo[[#This Row],[Drawing No]],1)</f>
        <v>0</v>
      </c>
      <c r="D2498" s="206" t="s">
        <v>6510</v>
      </c>
      <c r="E2498" s="16"/>
      <c r="F24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98" s="31"/>
      <c r="H2498" s="31"/>
      <c r="I2498" s="1">
        <f>COUNTA(ProductInfo[[#This Row],[P1]:[P15]])</f>
        <v>0</v>
      </c>
      <c r="J24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8" s="4"/>
    </row>
    <row r="2499" spans="1:18">
      <c r="A2499" s="33" t="s">
        <v>6512</v>
      </c>
      <c r="B2499" s="72" t="s">
        <v>6511</v>
      </c>
      <c r="C2499" s="2" t="str">
        <f>RIGHT(ProductInfo[[#This Row],[Drawing No]],1)</f>
        <v>0</v>
      </c>
      <c r="D2499" s="206" t="s">
        <v>6513</v>
      </c>
      <c r="E2499" s="16"/>
      <c r="F249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499" s="31"/>
      <c r="H2499" s="31"/>
      <c r="I2499" s="1">
        <f>COUNTA(ProductInfo[[#This Row],[P1]:[P15]])</f>
        <v>0</v>
      </c>
      <c r="J24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4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499" s="4"/>
    </row>
    <row r="2500" spans="1:18">
      <c r="A2500" s="33" t="s">
        <v>6515</v>
      </c>
      <c r="B2500" s="72" t="s">
        <v>6514</v>
      </c>
      <c r="C2500" s="2" t="str">
        <f>RIGHT(ProductInfo[[#This Row],[Drawing No]],1)</f>
        <v>0</v>
      </c>
      <c r="D2500" s="206" t="s">
        <v>6516</v>
      </c>
      <c r="E2500" s="16"/>
      <c r="F250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00" s="31"/>
      <c r="H2500" s="31"/>
      <c r="I2500" s="1">
        <f>COUNTA(ProductInfo[[#This Row],[P1]:[P15]])</f>
        <v>0</v>
      </c>
      <c r="J25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0" s="4"/>
    </row>
    <row r="2501" spans="1:18">
      <c r="A2501" s="33" t="s">
        <v>6520</v>
      </c>
      <c r="B2501" s="72" t="s">
        <v>6519</v>
      </c>
      <c r="C2501" s="2" t="str">
        <f>RIGHT(ProductInfo[[#This Row],[Drawing No]],1)</f>
        <v>0</v>
      </c>
      <c r="D2501" s="207" t="s">
        <v>3898</v>
      </c>
      <c r="E2501" s="16" t="s">
        <v>3716</v>
      </c>
      <c r="F2501" s="23" t="str">
        <f>IFERROR(INDEX(MaterialCode[รายละเอียด],MATCH(ProductInfo[[#This Row],[Material Code]],MaterialCode[Material Code],0)),"ไม่พบวัตถุดิบ")</f>
        <v>MATT FORDGE C M35</v>
      </c>
      <c r="G2501" s="31" t="s">
        <v>6034</v>
      </c>
      <c r="H2501" s="31" t="s">
        <v>4897</v>
      </c>
      <c r="I2501" s="1">
        <f>COUNTA(ProductInfo[[#This Row],[P1]:[P15]])</f>
        <v>4</v>
      </c>
      <c r="J25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01" s="4" t="s">
        <v>12</v>
      </c>
      <c r="M2501" s="4" t="s">
        <v>13</v>
      </c>
      <c r="N2501" s="4" t="s">
        <v>14</v>
      </c>
      <c r="O2501" s="4" t="s">
        <v>15</v>
      </c>
    </row>
    <row r="2502" spans="1:18" ht="13.5" customHeight="1">
      <c r="A2502" s="33" t="s">
        <v>4122</v>
      </c>
      <c r="B2502" s="75" t="s">
        <v>4059</v>
      </c>
      <c r="C2502" s="2" t="str">
        <f>RIGHT(ProductInfo[[#This Row],[Drawing No]],1)</f>
        <v>0</v>
      </c>
      <c r="D2502" s="180" t="s">
        <v>3900</v>
      </c>
      <c r="E2502" s="121" t="s">
        <v>6530</v>
      </c>
      <c r="F2502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502" s="31" t="s">
        <v>6228</v>
      </c>
      <c r="H2502" s="31" t="s">
        <v>6207</v>
      </c>
      <c r="I2502" s="1">
        <f>COUNTA(ProductInfo[[#This Row],[P1]:[P15]])</f>
        <v>4</v>
      </c>
      <c r="J25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02" s="4" t="s">
        <v>12</v>
      </c>
      <c r="M2502" s="4" t="s">
        <v>13</v>
      </c>
      <c r="N2502" s="4" t="s">
        <v>15</v>
      </c>
      <c r="O2502" s="4" t="s">
        <v>16</v>
      </c>
    </row>
    <row r="2503" spans="1:18">
      <c r="A2503" s="33" t="s">
        <v>6523</v>
      </c>
      <c r="B2503" s="82" t="s">
        <v>6522</v>
      </c>
      <c r="C2503" s="2" t="str">
        <f>RIGHT(ProductInfo[[#This Row],[Drawing No]],1)</f>
        <v>0</v>
      </c>
      <c r="D2503" s="174" t="s">
        <v>6524</v>
      </c>
      <c r="E2503" s="18" t="s">
        <v>3476</v>
      </c>
      <c r="F2503" s="26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503" s="3">
        <v>353</v>
      </c>
      <c r="H2503" s="31"/>
      <c r="I2503" s="1">
        <f>COUNTA(ProductInfo[[#This Row],[P1]:[P15]])</f>
        <v>2</v>
      </c>
      <c r="J25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3" s="4" t="s">
        <v>12</v>
      </c>
      <c r="M2503" s="4" t="s">
        <v>13</v>
      </c>
    </row>
    <row r="2504" spans="1:18">
      <c r="A2504" s="33" t="s">
        <v>6525</v>
      </c>
      <c r="B2504" s="82" t="s">
        <v>6533</v>
      </c>
      <c r="C2504" s="2" t="str">
        <f>RIGHT(ProductInfo[[#This Row],[Drawing No]],1)</f>
        <v>1</v>
      </c>
      <c r="D2504" s="205" t="s">
        <v>6526</v>
      </c>
      <c r="E2504" s="16" t="s">
        <v>3406</v>
      </c>
      <c r="F2504" s="23" t="str">
        <f>IFERROR(INDEX(MaterialCode[รายละเอียด],MATCH(ProductInfo[[#This Row],[Material Code]],MaterialCode[Material Code],0)),"ไม่พบวัตถุดิบ")</f>
        <v>เพลาอลูมีเนียม 70 มม.              (ยังของเหลือบางส่วน)</v>
      </c>
      <c r="G2504" s="31" t="s">
        <v>6256</v>
      </c>
      <c r="H2504" s="31" t="s">
        <v>6210</v>
      </c>
      <c r="I2504" s="1">
        <f>COUNTA(ProductInfo[[#This Row],[P1]:[P15]])</f>
        <v>4</v>
      </c>
      <c r="J25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04" s="4" t="s">
        <v>12</v>
      </c>
      <c r="M2504" s="4" t="s">
        <v>13</v>
      </c>
      <c r="N2504" s="4" t="s">
        <v>6532</v>
      </c>
      <c r="O2504" s="4" t="s">
        <v>16</v>
      </c>
    </row>
    <row r="2505" spans="1:18">
      <c r="A2505" s="33" t="s">
        <v>6527</v>
      </c>
      <c r="B2505" s="82" t="s">
        <v>6534</v>
      </c>
      <c r="C2505" s="2" t="str">
        <f>RIGHT(ProductInfo[[#This Row],[Drawing No]],1)</f>
        <v>1</v>
      </c>
      <c r="D2505" s="174" t="s">
        <v>6528</v>
      </c>
      <c r="E2505" s="16" t="s">
        <v>4561</v>
      </c>
      <c r="F2505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505" s="31" t="s">
        <v>6209</v>
      </c>
      <c r="H2505" s="31" t="s">
        <v>6210</v>
      </c>
      <c r="I2505" s="1">
        <f>COUNTA(ProductInfo[[#This Row],[P1]:[P15]])</f>
        <v>0</v>
      </c>
      <c r="J25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5" s="4"/>
    </row>
    <row r="2506" spans="1:18">
      <c r="A2506" s="33" t="s">
        <v>6536</v>
      </c>
      <c r="B2506" s="82" t="s">
        <v>6535</v>
      </c>
      <c r="C2506" s="2" t="str">
        <f>RIGHT(ProductInfo[[#This Row],[Drawing No]],1)</f>
        <v>0</v>
      </c>
      <c r="D2506" s="180" t="s">
        <v>6537</v>
      </c>
      <c r="E2506" s="16" t="s">
        <v>3716</v>
      </c>
      <c r="F2506" s="23" t="str">
        <f>IFERROR(INDEX(MaterialCode[รายละเอียด],MATCH(ProductInfo[[#This Row],[Material Code]],MaterialCode[Material Code],0)),"ไม่พบวัตถุดิบ")</f>
        <v>MATT FORDGE C M35</v>
      </c>
      <c r="G2506" s="31" t="s">
        <v>6034</v>
      </c>
      <c r="H2506" s="31" t="s">
        <v>4897</v>
      </c>
      <c r="I2506" s="1">
        <f>COUNTA(ProductInfo[[#This Row],[P1]:[P15]])</f>
        <v>4</v>
      </c>
      <c r="J25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06" s="4" t="s">
        <v>12</v>
      </c>
      <c r="M2506" s="4" t="s">
        <v>15</v>
      </c>
      <c r="N2506" s="4" t="s">
        <v>13</v>
      </c>
      <c r="O2506" s="4" t="s">
        <v>16</v>
      </c>
    </row>
    <row r="2507" spans="1:18">
      <c r="A2507" s="8" t="s">
        <v>6540</v>
      </c>
      <c r="B2507" s="8" t="s">
        <v>6539</v>
      </c>
      <c r="C2507" s="2" t="str">
        <f>RIGHT(ProductInfo[[#This Row],[Drawing No]],1)</f>
        <v>0</v>
      </c>
      <c r="D2507" s="176" t="s">
        <v>5035</v>
      </c>
      <c r="E2507" s="16" t="s">
        <v>3457</v>
      </c>
      <c r="F2507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507" s="59">
        <v>542</v>
      </c>
      <c r="H2507" s="59">
        <v>20</v>
      </c>
      <c r="I2507" s="1">
        <f>COUNTA(ProductInfo[[#This Row],[P1]:[P15]])</f>
        <v>4</v>
      </c>
      <c r="J25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5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7" s="4" t="s">
        <v>13</v>
      </c>
      <c r="M2507" s="4" t="s">
        <v>14</v>
      </c>
      <c r="N2507" s="4" t="s">
        <v>3105</v>
      </c>
      <c r="O2507" s="4" t="s">
        <v>4609</v>
      </c>
      <c r="Q2507" s="7"/>
      <c r="R2507" s="7"/>
    </row>
    <row r="2508" spans="1:18">
      <c r="A2508" s="8" t="s">
        <v>6542</v>
      </c>
      <c r="B2508" s="8" t="s">
        <v>6599</v>
      </c>
      <c r="C2508" s="2" t="str">
        <f>RIGHT(ProductInfo[[#This Row],[Drawing No]],1)</f>
        <v>1</v>
      </c>
      <c r="D2508" s="176" t="s">
        <v>4895</v>
      </c>
      <c r="E2508" s="16" t="s">
        <v>3457</v>
      </c>
      <c r="F2508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508" s="31" t="s">
        <v>6396</v>
      </c>
      <c r="H2508" s="31" t="s">
        <v>6208</v>
      </c>
      <c r="I2508" s="1">
        <f>COUNTA(ProductInfo[[#This Row],[P1]:[P15]])</f>
        <v>4</v>
      </c>
      <c r="J25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5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08" s="7" t="s">
        <v>12</v>
      </c>
      <c r="M2508" s="4" t="s">
        <v>13</v>
      </c>
      <c r="N2508" s="4" t="s">
        <v>14</v>
      </c>
      <c r="O2508" s="7" t="s">
        <v>3105</v>
      </c>
      <c r="R2508" s="7"/>
    </row>
    <row r="2509" spans="1:18">
      <c r="A2509" s="33" t="s">
        <v>6543</v>
      </c>
      <c r="B2509" s="72" t="s">
        <v>6610</v>
      </c>
      <c r="C2509" s="2" t="str">
        <f>RIGHT(ProductInfo[[#This Row],[Drawing No]],1)</f>
        <v>1</v>
      </c>
      <c r="D2509" s="206" t="s">
        <v>6544</v>
      </c>
      <c r="E2509" s="16" t="s">
        <v>6529</v>
      </c>
      <c r="F250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09" s="31" t="s">
        <v>6554</v>
      </c>
      <c r="H2509" s="31" t="s">
        <v>5999</v>
      </c>
      <c r="I2509" s="1">
        <f>COUNTA(ProductInfo[[#This Row],[P1]:[P15]])</f>
        <v>4</v>
      </c>
      <c r="J25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09" s="4" t="s">
        <v>12</v>
      </c>
      <c r="M2509" s="4" t="s">
        <v>13</v>
      </c>
      <c r="N2509" s="4" t="s">
        <v>15</v>
      </c>
      <c r="O2509" s="4" t="s">
        <v>16</v>
      </c>
    </row>
    <row r="2510" spans="1:18">
      <c r="A2510" s="33" t="s">
        <v>6545</v>
      </c>
      <c r="B2510" s="72" t="s">
        <v>6610</v>
      </c>
      <c r="C2510" s="2" t="str">
        <f>RIGHT(ProductInfo[[#This Row],[Drawing No]],1)</f>
        <v>1</v>
      </c>
      <c r="D2510" s="206" t="s">
        <v>6546</v>
      </c>
      <c r="E2510" s="16" t="s">
        <v>6529</v>
      </c>
      <c r="F251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10" s="31" t="s">
        <v>6553</v>
      </c>
      <c r="H2510" s="31" t="s">
        <v>5999</v>
      </c>
      <c r="I2510" s="1">
        <f>COUNTA(ProductInfo[[#This Row],[P1]:[P15]])</f>
        <v>4</v>
      </c>
      <c r="J25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10" s="4" t="s">
        <v>12</v>
      </c>
      <c r="M2510" s="4" t="s">
        <v>13</v>
      </c>
      <c r="N2510" s="4" t="s">
        <v>15</v>
      </c>
      <c r="O2510" s="4" t="s">
        <v>16</v>
      </c>
    </row>
    <row r="2511" spans="1:18" ht="15" customHeight="1">
      <c r="A2511" s="33" t="s">
        <v>6558</v>
      </c>
      <c r="B2511" s="86" t="s">
        <v>6557</v>
      </c>
      <c r="C2511" s="2" t="str">
        <f>RIGHT(ProductInfo[[#This Row],[Drawing No]],1)</f>
        <v>0</v>
      </c>
      <c r="D2511" s="179" t="s">
        <v>2354</v>
      </c>
      <c r="E2511" s="122" t="s">
        <v>3439</v>
      </c>
      <c r="F2511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511" s="3">
        <v>30</v>
      </c>
      <c r="H2511" s="3">
        <v>50</v>
      </c>
      <c r="I2511" s="1">
        <f>COUNTA(ProductInfo[[#This Row],[P1]:[P15]])</f>
        <v>4</v>
      </c>
      <c r="J25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11" s="7" t="s">
        <v>12</v>
      </c>
      <c r="M2511" s="7" t="s">
        <v>13</v>
      </c>
      <c r="N2511" s="7" t="s">
        <v>15</v>
      </c>
      <c r="O2511" s="7" t="s">
        <v>16</v>
      </c>
    </row>
    <row r="2512" spans="1:18">
      <c r="A2512" s="54" t="s">
        <v>6561</v>
      </c>
      <c r="B2512" s="8" t="s">
        <v>6560</v>
      </c>
      <c r="C2512" s="2" t="str">
        <f>RIGHT(ProductInfo[[#This Row],[Drawing No]],1)</f>
        <v>0</v>
      </c>
      <c r="D2512" s="174" t="s">
        <v>6285</v>
      </c>
      <c r="E2512" s="16" t="s">
        <v>7032</v>
      </c>
      <c r="F2512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512" s="31" t="s">
        <v>5236</v>
      </c>
      <c r="H2512" s="31" t="s">
        <v>4899</v>
      </c>
      <c r="I2512" s="1">
        <f>COUNTA(ProductInfo[[#This Row],[P1]:[P15]])</f>
        <v>4</v>
      </c>
      <c r="J25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12" s="7" t="s">
        <v>12</v>
      </c>
      <c r="M2512" s="7" t="s">
        <v>13</v>
      </c>
      <c r="N2512" s="7" t="s">
        <v>15</v>
      </c>
      <c r="O2512" s="7" t="s">
        <v>16</v>
      </c>
    </row>
    <row r="2513" spans="1:26">
      <c r="A2513" s="33" t="s">
        <v>6036</v>
      </c>
      <c r="B2513" s="21" t="s">
        <v>6571</v>
      </c>
      <c r="C2513" s="2" t="str">
        <f>RIGHT(ProductInfo[[#This Row],[Drawing No]],1)</f>
        <v>0</v>
      </c>
      <c r="D2513" s="208" t="s">
        <v>6570</v>
      </c>
      <c r="E2513" s="16" t="s">
        <v>3441</v>
      </c>
      <c r="F2513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13" s="31" t="s">
        <v>6572</v>
      </c>
      <c r="H2513" s="31" t="s">
        <v>6210</v>
      </c>
      <c r="I2513" s="1">
        <f>COUNTA(ProductInfo[[#This Row],[P1]:[P15]])</f>
        <v>5</v>
      </c>
      <c r="J25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13" s="4" t="s">
        <v>12</v>
      </c>
      <c r="M2513" s="4" t="s">
        <v>13</v>
      </c>
      <c r="N2513" s="4" t="s">
        <v>15</v>
      </c>
      <c r="O2513" s="4" t="s">
        <v>16</v>
      </c>
      <c r="P2513" s="4" t="s">
        <v>14</v>
      </c>
    </row>
    <row r="2514" spans="1:26">
      <c r="A2514" s="33" t="s">
        <v>6574</v>
      </c>
      <c r="B2514" s="72" t="s">
        <v>6573</v>
      </c>
      <c r="C2514" s="2" t="str">
        <f>RIGHT(ProductInfo[[#This Row],[Drawing No]],1)</f>
        <v>0</v>
      </c>
      <c r="D2514" s="208" t="s">
        <v>6575</v>
      </c>
      <c r="E2514" s="16"/>
      <c r="F251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14" s="31"/>
      <c r="H2514" s="31"/>
      <c r="I2514" s="1">
        <f>COUNTA(ProductInfo[[#This Row],[P1]:[P15]])</f>
        <v>0</v>
      </c>
      <c r="J25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4" s="4"/>
    </row>
    <row r="2515" spans="1:26">
      <c r="A2515" s="33" t="s">
        <v>6578</v>
      </c>
      <c r="B2515" s="72" t="s">
        <v>6577</v>
      </c>
      <c r="C2515" s="2" t="str">
        <f>RIGHT(ProductInfo[[#This Row],[Drawing No]],1)</f>
        <v>0</v>
      </c>
      <c r="D2515" s="191" t="s">
        <v>6579</v>
      </c>
      <c r="E2515" s="16" t="s">
        <v>3478</v>
      </c>
      <c r="F2515" s="23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2515" s="31" t="s">
        <v>6263</v>
      </c>
      <c r="H2515" s="31" t="s">
        <v>4899</v>
      </c>
      <c r="I2515" s="1">
        <f>COUNTA(ProductInfo[[#This Row],[P1]:[P15]])</f>
        <v>2</v>
      </c>
      <c r="J25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5" s="4" t="s">
        <v>12</v>
      </c>
      <c r="M2515" s="4" t="s">
        <v>13</v>
      </c>
    </row>
    <row r="2516" spans="1:26">
      <c r="A2516" s="33" t="s">
        <v>6580</v>
      </c>
      <c r="B2516" s="72" t="s">
        <v>6577</v>
      </c>
      <c r="C2516" s="2" t="str">
        <f>RIGHT(ProductInfo[[#This Row],[Drawing No]],1)</f>
        <v>0</v>
      </c>
      <c r="D2516" s="191" t="s">
        <v>6581</v>
      </c>
      <c r="E2516" s="16" t="s">
        <v>3478</v>
      </c>
      <c r="F2516" s="23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2516" s="31" t="s">
        <v>6584</v>
      </c>
      <c r="H2516" s="31" t="s">
        <v>4899</v>
      </c>
      <c r="I2516" s="1">
        <f>COUNTA(ProductInfo[[#This Row],[P1]:[P15]])</f>
        <v>2</v>
      </c>
      <c r="J25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6" s="4" t="s">
        <v>12</v>
      </c>
      <c r="M2516" s="4" t="s">
        <v>13</v>
      </c>
    </row>
    <row r="2517" spans="1:26">
      <c r="A2517" s="33" t="s">
        <v>6582</v>
      </c>
      <c r="B2517" s="72" t="s">
        <v>6577</v>
      </c>
      <c r="C2517" s="2" t="str">
        <f>RIGHT(ProductInfo[[#This Row],[Drawing No]],1)</f>
        <v>0</v>
      </c>
      <c r="D2517" s="191" t="s">
        <v>6583</v>
      </c>
      <c r="E2517" s="16" t="s">
        <v>3478</v>
      </c>
      <c r="F2517" s="23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2517" s="31" t="s">
        <v>6585</v>
      </c>
      <c r="H2517" s="31" t="s">
        <v>4899</v>
      </c>
      <c r="I2517" s="1">
        <f>COUNTA(ProductInfo[[#This Row],[P1]:[P15]])</f>
        <v>2</v>
      </c>
      <c r="J25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7" s="4" t="s">
        <v>12</v>
      </c>
      <c r="M2517" s="4" t="s">
        <v>13</v>
      </c>
    </row>
    <row r="2518" spans="1:26" ht="13.5" customHeight="1">
      <c r="A2518" s="15" t="s">
        <v>6588</v>
      </c>
      <c r="B2518" s="21" t="s">
        <v>6492</v>
      </c>
      <c r="C2518" s="2" t="str">
        <f>RIGHT(ProductInfo[[#This Row],[Drawing No]],1)</f>
        <v>0</v>
      </c>
      <c r="D2518" s="191" t="s">
        <v>6494</v>
      </c>
      <c r="E2518" s="243" t="s">
        <v>6728</v>
      </c>
      <c r="F2518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518" s="31" t="s">
        <v>6587</v>
      </c>
      <c r="H2518" s="31" t="s">
        <v>4899</v>
      </c>
      <c r="I2518" s="1">
        <f>COUNTA(ProductInfo[[#This Row],[P1]:[P15]])</f>
        <v>3</v>
      </c>
      <c r="J25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18" s="7" t="s">
        <v>15</v>
      </c>
      <c r="M2518" s="7" t="s">
        <v>12</v>
      </c>
      <c r="N2518" s="7" t="s">
        <v>13</v>
      </c>
      <c r="O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>
      <c r="A2519" s="54" t="s">
        <v>6589</v>
      </c>
      <c r="B2519" s="8" t="s">
        <v>6590</v>
      </c>
      <c r="C2519" s="2" t="str">
        <f>RIGHT(ProductInfo[[#This Row],[Drawing No]],1)</f>
        <v>0</v>
      </c>
      <c r="D2519" s="174" t="s">
        <v>6591</v>
      </c>
      <c r="E2519" s="16" t="s">
        <v>5150</v>
      </c>
      <c r="F2519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519" s="31" t="s">
        <v>6347</v>
      </c>
      <c r="H2519" s="31" t="s">
        <v>4899</v>
      </c>
      <c r="I2519" s="1">
        <f>COUNTA(ProductInfo[[#This Row],[P1]:[P15]])</f>
        <v>0</v>
      </c>
      <c r="J25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19" s="7"/>
      <c r="M2519" s="7"/>
      <c r="N2519" s="7"/>
      <c r="O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>
      <c r="A2520" s="8" t="s">
        <v>6593</v>
      </c>
      <c r="B2520" s="8" t="s">
        <v>6592</v>
      </c>
      <c r="C2520" s="2" t="str">
        <f>RIGHT(ProductInfo[[#This Row],[Drawing No]],1)</f>
        <v>0</v>
      </c>
      <c r="D2520" s="176" t="s">
        <v>4421</v>
      </c>
      <c r="E2520" s="16" t="s">
        <v>3739</v>
      </c>
      <c r="F2520" s="23" t="str">
        <f>IFERROR(INDEX(MaterialCode[รายละเอียด],MATCH(ProductInfo[[#This Row],[Material Code]],MaterialCode[Material Code],0)),"ไม่พบวัตถุดิบ")</f>
        <v>MATT FORDGE C EURO M35</v>
      </c>
      <c r="G2520" s="31"/>
      <c r="H2520" s="3">
        <v>50</v>
      </c>
      <c r="I2520" s="1">
        <f>COUNTA(ProductInfo[[#This Row],[P1]:[P15]])</f>
        <v>5</v>
      </c>
      <c r="J25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20" s="7" t="s">
        <v>12</v>
      </c>
      <c r="M2520" s="7" t="s">
        <v>13</v>
      </c>
      <c r="N2520" s="7" t="s">
        <v>14</v>
      </c>
      <c r="O2520" s="7" t="s">
        <v>15</v>
      </c>
      <c r="P2520" s="4" t="s">
        <v>16</v>
      </c>
    </row>
    <row r="2521" spans="1:26">
      <c r="A2521" s="33" t="s">
        <v>6595</v>
      </c>
      <c r="B2521" s="72" t="s">
        <v>6594</v>
      </c>
      <c r="C2521" s="2" t="str">
        <f>RIGHT(ProductInfo[[#This Row],[Drawing No]],1)</f>
        <v>0</v>
      </c>
      <c r="D2521" s="191" t="s">
        <v>6596</v>
      </c>
      <c r="E2521" s="16" t="s">
        <v>6530</v>
      </c>
      <c r="F252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521" s="31" t="s">
        <v>5664</v>
      </c>
      <c r="H2521" s="31" t="s">
        <v>4899</v>
      </c>
      <c r="I2521" s="1">
        <f>COUNTA(ProductInfo[[#This Row],[P1]:[P15]])</f>
        <v>4</v>
      </c>
      <c r="J25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21" s="4" t="s">
        <v>12</v>
      </c>
      <c r="M2521" s="4" t="s">
        <v>13</v>
      </c>
      <c r="N2521" s="4" t="s">
        <v>15</v>
      </c>
      <c r="O2521" s="4" t="s">
        <v>16</v>
      </c>
    </row>
    <row r="2522" spans="1:26">
      <c r="A2522" s="33" t="s">
        <v>6598</v>
      </c>
      <c r="B2522" s="82" t="s">
        <v>6597</v>
      </c>
      <c r="C2522" s="2" t="str">
        <f>RIGHT(ProductInfo[[#This Row],[Drawing No]],1)</f>
        <v>0</v>
      </c>
      <c r="D2522" s="205" t="s">
        <v>6475</v>
      </c>
      <c r="E2522" s="16" t="s">
        <v>3441</v>
      </c>
      <c r="F2522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22" s="31" t="s">
        <v>6478</v>
      </c>
      <c r="H2522" s="31" t="s">
        <v>6210</v>
      </c>
      <c r="I2522" s="1">
        <f>COUNTA(ProductInfo[[#This Row],[P1]:[P15]])</f>
        <v>5</v>
      </c>
      <c r="J25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22" s="4" t="s">
        <v>12</v>
      </c>
      <c r="M2522" s="4" t="s">
        <v>13</v>
      </c>
      <c r="N2522" s="4" t="s">
        <v>15</v>
      </c>
      <c r="O2522" s="4" t="s">
        <v>16</v>
      </c>
      <c r="P2522" s="4" t="s">
        <v>14</v>
      </c>
    </row>
    <row r="2523" spans="1:26">
      <c r="A2523" s="33" t="s">
        <v>6601</v>
      </c>
      <c r="B2523" s="8" t="s">
        <v>6600</v>
      </c>
      <c r="C2523" s="2" t="str">
        <f>RIGHT(ProductInfo[[#This Row],[Drawing No]],1)</f>
        <v>1</v>
      </c>
      <c r="D2523" s="206" t="s">
        <v>6607</v>
      </c>
      <c r="E2523" s="16" t="s">
        <v>3559</v>
      </c>
      <c r="F252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23" s="31" t="s">
        <v>6081</v>
      </c>
      <c r="H2523" s="31" t="s">
        <v>4899</v>
      </c>
      <c r="I2523" s="1">
        <f>COUNTA(ProductInfo[[#This Row],[P1]:[P15]])</f>
        <v>2</v>
      </c>
      <c r="J25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23" s="4" t="s">
        <v>12</v>
      </c>
      <c r="M2523" s="4" t="s">
        <v>13</v>
      </c>
    </row>
    <row r="2524" spans="1:26">
      <c r="A2524" s="33" t="s">
        <v>6603</v>
      </c>
      <c r="B2524" s="8" t="s">
        <v>6600</v>
      </c>
      <c r="C2524" s="2" t="str">
        <f>RIGHT(ProductInfo[[#This Row],[Drawing No]],1)</f>
        <v>1</v>
      </c>
      <c r="D2524" s="206" t="s">
        <v>6608</v>
      </c>
      <c r="E2524" s="16" t="s">
        <v>3559</v>
      </c>
      <c r="F252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24" s="31" t="s">
        <v>6267</v>
      </c>
      <c r="H2524" s="31" t="s">
        <v>4899</v>
      </c>
      <c r="I2524" s="1">
        <f>COUNTA(ProductInfo[[#This Row],[P1]:[P15]])</f>
        <v>2</v>
      </c>
      <c r="J25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24" s="4" t="s">
        <v>12</v>
      </c>
      <c r="M2524" s="4" t="s">
        <v>13</v>
      </c>
    </row>
    <row r="2525" spans="1:26">
      <c r="A2525" s="33" t="s">
        <v>6605</v>
      </c>
      <c r="B2525" s="21" t="s">
        <v>6600</v>
      </c>
      <c r="C2525" s="2" t="str">
        <f>RIGHT(ProductInfo[[#This Row],[Drawing No]],1)</f>
        <v>1</v>
      </c>
      <c r="D2525" s="206" t="s">
        <v>6609</v>
      </c>
      <c r="E2525" s="16" t="s">
        <v>3559</v>
      </c>
      <c r="F252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25" s="31" t="s">
        <v>6199</v>
      </c>
      <c r="H2525" s="31" t="s">
        <v>4899</v>
      </c>
      <c r="I2525" s="1">
        <f>COUNTA(ProductInfo[[#This Row],[P1]:[P15]])</f>
        <v>2</v>
      </c>
      <c r="J25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25" s="4" t="s">
        <v>12</v>
      </c>
      <c r="M2525" s="4" t="s">
        <v>13</v>
      </c>
    </row>
    <row r="2526" spans="1:26">
      <c r="A2526" s="15" t="s">
        <v>6673</v>
      </c>
      <c r="B2526" s="21" t="s">
        <v>6611</v>
      </c>
      <c r="C2526" s="2" t="str">
        <f>RIGHT(ProductInfo[[#This Row],[Drawing No]],1)</f>
        <v>0</v>
      </c>
      <c r="D2526" s="205" t="s">
        <v>6528</v>
      </c>
      <c r="E2526" s="16" t="s">
        <v>4561</v>
      </c>
      <c r="F2526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526" s="31" t="s">
        <v>6209</v>
      </c>
      <c r="H2526" s="31" t="s">
        <v>6207</v>
      </c>
      <c r="I2526" s="1">
        <f>COUNTA(ProductInfo[[#This Row],[P1]:[P15]])</f>
        <v>5</v>
      </c>
      <c r="J25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26" s="4" t="s">
        <v>12</v>
      </c>
      <c r="M2526" s="4" t="s">
        <v>13</v>
      </c>
      <c r="N2526" s="4" t="s">
        <v>15</v>
      </c>
      <c r="O2526" s="4" t="s">
        <v>16</v>
      </c>
      <c r="P2526" s="4" t="s">
        <v>14</v>
      </c>
    </row>
    <row r="2527" spans="1:26">
      <c r="A2527" s="15" t="s">
        <v>6649</v>
      </c>
      <c r="B2527" s="15" t="s">
        <v>6648</v>
      </c>
      <c r="C2527" s="2" t="str">
        <f>RIGHT(ProductInfo[[#This Row],[Drawing No]],1)</f>
        <v>0</v>
      </c>
      <c r="D2527" s="191" t="s">
        <v>6646</v>
      </c>
      <c r="E2527" s="16"/>
      <c r="F2527" s="23"/>
      <c r="G2527" s="31" t="s">
        <v>6034</v>
      </c>
      <c r="H2527" s="31" t="s">
        <v>6647</v>
      </c>
      <c r="I2527" s="1"/>
      <c r="J2527" s="1"/>
      <c r="K2527" s="1"/>
      <c r="L2527" s="4" t="s">
        <v>15</v>
      </c>
    </row>
    <row r="2528" spans="1:26">
      <c r="A2528" s="33" t="s">
        <v>6615</v>
      </c>
      <c r="B2528" s="82" t="s">
        <v>6614</v>
      </c>
      <c r="C2528" s="2" t="str">
        <f>RIGHT(ProductInfo[[#This Row],[Drawing No]],1)</f>
        <v>0</v>
      </c>
      <c r="D2528" s="191" t="s">
        <v>6616</v>
      </c>
      <c r="E2528" s="16" t="s">
        <v>3441</v>
      </c>
      <c r="F2528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28" s="31" t="s">
        <v>6642</v>
      </c>
      <c r="H2528" s="31" t="s">
        <v>6273</v>
      </c>
      <c r="I2528" s="1">
        <f>COUNTA(ProductInfo[[#This Row],[P1]:[P15]])</f>
        <v>5</v>
      </c>
      <c r="J25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28" s="4" t="s">
        <v>12</v>
      </c>
      <c r="M2528" s="4" t="s">
        <v>13</v>
      </c>
      <c r="N2528" s="4" t="s">
        <v>15</v>
      </c>
      <c r="O2528" s="4" t="s">
        <v>16</v>
      </c>
      <c r="P2528" s="4" t="s">
        <v>14</v>
      </c>
    </row>
    <row r="2529" spans="1:16">
      <c r="A2529" s="33" t="s">
        <v>6618</v>
      </c>
      <c r="B2529" s="82" t="s">
        <v>6617</v>
      </c>
      <c r="C2529" s="2" t="str">
        <f>RIGHT(ProductInfo[[#This Row],[Drawing No]],1)</f>
        <v>0</v>
      </c>
      <c r="D2529" s="191" t="s">
        <v>6619</v>
      </c>
      <c r="E2529" s="16" t="s">
        <v>3421</v>
      </c>
      <c r="F2529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529" s="31" t="s">
        <v>6228</v>
      </c>
      <c r="H2529" s="31" t="s">
        <v>6643</v>
      </c>
      <c r="I2529" s="1">
        <f>COUNTA(ProductInfo[[#This Row],[P1]:[P15]])</f>
        <v>0</v>
      </c>
      <c r="J25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29" s="4"/>
    </row>
    <row r="2530" spans="1:16" ht="19.8">
      <c r="A2530" s="33" t="s">
        <v>6621</v>
      </c>
      <c r="B2530" s="82" t="s">
        <v>6620</v>
      </c>
      <c r="C2530" s="2" t="str">
        <f>RIGHT(ProductInfo[[#This Row],[Drawing No]],1)</f>
        <v>0</v>
      </c>
      <c r="D2530" s="191" t="s">
        <v>6526</v>
      </c>
      <c r="E2530" s="121" t="s">
        <v>6650</v>
      </c>
      <c r="F2530" s="23" t="str">
        <f>IFERROR(INDEX(MaterialCode[รายละเอียด],MATCH(ProductInfo[[#This Row],[Material Code]],MaterialCode[Material Code],0)),"ไม่พบวัตถุดิบ")</f>
        <v>เพลาอลูมีเนี่ยมโต 70.3 มม.</v>
      </c>
      <c r="G2530" s="31" t="s">
        <v>6642</v>
      </c>
      <c r="H2530" s="31" t="s">
        <v>6643</v>
      </c>
      <c r="I2530" s="1">
        <f>COUNTA(ProductInfo[[#This Row],[P1]:[P15]])</f>
        <v>5</v>
      </c>
      <c r="J25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30" s="4" t="s">
        <v>12</v>
      </c>
      <c r="M2530" s="4" t="s">
        <v>13</v>
      </c>
      <c r="N2530" s="4" t="s">
        <v>15</v>
      </c>
      <c r="O2530" s="4" t="s">
        <v>16</v>
      </c>
      <c r="P2530" s="4" t="s">
        <v>14</v>
      </c>
    </row>
    <row r="2531" spans="1:16">
      <c r="A2531" s="33" t="s">
        <v>6623</v>
      </c>
      <c r="B2531" s="82" t="s">
        <v>6622</v>
      </c>
      <c r="C2531" s="2" t="str">
        <f>RIGHT(ProductInfo[[#This Row],[Drawing No]],1)</f>
        <v>0</v>
      </c>
      <c r="D2531" s="191" t="s">
        <v>6624</v>
      </c>
      <c r="E2531" s="16" t="s">
        <v>3439</v>
      </c>
      <c r="F2531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531" s="31" t="s">
        <v>6645</v>
      </c>
      <c r="H2531" s="31" t="s">
        <v>5999</v>
      </c>
      <c r="I2531" s="1">
        <f>COUNTA(ProductInfo[[#This Row],[P1]:[P15]])</f>
        <v>3</v>
      </c>
      <c r="J25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31" s="4" t="s">
        <v>12</v>
      </c>
      <c r="M2531" s="4" t="s">
        <v>13</v>
      </c>
      <c r="N2531" s="4" t="s">
        <v>15</v>
      </c>
    </row>
    <row r="2532" spans="1:16">
      <c r="A2532" s="33" t="s">
        <v>6626</v>
      </c>
      <c r="B2532" s="82" t="s">
        <v>6625</v>
      </c>
      <c r="C2532" s="2" t="str">
        <f>RIGHT(ProductInfo[[#This Row],[Drawing No]],1)</f>
        <v>0</v>
      </c>
      <c r="D2532" s="191" t="s">
        <v>6470</v>
      </c>
      <c r="E2532" s="16" t="s">
        <v>3441</v>
      </c>
      <c r="F2532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32" s="31" t="s">
        <v>6674</v>
      </c>
      <c r="H2532" s="31" t="s">
        <v>6210</v>
      </c>
      <c r="I2532" s="1">
        <f>COUNTA(ProductInfo[[#This Row],[P1]:[P15]])</f>
        <v>4</v>
      </c>
      <c r="J25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32" s="4" t="s">
        <v>12</v>
      </c>
      <c r="M2532" s="4" t="s">
        <v>13</v>
      </c>
      <c r="N2532" s="4" t="s">
        <v>15</v>
      </c>
      <c r="O2532" s="4" t="s">
        <v>14</v>
      </c>
    </row>
    <row r="2533" spans="1:16">
      <c r="A2533" s="33" t="s">
        <v>6627</v>
      </c>
      <c r="B2533" s="82" t="s">
        <v>6625</v>
      </c>
      <c r="C2533" s="2" t="str">
        <f>RIGHT(ProductInfo[[#This Row],[Drawing No]],1)</f>
        <v>0</v>
      </c>
      <c r="D2533" s="191" t="s">
        <v>6472</v>
      </c>
      <c r="E2533" s="16" t="s">
        <v>3441</v>
      </c>
      <c r="F2533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33" s="31" t="s">
        <v>6477</v>
      </c>
      <c r="H2533" s="31" t="s">
        <v>6210</v>
      </c>
      <c r="I2533" s="1">
        <f>COUNTA(ProductInfo[[#This Row],[P1]:[P15]])</f>
        <v>4</v>
      </c>
      <c r="J25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33" s="4" t="s">
        <v>12</v>
      </c>
      <c r="M2533" s="4" t="s">
        <v>13</v>
      </c>
      <c r="N2533" s="4" t="s">
        <v>15</v>
      </c>
      <c r="O2533" s="4" t="s">
        <v>14</v>
      </c>
    </row>
    <row r="2534" spans="1:16">
      <c r="A2534" s="33" t="s">
        <v>6628</v>
      </c>
      <c r="B2534" s="82" t="s">
        <v>6696</v>
      </c>
      <c r="C2534" s="2" t="str">
        <f>RIGHT(ProductInfo[[#This Row],[Drawing No]],1)</f>
        <v>1</v>
      </c>
      <c r="D2534" s="191" t="s">
        <v>6629</v>
      </c>
      <c r="E2534" s="16" t="s">
        <v>3529</v>
      </c>
      <c r="F2534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534" s="31" t="s">
        <v>6644</v>
      </c>
      <c r="H2534" s="31" t="s">
        <v>4899</v>
      </c>
      <c r="I2534" s="1">
        <f>COUNTA(ProductInfo[[#This Row],[P1]:[P15]])</f>
        <v>3</v>
      </c>
      <c r="J25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34" s="4" t="s">
        <v>12</v>
      </c>
      <c r="M2534" s="4" t="s">
        <v>13</v>
      </c>
      <c r="N2534" s="4" t="s">
        <v>15</v>
      </c>
    </row>
    <row r="2535" spans="1:16">
      <c r="A2535" s="33" t="s">
        <v>6631</v>
      </c>
      <c r="B2535" s="82" t="s">
        <v>6630</v>
      </c>
      <c r="C2535" s="2" t="str">
        <f>RIGHT(ProductInfo[[#This Row],[Drawing No]],1)</f>
        <v>0</v>
      </c>
      <c r="D2535" s="191" t="s">
        <v>6632</v>
      </c>
      <c r="E2535" s="16"/>
      <c r="F253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35" s="31"/>
      <c r="H2535" s="31"/>
      <c r="I2535" s="1">
        <f>COUNTA(ProductInfo[[#This Row],[P1]:[P15]])</f>
        <v>0</v>
      </c>
      <c r="J25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35" s="4"/>
    </row>
    <row r="2536" spans="1:16">
      <c r="A2536" s="33" t="s">
        <v>6634</v>
      </c>
      <c r="B2536" s="82" t="s">
        <v>6633</v>
      </c>
      <c r="C2536" s="2" t="str">
        <f>RIGHT(ProductInfo[[#This Row],[Drawing No]],1)</f>
        <v>0</v>
      </c>
      <c r="D2536" s="191" t="s">
        <v>6635</v>
      </c>
      <c r="E2536" s="16" t="s">
        <v>3421</v>
      </c>
      <c r="F2536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536" s="31" t="s">
        <v>6224</v>
      </c>
      <c r="H2536" s="31" t="s">
        <v>6681</v>
      </c>
      <c r="I2536" s="1">
        <f>COUNTA(ProductInfo[[#This Row],[P1]:[P15]])</f>
        <v>4</v>
      </c>
      <c r="J25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5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536" s="4" t="s">
        <v>12</v>
      </c>
      <c r="M2536" s="4" t="s">
        <v>15</v>
      </c>
      <c r="N2536" s="4" t="s">
        <v>16</v>
      </c>
      <c r="O2536" s="4" t="s">
        <v>19</v>
      </c>
    </row>
    <row r="2537" spans="1:16">
      <c r="A2537" s="33" t="s">
        <v>6637</v>
      </c>
      <c r="B2537" s="72" t="s">
        <v>6636</v>
      </c>
      <c r="C2537" s="2" t="str">
        <f>RIGHT(ProductInfo[[#This Row],[Drawing No]],1)</f>
        <v>0</v>
      </c>
      <c r="D2537" s="191" t="s">
        <v>6516</v>
      </c>
      <c r="E2537" s="16"/>
      <c r="F253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37" s="31"/>
      <c r="H2537" s="31"/>
      <c r="I2537" s="1">
        <f>COUNTA(ProductInfo[[#This Row],[P1]:[P15]])</f>
        <v>0</v>
      </c>
      <c r="J25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37" s="4"/>
    </row>
    <row r="2538" spans="1:16">
      <c r="A2538" s="33" t="s">
        <v>6639</v>
      </c>
      <c r="B2538" s="72" t="s">
        <v>6638</v>
      </c>
      <c r="C2538" s="2" t="str">
        <f>RIGHT(ProductInfo[[#This Row],[Drawing No]],1)</f>
        <v>0</v>
      </c>
      <c r="D2538" s="191" t="s">
        <v>6513</v>
      </c>
      <c r="E2538" s="16"/>
      <c r="F25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38" s="31"/>
      <c r="H2538" s="31"/>
      <c r="I2538" s="1">
        <f>COUNTA(ProductInfo[[#This Row],[P1]:[P15]])</f>
        <v>0</v>
      </c>
      <c r="J25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38" s="4"/>
    </row>
    <row r="2539" spans="1:16">
      <c r="A2539" s="33" t="s">
        <v>6641</v>
      </c>
      <c r="B2539" s="72" t="s">
        <v>6640</v>
      </c>
      <c r="C2539" s="2" t="str">
        <f>RIGHT(ProductInfo[[#This Row],[Drawing No]],1)</f>
        <v>0</v>
      </c>
      <c r="D2539" s="191" t="s">
        <v>6786</v>
      </c>
      <c r="E2539" s="16" t="s">
        <v>3559</v>
      </c>
      <c r="F2539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39" s="31" t="s">
        <v>6785</v>
      </c>
      <c r="H2539" s="31" t="s">
        <v>4899</v>
      </c>
      <c r="I2539" s="1">
        <f>COUNTA(ProductInfo[[#This Row],[P1]:[P15]])</f>
        <v>4</v>
      </c>
      <c r="J25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39" s="7" t="s">
        <v>12</v>
      </c>
      <c r="M2539" s="4" t="s">
        <v>13</v>
      </c>
      <c r="N2539" s="4" t="s">
        <v>15</v>
      </c>
      <c r="O2539" s="4" t="s">
        <v>14</v>
      </c>
    </row>
    <row r="2540" spans="1:16">
      <c r="A2540" s="33" t="s">
        <v>6653</v>
      </c>
      <c r="B2540" s="82" t="s">
        <v>6652</v>
      </c>
      <c r="C2540" s="2" t="str">
        <f>RIGHT(ProductInfo[[#This Row],[Drawing No]],1)</f>
        <v>0</v>
      </c>
      <c r="D2540" s="191" t="s">
        <v>6654</v>
      </c>
      <c r="E2540" s="16" t="s">
        <v>6529</v>
      </c>
      <c r="F254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40" s="31">
        <v>67.5</v>
      </c>
      <c r="H2540" s="31">
        <v>100</v>
      </c>
      <c r="I2540" s="1">
        <f>COUNTA(ProductInfo[[#This Row],[P1]:[P15]])</f>
        <v>4</v>
      </c>
      <c r="J25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0" s="4" t="s">
        <v>12</v>
      </c>
      <c r="M2540" s="4" t="s">
        <v>13</v>
      </c>
      <c r="N2540" s="4" t="s">
        <v>15</v>
      </c>
      <c r="O2540" s="4" t="s">
        <v>16</v>
      </c>
    </row>
    <row r="2541" spans="1:16">
      <c r="A2541" s="15" t="s">
        <v>6656</v>
      </c>
      <c r="B2541" s="21" t="s">
        <v>6655</v>
      </c>
      <c r="C2541" s="2" t="str">
        <f>RIGHT(ProductInfo[[#This Row],[Drawing No]],1)</f>
        <v>0</v>
      </c>
      <c r="D2541" s="191" t="s">
        <v>3009</v>
      </c>
      <c r="E2541" s="16" t="s">
        <v>6529</v>
      </c>
      <c r="F254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41" s="31">
        <v>67.5</v>
      </c>
      <c r="H2541" s="31">
        <v>100</v>
      </c>
      <c r="I2541" s="1">
        <f>COUNTA(ProductInfo[[#This Row],[P1]:[P15]])</f>
        <v>4</v>
      </c>
      <c r="J25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1" s="7" t="s">
        <v>12</v>
      </c>
      <c r="M2541" s="7" t="s">
        <v>13</v>
      </c>
      <c r="N2541" s="7" t="s">
        <v>15</v>
      </c>
      <c r="O2541" s="7" t="s">
        <v>16</v>
      </c>
      <c r="P2541" s="7"/>
    </row>
    <row r="2542" spans="1:16">
      <c r="A2542" s="33" t="s">
        <v>6612</v>
      </c>
      <c r="B2542" s="82" t="s">
        <v>6658</v>
      </c>
      <c r="C2542" s="2" t="str">
        <f>RIGHT(ProductInfo[[#This Row],[Drawing No]],1)</f>
        <v>1</v>
      </c>
      <c r="D2542" s="191" t="s">
        <v>6659</v>
      </c>
      <c r="E2542" s="16" t="s">
        <v>6529</v>
      </c>
      <c r="F2542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42" s="31" t="s">
        <v>6280</v>
      </c>
      <c r="H2542" s="31" t="s">
        <v>5999</v>
      </c>
      <c r="I2542" s="1">
        <f>COUNTA(ProductInfo[[#This Row],[P1]:[P15]])</f>
        <v>5</v>
      </c>
      <c r="J25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2" s="4" t="s">
        <v>12</v>
      </c>
      <c r="M2542" s="4" t="s">
        <v>13</v>
      </c>
      <c r="N2542" s="4" t="s">
        <v>15</v>
      </c>
      <c r="O2542" s="4" t="s">
        <v>16</v>
      </c>
      <c r="P2542" s="4" t="s">
        <v>14</v>
      </c>
    </row>
    <row r="2543" spans="1:16">
      <c r="A2543" s="15" t="s">
        <v>6661</v>
      </c>
      <c r="B2543" s="21" t="s">
        <v>6660</v>
      </c>
      <c r="C2543" s="2" t="str">
        <f>RIGHT(ProductInfo[[#This Row],[Drawing No]],1)</f>
        <v>0</v>
      </c>
      <c r="D2543" s="191" t="s">
        <v>4772</v>
      </c>
      <c r="E2543" s="16" t="s">
        <v>5665</v>
      </c>
      <c r="F2543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543" s="31">
        <v>1</v>
      </c>
      <c r="H2543" s="31">
        <v>40</v>
      </c>
      <c r="I2543" s="1">
        <f>COUNTA(ProductInfo[[#This Row],[P1]:[P15]])</f>
        <v>5</v>
      </c>
      <c r="J25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543" s="4" t="s">
        <v>12</v>
      </c>
      <c r="M2543" s="7" t="s">
        <v>13</v>
      </c>
      <c r="N2543" s="4" t="s">
        <v>15</v>
      </c>
      <c r="O2543" s="4" t="s">
        <v>16</v>
      </c>
      <c r="P2543" s="7" t="s">
        <v>19</v>
      </c>
    </row>
    <row r="2544" spans="1:16" ht="14.4">
      <c r="A2544" s="33" t="s">
        <v>6671</v>
      </c>
      <c r="B2544" s="21" t="s">
        <v>6670</v>
      </c>
      <c r="C2544" s="2" t="str">
        <f>RIGHT(ProductInfo[[#This Row],[Drawing No]],1)</f>
        <v>0</v>
      </c>
      <c r="D2544" s="84" t="s">
        <v>6524</v>
      </c>
      <c r="E2544" s="18" t="s">
        <v>3476</v>
      </c>
      <c r="F2544" s="23" t="str">
        <f>IFERROR(INDEX(MaterialCode[รายละเอียด],MATCH(ProductInfo[[#This Row],[Material Code]],MaterialCode[Material Code],0)),"ไม่พบวัตถุดิบ")</f>
        <v>ท่ออลูมีเนียมโต 25.8 มม.xรูใน 19.8 มม.</v>
      </c>
      <c r="G2544" s="3">
        <v>353</v>
      </c>
      <c r="H2544" s="31"/>
      <c r="I2544" s="1">
        <f>COUNTA(ProductInfo[[#This Row],[P1]:[P15]])</f>
        <v>2</v>
      </c>
      <c r="J25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44" s="4" t="s">
        <v>12</v>
      </c>
      <c r="M2544" s="4" t="s">
        <v>13</v>
      </c>
    </row>
    <row r="2545" spans="1:26" ht="25.8">
      <c r="A2545" s="15" t="s">
        <v>6676</v>
      </c>
      <c r="B2545" s="21" t="s">
        <v>6675</v>
      </c>
      <c r="C2545" s="2" t="str">
        <f>RIGHT(ProductInfo[[#This Row],[Drawing No]],1)</f>
        <v>0</v>
      </c>
      <c r="D2545" s="191" t="s">
        <v>2352</v>
      </c>
      <c r="E2545" s="209" t="s">
        <v>3439</v>
      </c>
      <c r="F2545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545" s="31">
        <v>30</v>
      </c>
      <c r="H2545" s="31"/>
      <c r="I2545" s="1">
        <f>COUNTA(ProductInfo[[#This Row],[P1]:[P15]])</f>
        <v>4</v>
      </c>
      <c r="J25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5" s="7" t="s">
        <v>12</v>
      </c>
      <c r="M2545" s="7" t="s">
        <v>13</v>
      </c>
      <c r="N2545" s="7" t="s">
        <v>15</v>
      </c>
      <c r="O2545" s="7" t="s">
        <v>16</v>
      </c>
    </row>
    <row r="2546" spans="1:26" s="1" customFormat="1">
      <c r="A2546" s="8" t="s">
        <v>6682</v>
      </c>
      <c r="B2546" s="8" t="s">
        <v>4346</v>
      </c>
      <c r="C2546" s="1" t="str">
        <f>RIGHT(ProductInfo[[#This Row],[Drawing No]],1)</f>
        <v>0</v>
      </c>
      <c r="D2546" s="179" t="s">
        <v>6684</v>
      </c>
      <c r="E2546" s="18" t="s">
        <v>3559</v>
      </c>
      <c r="F2546" s="26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46" s="3">
        <v>172</v>
      </c>
      <c r="H2546" s="3">
        <v>100</v>
      </c>
      <c r="I2546" s="1">
        <f>COUNTA(ProductInfo[[#This Row],[P1]:[P15]])</f>
        <v>2</v>
      </c>
      <c r="J25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46" s="7" t="s">
        <v>12</v>
      </c>
      <c r="M2546" s="7" t="s">
        <v>13</v>
      </c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>
      <c r="A2547" s="33" t="s">
        <v>6685</v>
      </c>
      <c r="B2547" s="82" t="s">
        <v>6686</v>
      </c>
      <c r="C2547" s="2" t="str">
        <f>RIGHT(ProductInfo[[#This Row],[Drawing No]],1)</f>
        <v>1</v>
      </c>
      <c r="D2547" s="174" t="s">
        <v>6405</v>
      </c>
      <c r="E2547" s="217" t="s">
        <v>6699</v>
      </c>
      <c r="F2547" s="218" t="str">
        <f>IFERROR(INDEX(MaterialCode[รายละเอียด],MATCH(ProductInfo[[#This Row],[Material Code]],MaterialCode[Material Code],0)),"ไม่พบวัตถุดิบ")</f>
        <v>MATT FORDGE G M35 NEW 2024</v>
      </c>
      <c r="G2547" s="31"/>
      <c r="H2547" s="31"/>
      <c r="I2547" s="1">
        <f>COUNTA(ProductInfo[[#This Row],[P1]:[P15]])</f>
        <v>5</v>
      </c>
      <c r="J25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547" s="7" t="s">
        <v>12</v>
      </c>
      <c r="M2547" s="7" t="s">
        <v>13</v>
      </c>
      <c r="N2547" s="7" t="s">
        <v>15</v>
      </c>
      <c r="O2547" s="4" t="s">
        <v>16</v>
      </c>
      <c r="P2547" s="4" t="s">
        <v>19</v>
      </c>
      <c r="Q2547" s="7"/>
    </row>
    <row r="2548" spans="1:26" ht="14.4">
      <c r="A2548" s="33" t="s">
        <v>6688</v>
      </c>
      <c r="B2548" s="82" t="s">
        <v>6687</v>
      </c>
      <c r="C2548" s="2" t="str">
        <f>RIGHT(ProductInfo[[#This Row],[Drawing No]],1)</f>
        <v>0</v>
      </c>
      <c r="D2548" s="84" t="s">
        <v>6526</v>
      </c>
      <c r="E2548" s="16" t="s">
        <v>3421</v>
      </c>
      <c r="F2548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548" s="31" t="s">
        <v>6256</v>
      </c>
      <c r="H2548" s="31" t="s">
        <v>6643</v>
      </c>
      <c r="I2548" s="1">
        <f>COUNTA(ProductInfo[[#This Row],[P1]:[P15]])</f>
        <v>5</v>
      </c>
      <c r="J25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8" s="7" t="s">
        <v>12</v>
      </c>
      <c r="M2548" s="7" t="s">
        <v>13</v>
      </c>
      <c r="N2548" s="7" t="s">
        <v>15</v>
      </c>
      <c r="O2548" s="4" t="s">
        <v>16</v>
      </c>
      <c r="P2548" s="4" t="s">
        <v>14</v>
      </c>
      <c r="Q2548" s="7"/>
    </row>
    <row r="2549" spans="1:26" ht="14.4">
      <c r="A2549" s="54" t="s">
        <v>6694</v>
      </c>
      <c r="B2549" s="8" t="s">
        <v>6693</v>
      </c>
      <c r="C2549" s="2" t="str">
        <f>RIGHT(ProductInfo[[#This Row],[Drawing No]],1)</f>
        <v>0</v>
      </c>
      <c r="D2549" s="84" t="s">
        <v>6695</v>
      </c>
      <c r="E2549" s="16" t="s">
        <v>4524</v>
      </c>
      <c r="F2549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549" s="31" t="s">
        <v>6698</v>
      </c>
      <c r="H2549" s="31" t="s">
        <v>6208</v>
      </c>
      <c r="I2549" s="1">
        <f>COUNTA(ProductInfo[[#This Row],[P1]:[P15]])</f>
        <v>4</v>
      </c>
      <c r="J25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49" s="7" t="s">
        <v>15</v>
      </c>
      <c r="M2549" s="7" t="s">
        <v>12</v>
      </c>
      <c r="N2549" s="7" t="s">
        <v>13</v>
      </c>
      <c r="O2549" s="4" t="s">
        <v>16</v>
      </c>
      <c r="Q2549" s="7"/>
    </row>
    <row r="2550" spans="1:26">
      <c r="A2550" s="54" t="s">
        <v>2251</v>
      </c>
      <c r="B2550" s="8" t="s">
        <v>3661</v>
      </c>
      <c r="C2550" s="2" t="str">
        <f>RIGHT(ProductInfo[[#This Row],[Drawing No]],1)</f>
        <v>8</v>
      </c>
      <c r="D2550" s="174" t="s">
        <v>6697</v>
      </c>
      <c r="E2550" s="16" t="s">
        <v>6530</v>
      </c>
      <c r="F2550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550" s="31" t="s">
        <v>5664</v>
      </c>
      <c r="H2550" s="31" t="s">
        <v>5999</v>
      </c>
      <c r="I2550" s="1">
        <f>COUNTA(ProductInfo[[#This Row],[P1]:[P15]])</f>
        <v>4</v>
      </c>
      <c r="J25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50" s="7" t="s">
        <v>12</v>
      </c>
      <c r="M2550" s="7" t="s">
        <v>13</v>
      </c>
      <c r="N2550" s="7" t="s">
        <v>15</v>
      </c>
      <c r="O2550" s="4" t="s">
        <v>16</v>
      </c>
      <c r="Q2550" s="7"/>
    </row>
    <row r="2551" spans="1:26">
      <c r="A2551" s="33" t="s">
        <v>6705</v>
      </c>
      <c r="B2551" s="82" t="s">
        <v>6704</v>
      </c>
      <c r="C2551" s="2" t="str">
        <f>RIGHT(ProductInfo[[#This Row],[Drawing No]],1)</f>
        <v>0</v>
      </c>
      <c r="D2551" s="191" t="s">
        <v>6706</v>
      </c>
      <c r="E2551" s="16" t="s">
        <v>4561</v>
      </c>
      <c r="F2551" s="23" t="str">
        <f>IFERROR(INDEX(MaterialCode[รายละเอียด],MATCH(ProductInfo[[#This Row],[Material Code]],MaterialCode[Material Code],0)),"ไม่พบวัตถุดิบ")</f>
        <v>เพลาอลูมิเนียมโต 55 มม.</v>
      </c>
      <c r="G2551" s="31" t="s">
        <v>6707</v>
      </c>
      <c r="H2551" s="31" t="s">
        <v>6207</v>
      </c>
      <c r="I2551" s="1">
        <f>COUNTA(ProductInfo[[#This Row],[P1]:[P15]])</f>
        <v>5</v>
      </c>
      <c r="J25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51" s="4" t="s">
        <v>12</v>
      </c>
      <c r="M2551" s="4" t="s">
        <v>13</v>
      </c>
      <c r="N2551" s="4" t="s">
        <v>15</v>
      </c>
      <c r="O2551" s="4" t="s">
        <v>16</v>
      </c>
      <c r="P2551" s="4" t="s">
        <v>14</v>
      </c>
    </row>
    <row r="2552" spans="1:26" ht="14.4">
      <c r="A2552" s="33" t="s">
        <v>6709</v>
      </c>
      <c r="B2552" s="82" t="s">
        <v>6708</v>
      </c>
      <c r="C2552" s="2" t="str">
        <f>RIGHT(ProductInfo[[#This Row],[Drawing No]],1)</f>
        <v>0</v>
      </c>
      <c r="D2552" s="84" t="s">
        <v>6711</v>
      </c>
      <c r="E2552" s="16" t="s">
        <v>3559</v>
      </c>
      <c r="F2552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52" s="31" t="s">
        <v>6212</v>
      </c>
      <c r="H2552" s="31" t="s">
        <v>4899</v>
      </c>
      <c r="I2552" s="1">
        <f>COUNTA(ProductInfo[[#This Row],[P1]:[P15]])</f>
        <v>2</v>
      </c>
      <c r="J25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52" s="4" t="s">
        <v>12</v>
      </c>
      <c r="M2552" s="4" t="s">
        <v>13</v>
      </c>
    </row>
    <row r="2553" spans="1:26" ht="14.4">
      <c r="A2553" s="33" t="s">
        <v>6716</v>
      </c>
      <c r="B2553" s="82" t="s">
        <v>6715</v>
      </c>
      <c r="C2553" s="2" t="str">
        <f>RIGHT(ProductInfo[[#This Row],[Drawing No]],1)</f>
        <v>0</v>
      </c>
      <c r="D2553" s="84" t="s">
        <v>6717</v>
      </c>
      <c r="E2553" s="16"/>
      <c r="F255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53" s="31"/>
      <c r="H2553" s="31"/>
      <c r="I2553" s="1">
        <f>COUNTA(ProductInfo[[#This Row],[P1]:[P15]])</f>
        <v>0</v>
      </c>
      <c r="J25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53" s="4"/>
    </row>
    <row r="2554" spans="1:26" ht="14.4">
      <c r="A2554" s="33" t="s">
        <v>6719</v>
      </c>
      <c r="B2554" s="82" t="s">
        <v>6718</v>
      </c>
      <c r="C2554" s="2" t="str">
        <f>RIGHT(ProductInfo[[#This Row],[Drawing No]],1)</f>
        <v>0</v>
      </c>
      <c r="D2554" s="84" t="s">
        <v>6720</v>
      </c>
      <c r="E2554" s="16"/>
      <c r="F255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54" s="31"/>
      <c r="H2554" s="31"/>
      <c r="I2554" s="1">
        <f>COUNTA(ProductInfo[[#This Row],[P1]:[P15]])</f>
        <v>0</v>
      </c>
      <c r="J25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54" s="4"/>
    </row>
    <row r="2555" spans="1:26">
      <c r="A2555" s="33" t="s">
        <v>6725</v>
      </c>
      <c r="B2555" s="82" t="s">
        <v>6724</v>
      </c>
      <c r="C2555" s="2" t="str">
        <f>RIGHT(ProductInfo[[#This Row],[Drawing No]],1)</f>
        <v>0</v>
      </c>
      <c r="D2555" s="191" t="s">
        <v>5984</v>
      </c>
      <c r="E2555" s="16" t="s">
        <v>6529</v>
      </c>
      <c r="F255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55" s="31" t="s">
        <v>6805</v>
      </c>
      <c r="H2555" s="31" t="s">
        <v>5999</v>
      </c>
      <c r="I2555" s="1">
        <f>COUNTA(ProductInfo[[#This Row],[P1]:[P15]])</f>
        <v>4</v>
      </c>
      <c r="J25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55" s="4" t="s">
        <v>12</v>
      </c>
      <c r="M2555" s="4" t="s">
        <v>13</v>
      </c>
      <c r="N2555" s="4" t="s">
        <v>15</v>
      </c>
      <c r="O2555" s="4" t="s">
        <v>19</v>
      </c>
    </row>
    <row r="2556" spans="1:26">
      <c r="A2556" s="8" t="s">
        <v>6723</v>
      </c>
      <c r="B2556" s="8" t="s">
        <v>6898</v>
      </c>
      <c r="C2556" s="2" t="str">
        <f>RIGHT(ProductInfo[[#This Row],[Drawing No]],1)</f>
        <v>1</v>
      </c>
      <c r="D2556" s="176" t="s">
        <v>5148</v>
      </c>
      <c r="E2556" s="16" t="s">
        <v>5665</v>
      </c>
      <c r="F2556" s="23" t="str">
        <f>IFERROR(INDEX(MaterialCode[รายละเอียด],MATCH(ProductInfo[[#This Row],[Material Code]],MaterialCode[Material Code],0)),"ไม่พบวัตถุดิบ")</f>
        <v>MATT FORDGE G/C M35 NEW 2023 SET C JUMBO</v>
      </c>
      <c r="G2556" s="59">
        <v>1</v>
      </c>
      <c r="H2556" s="59">
        <v>40</v>
      </c>
      <c r="I2556" s="1">
        <f>COUNTA(ProductInfo[[#This Row],[P1]:[P15]])</f>
        <v>5</v>
      </c>
      <c r="J25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3</v>
      </c>
      <c r="L2556" s="4" t="s">
        <v>12</v>
      </c>
      <c r="M2556" s="4" t="s">
        <v>13</v>
      </c>
      <c r="N2556" s="4" t="s">
        <v>15</v>
      </c>
      <c r="O2556" s="4" t="s">
        <v>16</v>
      </c>
      <c r="P2556" s="7" t="s">
        <v>19</v>
      </c>
    </row>
    <row r="2557" spans="1:26">
      <c r="A2557" s="15" t="s">
        <v>6702</v>
      </c>
      <c r="B2557" s="21" t="s">
        <v>6701</v>
      </c>
      <c r="C2557" s="2" t="str">
        <f>RIGHT(ProductInfo[[#This Row],[Drawing No]],1)</f>
        <v>0</v>
      </c>
      <c r="D2557" s="191" t="s">
        <v>3247</v>
      </c>
      <c r="E2557" s="16" t="s">
        <v>3718</v>
      </c>
      <c r="F2557" s="23" t="str">
        <f>IFERROR(INDEX(MaterialCode[รายละเอียด],MATCH(ProductInfo[[#This Row],[Material Code]],MaterialCode[Material Code],0)),"ไม่พบวัตถุดิบ")</f>
        <v>MATT FORDGE G M35</v>
      </c>
      <c r="G2557" s="31"/>
      <c r="H2557" s="31">
        <v>50</v>
      </c>
      <c r="I2557" s="1">
        <f>COUNTA(ProductInfo[[#This Row],[P1]:[P15]])</f>
        <v>5</v>
      </c>
      <c r="J25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57" s="7" t="s">
        <v>12</v>
      </c>
      <c r="M2557" s="7" t="s">
        <v>13</v>
      </c>
      <c r="N2557" s="7" t="s">
        <v>14</v>
      </c>
      <c r="O2557" s="4" t="s">
        <v>15</v>
      </c>
      <c r="P2557" s="4" t="s">
        <v>16</v>
      </c>
    </row>
    <row r="2558" spans="1:26">
      <c r="A2558" s="54" t="s">
        <v>6722</v>
      </c>
      <c r="B2558" s="8" t="s">
        <v>6721</v>
      </c>
      <c r="C2558" s="2" t="str">
        <f>RIGHT(ProductInfo[[#This Row],[Drawing No]],1)</f>
        <v>0</v>
      </c>
      <c r="D2558" s="180" t="s">
        <v>3816</v>
      </c>
      <c r="E2558" s="18" t="s">
        <v>3718</v>
      </c>
      <c r="F2558" s="26" t="str">
        <f>IFERROR(INDEX(MaterialCode[รายละเอียด],MATCH(ProductInfo[[#This Row],[Material Code]],MaterialCode[Material Code],0)),"ไม่พบวัตถุดิบ")</f>
        <v>MATT FORDGE G M35</v>
      </c>
      <c r="G2558" s="32"/>
      <c r="H2558" s="3">
        <v>50</v>
      </c>
      <c r="I2558" s="1">
        <f>COUNTA(ProductInfo[[#This Row],[P1]:[P15]])</f>
        <v>5</v>
      </c>
      <c r="J25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58" s="7" t="s">
        <v>12</v>
      </c>
      <c r="M2558" s="7" t="s">
        <v>13</v>
      </c>
      <c r="N2558" s="7" t="s">
        <v>14</v>
      </c>
      <c r="O2558" s="4" t="s">
        <v>15</v>
      </c>
      <c r="P2558" s="4" t="s">
        <v>16</v>
      </c>
    </row>
    <row r="2559" spans="1:26" ht="14.4">
      <c r="A2559" s="33" t="s">
        <v>6727</v>
      </c>
      <c r="B2559" s="72" t="s">
        <v>6726</v>
      </c>
      <c r="C2559" s="2" t="str">
        <f>RIGHT(ProductInfo[[#This Row],[Drawing No]],1)</f>
        <v>0</v>
      </c>
      <c r="D2559" s="68" t="s">
        <v>5607</v>
      </c>
      <c r="E2559" s="16" t="s">
        <v>5608</v>
      </c>
      <c r="F2559" s="23" t="str">
        <f>IFERROR(INDEX(MaterialCode[รายละเอียด],MATCH(ProductInfo[[#This Row],[Material Code]],MaterialCode[Material Code],0)),"ไม่พบวัตถุดิบ")</f>
        <v>ท่ออลูมิเนียม 62x33.5 หกแฉก</v>
      </c>
      <c r="G2559" s="31" t="s">
        <v>4646</v>
      </c>
      <c r="H2559" s="31" t="s">
        <v>4899</v>
      </c>
      <c r="I2559" s="1">
        <f>COUNTA(ProductInfo[[#This Row],[P1]:[P15]])</f>
        <v>3</v>
      </c>
      <c r="J25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59" s="7" t="s">
        <v>12</v>
      </c>
      <c r="M2559" s="7" t="s">
        <v>13</v>
      </c>
      <c r="N2559" s="7" t="s">
        <v>15</v>
      </c>
    </row>
    <row r="2560" spans="1:26">
      <c r="A2560" s="33" t="s">
        <v>6735</v>
      </c>
      <c r="B2560" s="82" t="s">
        <v>6419</v>
      </c>
      <c r="C2560" s="2" t="str">
        <f>RIGHT(ProductInfo[[#This Row],[Drawing No]],1)</f>
        <v>1</v>
      </c>
      <c r="D2560" s="205" t="s">
        <v>6730</v>
      </c>
      <c r="E2560" s="16" t="s">
        <v>6728</v>
      </c>
      <c r="F2560" s="23" t="str">
        <f>IFERROR(INDEX(MaterialCode[รายละเอียด],MATCH(ProductInfo[[#This Row],[Material Code]],MaterialCode[Material Code],0)),"ไม่พบวัตถุดิบ")</f>
        <v>เพลาอลูมีเนี่ยมเส้นแบน 34.5 มม.xหนา 18.5 มม.</v>
      </c>
      <c r="G2560" s="59">
        <v>56</v>
      </c>
      <c r="H2560" s="59">
        <v>100</v>
      </c>
      <c r="I2560" s="1">
        <f>COUNTA(ProductInfo[[#This Row],[P1]:[P15]])</f>
        <v>3</v>
      </c>
      <c r="J25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60" s="4" t="s">
        <v>12</v>
      </c>
      <c r="M2560" s="4" t="s">
        <v>15</v>
      </c>
      <c r="N2560" s="4" t="s">
        <v>13</v>
      </c>
    </row>
    <row r="2561" spans="1:19">
      <c r="A2561" s="8" t="s">
        <v>6732</v>
      </c>
      <c r="B2561" s="8" t="s">
        <v>6731</v>
      </c>
      <c r="C2561" s="2" t="str">
        <f>RIGHT(ProductInfo[[#This Row],[Drawing No]],1)</f>
        <v>0</v>
      </c>
      <c r="D2561" s="176" t="s">
        <v>4368</v>
      </c>
      <c r="E2561" s="16" t="s">
        <v>4607</v>
      </c>
      <c r="F2561" s="23" t="str">
        <f>IFERROR(INDEX(MaterialCode[รายละเอียด],MATCH(ProductInfo[[#This Row],[Material Code]],MaterialCode[Material Code],0)),"ไม่พบวัตถุดิบ")</f>
        <v>ท่ออลูมีเนี่ยมโต 57 มม.xรู 38.7มม.</v>
      </c>
      <c r="G2561" s="59">
        <v>465</v>
      </c>
      <c r="H2561" s="59">
        <v>15</v>
      </c>
      <c r="I2561" s="1">
        <f>COUNTA(ProductInfo[[#This Row],[P1]:[P15]])</f>
        <v>7</v>
      </c>
      <c r="J25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7</v>
      </c>
      <c r="K25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61" s="4" t="s">
        <v>12</v>
      </c>
      <c r="M2561" s="4" t="s">
        <v>13</v>
      </c>
      <c r="N2561" s="4" t="s">
        <v>14</v>
      </c>
      <c r="O2561" s="4" t="s">
        <v>3105</v>
      </c>
      <c r="P2561" s="4" t="s">
        <v>4609</v>
      </c>
      <c r="Q2561" s="4" t="s">
        <v>4610</v>
      </c>
      <c r="R2561" s="7" t="s">
        <v>4611</v>
      </c>
    </row>
    <row r="2562" spans="1:19">
      <c r="A2562" s="54" t="s">
        <v>6733</v>
      </c>
      <c r="B2562" s="8" t="s">
        <v>6734</v>
      </c>
      <c r="C2562" s="2" t="str">
        <f>RIGHT(ProductInfo[[#This Row],[Drawing No]],1)</f>
        <v>0</v>
      </c>
      <c r="D2562" s="174" t="s">
        <v>5799</v>
      </c>
      <c r="E2562" s="16" t="s">
        <v>4522</v>
      </c>
      <c r="F2562" s="23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562" s="59">
        <v>58</v>
      </c>
      <c r="H2562" s="59">
        <v>60</v>
      </c>
      <c r="I2562" s="1">
        <f>COUNTA(ProductInfo[[#This Row],[P1]:[P15]])</f>
        <v>7</v>
      </c>
      <c r="J256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562" s="7" t="s">
        <v>15</v>
      </c>
      <c r="M2562" s="7" t="s">
        <v>12</v>
      </c>
      <c r="N2562" s="4" t="s">
        <v>13</v>
      </c>
      <c r="O2562" s="4" t="s">
        <v>16</v>
      </c>
      <c r="P2562" s="4" t="s">
        <v>19</v>
      </c>
      <c r="Q2562" s="4" t="s">
        <v>25</v>
      </c>
      <c r="R2562" s="4" t="s">
        <v>4339</v>
      </c>
    </row>
    <row r="2563" spans="1:19" ht="14.4">
      <c r="A2563" s="54" t="s">
        <v>6738</v>
      </c>
      <c r="B2563" s="8" t="s">
        <v>6737</v>
      </c>
      <c r="C2563" s="2" t="str">
        <f>RIGHT(ProductInfo[[#This Row],[Drawing No]],1)</f>
        <v>0</v>
      </c>
      <c r="D2563" s="37" t="s">
        <v>6739</v>
      </c>
      <c r="E2563" s="16" t="s">
        <v>3559</v>
      </c>
      <c r="F2563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63" s="31" t="s">
        <v>6267</v>
      </c>
      <c r="H2563" s="31" t="s">
        <v>4899</v>
      </c>
      <c r="I2563" s="1">
        <f>COUNTA(ProductInfo[[#This Row],[P1]:[P15]])</f>
        <v>2</v>
      </c>
      <c r="J25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63" s="7" t="s">
        <v>12</v>
      </c>
      <c r="M2563" s="7" t="s">
        <v>13</v>
      </c>
    </row>
    <row r="2564" spans="1:19">
      <c r="A2564" s="15" t="s">
        <v>6740</v>
      </c>
      <c r="B2564" s="8" t="s">
        <v>4579</v>
      </c>
      <c r="C2564" s="2" t="str">
        <f>RIGHT(ProductInfo[[#This Row],[Drawing No]],1)</f>
        <v>3</v>
      </c>
      <c r="D2564" s="191" t="s">
        <v>6741</v>
      </c>
      <c r="E2564" s="18" t="s">
        <v>3559</v>
      </c>
      <c r="F256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64" s="31" t="s">
        <v>6212</v>
      </c>
      <c r="H2564" s="31" t="s">
        <v>4899</v>
      </c>
      <c r="I2564" s="1">
        <f>COUNTA(ProductInfo[[#This Row],[P1]:[P15]])</f>
        <v>2</v>
      </c>
      <c r="J25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64" s="7" t="s">
        <v>12</v>
      </c>
      <c r="M2564" s="7" t="s">
        <v>13</v>
      </c>
    </row>
    <row r="2565" spans="1:19">
      <c r="A2565" s="54" t="s">
        <v>6743</v>
      </c>
      <c r="B2565" s="8" t="s">
        <v>6742</v>
      </c>
      <c r="C2565" s="2" t="str">
        <f>RIGHT(ProductInfo[[#This Row],[Drawing No]],1)</f>
        <v>0</v>
      </c>
      <c r="D2565" s="174" t="s">
        <v>5668</v>
      </c>
      <c r="E2565" s="16" t="s">
        <v>5150</v>
      </c>
      <c r="F2565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565" s="59">
        <v>68</v>
      </c>
      <c r="H2565" s="59">
        <v>60</v>
      </c>
      <c r="I2565" s="1">
        <f>COUNTA(ProductInfo[[#This Row],[P1]:[P15]])</f>
        <v>5</v>
      </c>
      <c r="J25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65" s="7" t="s">
        <v>12</v>
      </c>
      <c r="M2565" s="7" t="s">
        <v>13</v>
      </c>
      <c r="N2565" s="4" t="s">
        <v>15</v>
      </c>
      <c r="O2565" s="4" t="s">
        <v>16</v>
      </c>
      <c r="P2565" s="4" t="s">
        <v>14</v>
      </c>
    </row>
    <row r="2566" spans="1:19" ht="21.75" customHeight="1">
      <c r="A2566" s="54" t="s">
        <v>6747</v>
      </c>
      <c r="B2566" s="8" t="s">
        <v>6746</v>
      </c>
      <c r="C2566" s="2" t="str">
        <f>RIGHT(ProductInfo[[#This Row],[Drawing No]],1)</f>
        <v>0</v>
      </c>
      <c r="D2566" s="205" t="s">
        <v>5685</v>
      </c>
      <c r="E2566" s="16"/>
      <c r="F256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66" s="31"/>
      <c r="H2566" s="31"/>
      <c r="I2566" s="1">
        <f>COUNTA(ProductInfo[[#This Row],[P1]:[P15]])</f>
        <v>3</v>
      </c>
      <c r="J25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66" s="7" t="s">
        <v>12</v>
      </c>
      <c r="M2566" s="7" t="s">
        <v>13</v>
      </c>
      <c r="N2566" s="4" t="s">
        <v>15</v>
      </c>
    </row>
    <row r="2567" spans="1:19">
      <c r="A2567" s="54" t="s">
        <v>6748</v>
      </c>
      <c r="B2567" s="8" t="s">
        <v>6746</v>
      </c>
      <c r="C2567" s="2" t="str">
        <f>RIGHT(ProductInfo[[#This Row],[Drawing No]],1)</f>
        <v>0</v>
      </c>
      <c r="D2567" s="205" t="s">
        <v>6237</v>
      </c>
      <c r="E2567" s="16"/>
      <c r="F256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67" s="31"/>
      <c r="H2567" s="31"/>
      <c r="I2567" s="1">
        <f>COUNTA(ProductInfo[[#This Row],[P1]:[P15]])</f>
        <v>0</v>
      </c>
      <c r="J25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67" s="7"/>
      <c r="M2567" s="7"/>
    </row>
    <row r="2568" spans="1:19">
      <c r="A2568" s="2" t="s">
        <v>6750</v>
      </c>
      <c r="B2568" s="86" t="s">
        <v>6749</v>
      </c>
      <c r="C2568" s="2" t="str">
        <f>RIGHT(ProductInfo[[#This Row],[Drawing No]],1)</f>
        <v>0</v>
      </c>
      <c r="D2568" s="205" t="s">
        <v>6470</v>
      </c>
      <c r="E2568" s="16" t="s">
        <v>3441</v>
      </c>
      <c r="F2568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68" s="31" t="s">
        <v>6674</v>
      </c>
      <c r="H2568" s="31" t="s">
        <v>6210</v>
      </c>
      <c r="I2568" s="1">
        <f>COUNTA(ProductInfo[[#This Row],[P1]:[P15]])</f>
        <v>4</v>
      </c>
      <c r="J25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68" s="4" t="s">
        <v>12</v>
      </c>
      <c r="M2568" s="4" t="s">
        <v>13</v>
      </c>
      <c r="N2568" s="4" t="s">
        <v>15</v>
      </c>
      <c r="O2568" s="4" t="s">
        <v>14</v>
      </c>
    </row>
    <row r="2569" spans="1:19">
      <c r="A2569" s="54" t="s">
        <v>6751</v>
      </c>
      <c r="B2569" s="86" t="s">
        <v>6749</v>
      </c>
      <c r="C2569" s="2" t="str">
        <f>RIGHT(ProductInfo[[#This Row],[Drawing No]],1)</f>
        <v>0</v>
      </c>
      <c r="D2569" s="191" t="s">
        <v>6472</v>
      </c>
      <c r="E2569" s="16" t="s">
        <v>3441</v>
      </c>
      <c r="F2569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569" s="31" t="s">
        <v>6477</v>
      </c>
      <c r="H2569" s="31" t="s">
        <v>6210</v>
      </c>
      <c r="I2569" s="1">
        <f>COUNTA(ProductInfo[[#This Row],[P1]:[P15]])</f>
        <v>4</v>
      </c>
      <c r="J25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69" s="4" t="s">
        <v>12</v>
      </c>
      <c r="M2569" s="4" t="s">
        <v>13</v>
      </c>
      <c r="N2569" s="4" t="s">
        <v>15</v>
      </c>
      <c r="O2569" s="4" t="s">
        <v>14</v>
      </c>
    </row>
    <row r="2570" spans="1:19">
      <c r="A2570" s="54" t="s">
        <v>6753</v>
      </c>
      <c r="B2570" s="8" t="s">
        <v>6752</v>
      </c>
      <c r="C2570" s="2" t="str">
        <f>RIGHT(ProductInfo[[#This Row],[Drawing No]],1)</f>
        <v>0</v>
      </c>
      <c r="D2570" s="194" t="s">
        <v>2699</v>
      </c>
      <c r="E2570" s="18" t="s">
        <v>3459</v>
      </c>
      <c r="F2570" s="26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570" s="3">
        <v>60</v>
      </c>
      <c r="H2570" s="3">
        <v>110</v>
      </c>
      <c r="I2570" s="1">
        <f>COUNTA(ProductInfo[[#This Row],[P1]:[P15]])</f>
        <v>2</v>
      </c>
      <c r="J25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0" s="7" t="s">
        <v>12</v>
      </c>
      <c r="M2570" s="7" t="s">
        <v>13</v>
      </c>
    </row>
    <row r="2571" spans="1:19" ht="14.4">
      <c r="A2571" s="54" t="s">
        <v>6755</v>
      </c>
      <c r="B2571" s="8" t="s">
        <v>6756</v>
      </c>
      <c r="C2571" s="2" t="str">
        <f>RIGHT(ProductInfo[[#This Row],[Drawing No]],1)</f>
        <v>0</v>
      </c>
      <c r="D2571" s="68" t="s">
        <v>6754</v>
      </c>
      <c r="E2571" s="16" t="s">
        <v>6530</v>
      </c>
      <c r="F2571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571" s="31" t="s">
        <v>6757</v>
      </c>
      <c r="H2571" s="31" t="s">
        <v>6273</v>
      </c>
      <c r="I2571" s="1">
        <f>COUNTA(ProductInfo[[#This Row],[P1]:[P15]])</f>
        <v>0</v>
      </c>
      <c r="J25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1" s="7"/>
      <c r="M2571" s="7"/>
    </row>
    <row r="2572" spans="1:19">
      <c r="A2572" s="54" t="s">
        <v>6759</v>
      </c>
      <c r="B2572" s="8" t="s">
        <v>6758</v>
      </c>
      <c r="C2572" s="2" t="str">
        <f>RIGHT(ProductInfo[[#This Row],[Drawing No]],1)</f>
        <v>0</v>
      </c>
      <c r="D2572" s="174" t="s">
        <v>6760</v>
      </c>
      <c r="E2572" s="16" t="s">
        <v>6650</v>
      </c>
      <c r="F2572" s="23" t="str">
        <f>IFERROR(INDEX(MaterialCode[รายละเอียด],MATCH(ProductInfo[[#This Row],[Material Code]],MaterialCode[Material Code],0)),"ไม่พบวัตถุดิบ")</f>
        <v>เพลาอลูมีเนี่ยมโต 70.3 มม.</v>
      </c>
      <c r="G2572" s="31" t="s">
        <v>6761</v>
      </c>
      <c r="H2572" s="31" t="s">
        <v>6273</v>
      </c>
      <c r="I2572" s="1">
        <f>COUNTA(ProductInfo[[#This Row],[P1]:[P15]])</f>
        <v>5</v>
      </c>
      <c r="J257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7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72" s="7" t="s">
        <v>12</v>
      </c>
      <c r="M2572" s="7" t="s">
        <v>13</v>
      </c>
      <c r="N2572" s="4" t="s">
        <v>15</v>
      </c>
      <c r="O2572" s="4" t="s">
        <v>16</v>
      </c>
      <c r="P2572" s="4" t="s">
        <v>14</v>
      </c>
    </row>
    <row r="2573" spans="1:19">
      <c r="A2573" s="8" t="s">
        <v>6763</v>
      </c>
      <c r="B2573" s="8" t="s">
        <v>6762</v>
      </c>
      <c r="C2573" s="1" t="str">
        <f>RIGHT(ProductInfo[[#This Row],[Drawing No]],1)</f>
        <v>0</v>
      </c>
      <c r="D2573" s="176" t="s">
        <v>3191</v>
      </c>
      <c r="E2573" s="16" t="s">
        <v>3540</v>
      </c>
      <c r="F2573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573" s="59">
        <v>15</v>
      </c>
      <c r="H2573" s="59">
        <v>110</v>
      </c>
      <c r="I2573" s="1">
        <f>COUNTA(ProductInfo[[#This Row],[P1]:[P15]])</f>
        <v>3</v>
      </c>
      <c r="J257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7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73" s="7" t="s">
        <v>12</v>
      </c>
      <c r="M2573" s="7" t="s">
        <v>13</v>
      </c>
      <c r="N2573" s="7" t="s">
        <v>15</v>
      </c>
      <c r="O2573" s="7"/>
      <c r="P2573" s="7"/>
      <c r="Q2573" s="7"/>
      <c r="S2573" s="7"/>
    </row>
    <row r="2574" spans="1:19" ht="14.4">
      <c r="A2574" s="54" t="s">
        <v>6771</v>
      </c>
      <c r="B2574" s="8" t="s">
        <v>6765</v>
      </c>
      <c r="C2574" s="2" t="str">
        <f>RIGHT(ProductInfo[[#This Row],[Drawing No]],1)</f>
        <v>4</v>
      </c>
      <c r="D2574" s="68" t="s">
        <v>6767</v>
      </c>
      <c r="E2574" s="16"/>
      <c r="F257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74" s="31"/>
      <c r="H2574" s="31"/>
      <c r="I2574" s="1">
        <f>COUNTA(ProductInfo[[#This Row],[P1]:[P15]])</f>
        <v>0</v>
      </c>
      <c r="J257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7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4" s="7"/>
      <c r="M2574" s="7"/>
      <c r="N2574" s="7"/>
      <c r="O2574" s="7"/>
      <c r="P2574" s="7"/>
      <c r="Q2574" s="7"/>
      <c r="S2574" s="7"/>
    </row>
    <row r="2575" spans="1:19" ht="14.4">
      <c r="A2575" s="54" t="s">
        <v>4436</v>
      </c>
      <c r="B2575" s="8" t="s">
        <v>6765</v>
      </c>
      <c r="C2575" s="2" t="str">
        <f>RIGHT(ProductInfo[[#This Row],[Drawing No]],1)</f>
        <v>4</v>
      </c>
      <c r="D2575" s="68" t="s">
        <v>6768</v>
      </c>
      <c r="E2575" s="16"/>
      <c r="F257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75" s="31"/>
      <c r="H2575" s="31"/>
      <c r="I2575" s="1">
        <f>COUNTA(ProductInfo[[#This Row],[P1]:[P15]])</f>
        <v>0</v>
      </c>
      <c r="J257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7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5" s="7"/>
      <c r="M2575" s="7"/>
      <c r="N2575" s="7"/>
      <c r="O2575" s="7"/>
      <c r="P2575" s="7"/>
      <c r="Q2575" s="7"/>
      <c r="S2575" s="7"/>
    </row>
    <row r="2576" spans="1:19" ht="14.4">
      <c r="A2576" s="54" t="s">
        <v>4557</v>
      </c>
      <c r="B2576" s="8" t="s">
        <v>6765</v>
      </c>
      <c r="C2576" s="2" t="str">
        <f>RIGHT(ProductInfo[[#This Row],[Drawing No]],1)</f>
        <v>4</v>
      </c>
      <c r="D2576" s="68" t="s">
        <v>6769</v>
      </c>
      <c r="E2576" s="16"/>
      <c r="F257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76" s="31"/>
      <c r="H2576" s="31"/>
      <c r="I2576" s="1">
        <f>COUNTA(ProductInfo[[#This Row],[P1]:[P15]])</f>
        <v>0</v>
      </c>
      <c r="J257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7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6" s="7"/>
      <c r="M2576" s="7"/>
      <c r="N2576" s="7"/>
      <c r="O2576" s="7"/>
      <c r="P2576" s="7"/>
      <c r="Q2576" s="7"/>
      <c r="S2576" s="7"/>
    </row>
    <row r="2577" spans="1:38" ht="14.4">
      <c r="A2577" s="54" t="s">
        <v>4437</v>
      </c>
      <c r="B2577" s="8" t="s">
        <v>6765</v>
      </c>
      <c r="C2577" s="2" t="str">
        <f>RIGHT(ProductInfo[[#This Row],[Drawing No]],1)</f>
        <v>4</v>
      </c>
      <c r="D2577" s="68" t="s">
        <v>6770</v>
      </c>
      <c r="E2577" s="16"/>
      <c r="F2577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77" s="31"/>
      <c r="H2577" s="31"/>
      <c r="I2577" s="1">
        <f>COUNTA(ProductInfo[[#This Row],[P1]:[P15]])</f>
        <v>0</v>
      </c>
      <c r="J257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7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7" s="7"/>
      <c r="M2577" s="7"/>
      <c r="N2577" s="7"/>
      <c r="O2577" s="7"/>
      <c r="P2577" s="7"/>
      <c r="Q2577" s="7"/>
      <c r="S2577" s="7"/>
    </row>
    <row r="2578" spans="1:38" ht="27.6">
      <c r="A2578" s="54" t="s">
        <v>6773</v>
      </c>
      <c r="B2578" s="8" t="s">
        <v>6772</v>
      </c>
      <c r="C2578" s="2" t="str">
        <f>RIGHT(ProductInfo[[#This Row],[Drawing No]],1)</f>
        <v>2</v>
      </c>
      <c r="D2578" s="205" t="s">
        <v>6774</v>
      </c>
      <c r="E2578" s="259" t="s">
        <v>7039</v>
      </c>
      <c r="F2578" s="23" t="str">
        <f>IFERROR(INDEX(MaterialCode[รายละเอียด],MATCH(ProductInfo[[#This Row],[Material Code]],MaterialCode[Material Code],0)),"ไม่พบวัตถุดิบ")</f>
        <v xml:space="preserve">ท่ออลูมิเนียม 64.45มม. X รู 52 มม. </v>
      </c>
      <c r="G2578" s="31" t="s">
        <v>6775</v>
      </c>
      <c r="H2578" s="31" t="s">
        <v>6273</v>
      </c>
      <c r="I2578" s="1">
        <f>COUNTA(ProductInfo[[#This Row],[P1]:[P15]])</f>
        <v>2</v>
      </c>
      <c r="J257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7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78" s="7" t="s">
        <v>12</v>
      </c>
      <c r="M2578" s="7" t="s">
        <v>13</v>
      </c>
      <c r="N2578" s="7"/>
      <c r="O2578" s="7"/>
      <c r="P2578" s="7"/>
      <c r="Q2578" s="7"/>
      <c r="S2578" s="7"/>
    </row>
    <row r="2579" spans="1:38">
      <c r="A2579" s="8" t="s">
        <v>6778</v>
      </c>
      <c r="B2579" s="8" t="s">
        <v>6777</v>
      </c>
      <c r="C2579" s="2" t="str">
        <f>RIGHT(ProductInfo[[#This Row],[Drawing No]],1)</f>
        <v>0</v>
      </c>
      <c r="D2579" s="176" t="s">
        <v>5059</v>
      </c>
      <c r="E2579" s="16" t="s">
        <v>3739</v>
      </c>
      <c r="F2579" s="23" t="str">
        <f>IFERROR(INDEX(MaterialCode[รายละเอียด],MATCH(ProductInfo[[#This Row],[Material Code]],MaterialCode[Material Code],0)),"ไม่พบวัตถุดิบ")</f>
        <v>MATT FORDGE C EURO M35</v>
      </c>
      <c r="G2579" s="31" t="s">
        <v>6034</v>
      </c>
      <c r="H2579" s="31" t="s">
        <v>4897</v>
      </c>
      <c r="I2579" s="1">
        <f>COUNTA(ProductInfo[[#This Row],[P1]:[P15]])</f>
        <v>6</v>
      </c>
      <c r="J257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57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79" s="7" t="s">
        <v>12</v>
      </c>
      <c r="M2579" s="7" t="s">
        <v>13</v>
      </c>
      <c r="N2579" s="7" t="s">
        <v>14</v>
      </c>
      <c r="O2579" s="7" t="s">
        <v>15</v>
      </c>
      <c r="P2579" s="7" t="s">
        <v>16</v>
      </c>
      <c r="Q2579" s="7" t="s">
        <v>3105</v>
      </c>
      <c r="S2579" s="7"/>
    </row>
    <row r="2580" spans="1:38">
      <c r="A2580" s="15" t="s">
        <v>6780</v>
      </c>
      <c r="B2580" s="21" t="s">
        <v>6779</v>
      </c>
      <c r="C2580" s="2" t="str">
        <f>RIGHT(ProductInfo[[#This Row],[Drawing No]],1)</f>
        <v>0</v>
      </c>
      <c r="D2580" s="176" t="s">
        <v>5056</v>
      </c>
      <c r="E2580" s="16" t="s">
        <v>3739</v>
      </c>
      <c r="F2580" s="23" t="str">
        <f>IFERROR(INDEX(MaterialCode[รายละเอียด],MATCH(ProductInfo[[#This Row],[Material Code]],MaterialCode[Material Code],0)),"ไม่พบวัตถุดิบ")</f>
        <v>MATT FORDGE C EURO M35</v>
      </c>
      <c r="G2580" s="31" t="s">
        <v>6034</v>
      </c>
      <c r="H2580" s="59">
        <v>50</v>
      </c>
      <c r="I2580" s="1">
        <f>COUNTA(ProductInfo[[#This Row],[P1]:[P15]])</f>
        <v>6</v>
      </c>
      <c r="J258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4</v>
      </c>
      <c r="K258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80" s="4" t="s">
        <v>12</v>
      </c>
      <c r="M2580" s="4" t="s">
        <v>13</v>
      </c>
      <c r="N2580" s="4" t="s">
        <v>14</v>
      </c>
      <c r="O2580" s="4" t="s">
        <v>15</v>
      </c>
      <c r="P2580" s="4" t="s">
        <v>16</v>
      </c>
      <c r="Q2580" s="4" t="s">
        <v>3105</v>
      </c>
    </row>
    <row r="2581" spans="1:38">
      <c r="A2581" s="8" t="s">
        <v>6782</v>
      </c>
      <c r="B2581" s="8" t="s">
        <v>6781</v>
      </c>
      <c r="C2581" s="2" t="str">
        <f>RIGHT(ProductInfo[[#This Row],[Drawing No]],1)</f>
        <v>0</v>
      </c>
      <c r="D2581" s="176" t="s">
        <v>5603</v>
      </c>
      <c r="E2581" s="16"/>
      <c r="F258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81" s="31"/>
      <c r="H2581" s="31"/>
      <c r="I2581" s="1">
        <f>COUNTA(ProductInfo[[#This Row],[P1]:[P15]])</f>
        <v>0</v>
      </c>
      <c r="J258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8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1" s="4"/>
    </row>
    <row r="2582" spans="1:38">
      <c r="A2582" s="8" t="s">
        <v>6784</v>
      </c>
      <c r="B2582" s="8" t="s">
        <v>6783</v>
      </c>
      <c r="C2582" s="2" t="str">
        <f>RIGHT(ProductInfo[[#This Row],[Drawing No]],1)</f>
        <v>0</v>
      </c>
      <c r="D2582" s="176" t="s">
        <v>5596</v>
      </c>
      <c r="E2582" s="32" t="s">
        <v>6703</v>
      </c>
      <c r="F2582" s="23" t="str">
        <f>IFERROR(INDEX(MaterialCode[รายละเอียด],MATCH(ProductInfo[[#This Row],[Material Code]],MaterialCode[Material Code],0)),"ไม่พบวัตถุดิบ")</f>
        <v>MATT FORDGE G M42 NEW 2023 SET JUMBO</v>
      </c>
      <c r="G2582" s="31"/>
      <c r="H2582" s="31"/>
      <c r="I2582" s="1">
        <f>COUNTA(ProductInfo[[#This Row],[P1]:[P15]])</f>
        <v>8</v>
      </c>
      <c r="J258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8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5</v>
      </c>
      <c r="L2582" s="4" t="s">
        <v>12</v>
      </c>
      <c r="M2582" s="4" t="s">
        <v>13</v>
      </c>
      <c r="N2582" s="4" t="s">
        <v>14</v>
      </c>
      <c r="O2582" s="4" t="s">
        <v>15</v>
      </c>
      <c r="P2582" s="4" t="s">
        <v>16</v>
      </c>
      <c r="Q2582" s="4" t="s">
        <v>19</v>
      </c>
      <c r="R2582" s="4" t="s">
        <v>25</v>
      </c>
      <c r="S2582" s="4" t="s">
        <v>4339</v>
      </c>
    </row>
    <row r="2583" spans="1:38">
      <c r="A2583" s="33" t="s">
        <v>6788</v>
      </c>
      <c r="B2583" s="82" t="s">
        <v>6787</v>
      </c>
      <c r="C2583" s="2" t="str">
        <f>RIGHT(ProductInfo[[#This Row],[Drawing No]],1)</f>
        <v>0</v>
      </c>
      <c r="D2583" s="174" t="s">
        <v>1776</v>
      </c>
      <c r="E2583" s="32" t="s">
        <v>4522</v>
      </c>
      <c r="F2583" s="26" t="str">
        <f>IFERROR(INDEX(MaterialCode[รายละเอียด],MATCH(ProductInfo[[#This Row],[Material Code]],MaterialCode[Material Code],0)),"ไม่พบวัตถุดิบ")</f>
        <v>MATT 4 เหลี่ยม 60x75 MM.</v>
      </c>
      <c r="G2583" s="3">
        <v>46</v>
      </c>
      <c r="H2583" s="3">
        <v>40</v>
      </c>
      <c r="I2583" s="1">
        <f>COUNTA(ProductInfo[[#This Row],[P1]:[P15]])</f>
        <v>0</v>
      </c>
      <c r="J258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8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3" s="4"/>
    </row>
    <row r="2584" spans="1:38" ht="14.4">
      <c r="A2584" s="54" t="s">
        <v>6792</v>
      </c>
      <c r="B2584" s="82" t="s">
        <v>6789</v>
      </c>
      <c r="C2584" s="2" t="str">
        <f>RIGHT(ProductInfo[[#This Row],[Drawing No]],1)</f>
        <v>0</v>
      </c>
      <c r="D2584" s="84" t="s">
        <v>6796</v>
      </c>
      <c r="E2584" s="16" t="s">
        <v>3559</v>
      </c>
      <c r="F2584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84" s="31" t="s">
        <v>6081</v>
      </c>
      <c r="H2584" s="31" t="s">
        <v>4899</v>
      </c>
      <c r="I2584" s="1">
        <f>COUNTA(ProductInfo[[#This Row],[P1]:[P15]])</f>
        <v>2</v>
      </c>
      <c r="J258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8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4" s="4" t="s">
        <v>12</v>
      </c>
      <c r="M2584" s="4" t="s">
        <v>13</v>
      </c>
    </row>
    <row r="2585" spans="1:38" ht="14.4">
      <c r="A2585" s="54" t="s">
        <v>6791</v>
      </c>
      <c r="B2585" s="82" t="s">
        <v>6789</v>
      </c>
      <c r="C2585" s="2" t="str">
        <f>RIGHT(ProductInfo[[#This Row],[Drawing No]],1)</f>
        <v>0</v>
      </c>
      <c r="D2585" s="84" t="s">
        <v>6797</v>
      </c>
      <c r="E2585" s="16" t="s">
        <v>3559</v>
      </c>
      <c r="F2585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85" s="31" t="s">
        <v>6267</v>
      </c>
      <c r="H2585" s="31" t="s">
        <v>4899</v>
      </c>
      <c r="I2585" s="1">
        <f>COUNTA(ProductInfo[[#This Row],[P1]:[P15]])</f>
        <v>2</v>
      </c>
      <c r="J258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8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5" s="4" t="s">
        <v>12</v>
      </c>
      <c r="M2585" s="4" t="s">
        <v>13</v>
      </c>
    </row>
    <row r="2586" spans="1:38" ht="14.4">
      <c r="A2586" s="54" t="s">
        <v>6794</v>
      </c>
      <c r="B2586" s="82" t="s">
        <v>6789</v>
      </c>
      <c r="C2586" s="2" t="str">
        <f>RIGHT(ProductInfo[[#This Row],[Drawing No]],1)</f>
        <v>0</v>
      </c>
      <c r="D2586" s="84" t="s">
        <v>6798</v>
      </c>
      <c r="E2586" s="16" t="s">
        <v>3559</v>
      </c>
      <c r="F2586" s="23" t="str">
        <f>IFERROR(INDEX(MaterialCode[รายละเอียด],MATCH(ProductInfo[[#This Row],[Material Code]],MaterialCode[Material Code],0)),"ไม่พบวัตถุดิบ")</f>
        <v>ท่ออลูมีเนียมโต 35 มม.xรูใน 30 มม.</v>
      </c>
      <c r="G2586" s="31" t="s">
        <v>6199</v>
      </c>
      <c r="H2586" s="31" t="s">
        <v>4899</v>
      </c>
      <c r="I2586" s="1">
        <f>COUNTA(ProductInfo[[#This Row],[P1]:[P15]])</f>
        <v>2</v>
      </c>
      <c r="J258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8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6" s="4" t="s">
        <v>12</v>
      </c>
      <c r="M2586" s="4" t="s">
        <v>13</v>
      </c>
    </row>
    <row r="2587" spans="1:38" ht="14.4">
      <c r="A2587" s="33" t="s">
        <v>6800</v>
      </c>
      <c r="B2587" s="82" t="s">
        <v>6799</v>
      </c>
      <c r="C2587" s="2" t="str">
        <f>RIGHT(ProductInfo[[#This Row],[Drawing No]],1)</f>
        <v>0</v>
      </c>
      <c r="D2587" s="84" t="s">
        <v>6801</v>
      </c>
      <c r="E2587" s="16" t="s">
        <v>3439</v>
      </c>
      <c r="F2587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587" s="31" t="s">
        <v>6806</v>
      </c>
      <c r="H2587" s="31" t="s">
        <v>6273</v>
      </c>
      <c r="I2587" s="1">
        <f>COUNTA(ProductInfo[[#This Row],[P1]:[P15]])</f>
        <v>4</v>
      </c>
      <c r="J258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8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87" s="4" t="s">
        <v>12</v>
      </c>
      <c r="M2587" s="4" t="s">
        <v>13</v>
      </c>
      <c r="N2587" s="4" t="s">
        <v>15</v>
      </c>
      <c r="O2587" s="4" t="s">
        <v>16</v>
      </c>
    </row>
    <row r="2588" spans="1:38">
      <c r="A2588" s="33" t="s">
        <v>6803</v>
      </c>
      <c r="B2588" s="82" t="s">
        <v>6802</v>
      </c>
      <c r="C2588" s="2" t="str">
        <f>RIGHT(ProductInfo[[#This Row],[Drawing No]],1)</f>
        <v>0</v>
      </c>
      <c r="D2588" s="205" t="s">
        <v>6804</v>
      </c>
      <c r="E2588" s="16"/>
      <c r="F258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88" s="31"/>
      <c r="H2588" s="31"/>
      <c r="I2588" s="1">
        <f>COUNTA(ProductInfo[[#This Row],[P1]:[P15]])</f>
        <v>0</v>
      </c>
      <c r="J258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8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8" s="4"/>
    </row>
    <row r="2589" spans="1:38" ht="14.4">
      <c r="A2589" s="33" t="s">
        <v>6808</v>
      </c>
      <c r="B2589" s="82" t="s">
        <v>6807</v>
      </c>
      <c r="C2589" s="2" t="str">
        <f>RIGHT(ProductInfo[[#This Row],[Drawing No]],1)</f>
        <v>0</v>
      </c>
      <c r="D2589" s="84" t="s">
        <v>6809</v>
      </c>
      <c r="E2589" s="16" t="s">
        <v>6529</v>
      </c>
      <c r="F2589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89" s="31" t="s">
        <v>6810</v>
      </c>
      <c r="H2589" s="31" t="s">
        <v>5999</v>
      </c>
      <c r="I2589" s="1">
        <f>COUNTA(ProductInfo[[#This Row],[P1]:[P15]])</f>
        <v>0</v>
      </c>
      <c r="J258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8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89" s="4"/>
    </row>
    <row r="2590" spans="1:38" ht="14.4">
      <c r="A2590" s="33" t="s">
        <v>6812</v>
      </c>
      <c r="B2590" s="82" t="s">
        <v>6811</v>
      </c>
      <c r="C2590" s="2" t="str">
        <f>RIGHT(ProductInfo[[#This Row],[Drawing No]],1)</f>
        <v>0</v>
      </c>
      <c r="D2590" s="84" t="s">
        <v>6813</v>
      </c>
      <c r="E2590" s="16" t="s">
        <v>6529</v>
      </c>
      <c r="F2590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590" s="31" t="s">
        <v>6814</v>
      </c>
      <c r="H2590" s="31" t="s">
        <v>5999</v>
      </c>
      <c r="I2590" s="1">
        <f>COUNTA(ProductInfo[[#This Row],[P1]:[P15]])</f>
        <v>3</v>
      </c>
      <c r="J259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9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590" s="4" t="s">
        <v>12</v>
      </c>
      <c r="M2590" s="4" t="s">
        <v>13</v>
      </c>
      <c r="N2590" s="4" t="s">
        <v>15</v>
      </c>
    </row>
    <row r="2591" spans="1:38" ht="14.4">
      <c r="A2591" s="33" t="s">
        <v>6816</v>
      </c>
      <c r="B2591" s="82" t="s">
        <v>6815</v>
      </c>
      <c r="C2591" s="2" t="str">
        <f>RIGHT(ProductInfo[[#This Row],[Drawing No]],1)</f>
        <v>0</v>
      </c>
      <c r="D2591" s="84" t="s">
        <v>6817</v>
      </c>
      <c r="E2591" s="16" t="s">
        <v>5150</v>
      </c>
      <c r="F2591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591" s="31" t="s">
        <v>6818</v>
      </c>
      <c r="H2591" s="31" t="s">
        <v>5999</v>
      </c>
      <c r="I2591" s="1">
        <f>COUNTA(ProductInfo[[#This Row],[P1]:[P15]])</f>
        <v>5</v>
      </c>
      <c r="J259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9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91" s="4" t="s">
        <v>12</v>
      </c>
      <c r="M2591" s="4" t="s">
        <v>13</v>
      </c>
      <c r="N2591" s="4" t="s">
        <v>15</v>
      </c>
      <c r="O2591" s="4" t="s">
        <v>16</v>
      </c>
      <c r="P2591" s="4" t="s">
        <v>14</v>
      </c>
    </row>
    <row r="2592" spans="1:38" s="235" customFormat="1" ht="15.6">
      <c r="A2592" s="233" t="s">
        <v>6820</v>
      </c>
      <c r="B2592" s="234" t="s">
        <v>6819</v>
      </c>
      <c r="C2592" s="235" t="str">
        <f>RIGHT(ProductInfo[[#This Row],[Drawing No]],1)</f>
        <v>0</v>
      </c>
      <c r="D2592" s="236" t="s">
        <v>6579</v>
      </c>
      <c r="E2592" s="241" t="s">
        <v>3478</v>
      </c>
      <c r="F2592" s="237" t="str">
        <f>IFERROR(INDEX(MaterialCode[รายละเอียด],MATCH(ProductInfo[[#This Row],[Material Code]],MaterialCode[Material Code],0)),"ไม่พบวัตถุดิบ")</f>
        <v>ท่ออลูมีเนียมโต 31.8 มม.xรูใน 24.8 มม.</v>
      </c>
      <c r="G2592" s="210" t="s">
        <v>6821</v>
      </c>
      <c r="H2592" s="210" t="s">
        <v>4899</v>
      </c>
      <c r="I2592" s="238">
        <f>COUNTA(ProductInfo[[#This Row],[P1]:[P15]])</f>
        <v>2</v>
      </c>
      <c r="J2592" s="238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592" s="238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2" s="232" t="s">
        <v>12</v>
      </c>
      <c r="M2592" s="232" t="s">
        <v>13</v>
      </c>
      <c r="N2592" s="232"/>
      <c r="O2592" s="232"/>
      <c r="P2592" s="232"/>
      <c r="Q2592" s="232"/>
      <c r="R2592" s="232"/>
      <c r="S2592" s="232"/>
      <c r="T2592" s="232"/>
      <c r="U2592" s="232"/>
      <c r="V2592" s="232"/>
      <c r="W2592" s="232"/>
      <c r="X2592" s="232"/>
      <c r="Y2592" s="232"/>
      <c r="Z2592" s="232"/>
      <c r="AA2592" s="232"/>
      <c r="AC2592" s="239"/>
      <c r="AD2592" s="239"/>
      <c r="AE2592" s="240"/>
      <c r="AF2592" s="239"/>
      <c r="AG2592" s="239"/>
      <c r="AH2592" s="239"/>
      <c r="AI2592" s="239"/>
      <c r="AJ2592" s="239"/>
      <c r="AK2592" s="239"/>
      <c r="AL2592" s="239"/>
    </row>
    <row r="2593" spans="1:16" ht="14.4">
      <c r="A2593" s="33" t="s">
        <v>6822</v>
      </c>
      <c r="B2593" s="82" t="s">
        <v>6823</v>
      </c>
      <c r="C2593" s="2" t="str">
        <f>RIGHT(ProductInfo[[#This Row],[Drawing No]],1)</f>
        <v>0</v>
      </c>
      <c r="D2593" s="84" t="s">
        <v>6824</v>
      </c>
      <c r="E2593" s="16"/>
      <c r="F259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93" s="31"/>
      <c r="H2593" s="31"/>
      <c r="I2593" s="1">
        <f>COUNTA(ProductInfo[[#This Row],[P1]:[P15]])</f>
        <v>0</v>
      </c>
      <c r="J259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9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3" s="4"/>
    </row>
    <row r="2594" spans="1:16" ht="14.4">
      <c r="A2594" s="33" t="s">
        <v>6826</v>
      </c>
      <c r="B2594" s="82" t="s">
        <v>6825</v>
      </c>
      <c r="C2594" s="2" t="str">
        <f>RIGHT(ProductInfo[[#This Row],[Drawing No]],1)</f>
        <v>0</v>
      </c>
      <c r="D2594" s="84" t="s">
        <v>6827</v>
      </c>
      <c r="E2594" s="16" t="s">
        <v>6530</v>
      </c>
      <c r="F259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594" s="31" t="s">
        <v>6437</v>
      </c>
      <c r="H2594" s="31" t="s">
        <v>5999</v>
      </c>
      <c r="I2594" s="1">
        <f>COUNTA(ProductInfo[[#This Row],[P1]:[P15]])</f>
        <v>0</v>
      </c>
      <c r="J259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9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4" s="4"/>
    </row>
    <row r="2595" spans="1:16">
      <c r="A2595" s="54" t="s">
        <v>6829</v>
      </c>
      <c r="B2595" s="8" t="s">
        <v>6828</v>
      </c>
      <c r="C2595" s="2" t="str">
        <f>RIGHT(ProductInfo[[#This Row],[Drawing No]],1)</f>
        <v>0</v>
      </c>
      <c r="D2595" s="176" t="s">
        <v>5016</v>
      </c>
      <c r="E2595" s="16" t="s">
        <v>4524</v>
      </c>
      <c r="F2595" s="23" t="str">
        <f>IFERROR(INDEX(MaterialCode[รายละเอียด],MATCH(ProductInfo[[#This Row],[Material Code]],MaterialCode[Material Code],0)),"ไม่พบวัตถุดิบ")</f>
        <v>MATT 4 เหลี่ยม 55x126 MM.</v>
      </c>
      <c r="G2595" s="31" t="s">
        <v>6830</v>
      </c>
      <c r="H2595" s="31" t="s">
        <v>6643</v>
      </c>
      <c r="I2595" s="1">
        <f>COUNTA(ProductInfo[[#This Row],[P1]:[P15]])</f>
        <v>0</v>
      </c>
      <c r="J259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9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5" s="4"/>
    </row>
    <row r="2596" spans="1:16" ht="14.4">
      <c r="A2596" s="33" t="s">
        <v>6832</v>
      </c>
      <c r="B2596" s="78" t="s">
        <v>6831</v>
      </c>
      <c r="C2596" s="2" t="str">
        <f>RIGHT(ProductInfo[[#This Row],[Drawing No]],1)</f>
        <v>0</v>
      </c>
      <c r="D2596" s="84" t="s">
        <v>6833</v>
      </c>
      <c r="E2596" s="16" t="s">
        <v>3716</v>
      </c>
      <c r="F2596" s="23" t="str">
        <f>IFERROR(INDEX(MaterialCode[รายละเอียด],MATCH(ProductInfo[[#This Row],[Material Code]],MaterialCode[Material Code],0)),"ไม่พบวัตถุดิบ")</f>
        <v>MATT FORDGE C M35</v>
      </c>
      <c r="G2596" s="31" t="s">
        <v>6034</v>
      </c>
      <c r="H2596" s="31" t="s">
        <v>4897</v>
      </c>
      <c r="I2596" s="1">
        <f>COUNTA(ProductInfo[[#This Row],[P1]:[P15]])</f>
        <v>5</v>
      </c>
      <c r="J259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9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96" s="4" t="s">
        <v>12</v>
      </c>
      <c r="M2596" s="4" t="s">
        <v>13</v>
      </c>
      <c r="N2596" s="4" t="s">
        <v>14</v>
      </c>
      <c r="O2596" s="4" t="s">
        <v>15</v>
      </c>
      <c r="P2596" s="4" t="s">
        <v>16</v>
      </c>
    </row>
    <row r="2597" spans="1:16" ht="20.25" customHeight="1">
      <c r="A2597" s="54" t="s">
        <v>6835</v>
      </c>
      <c r="B2597" s="8" t="s">
        <v>6834</v>
      </c>
      <c r="C2597" s="2" t="str">
        <f>RIGHT(ProductInfo[[#This Row],[Drawing No]],1)</f>
        <v>0</v>
      </c>
      <c r="D2597" s="205" t="s">
        <v>5963</v>
      </c>
      <c r="E2597" s="164" t="s">
        <v>6846</v>
      </c>
      <c r="F2597" s="23" t="str">
        <f>IFERROR(INDEX(MaterialCode[รายละเอียด],MATCH(ProductInfo[[#This Row],[Material Code]],MaterialCode[Material Code],0)),"ไม่พบวัตถุดิบ")</f>
        <v>MATT FORDGE Z ตัวใหญ่ โมลเดล กลมทั้งตัว ปี2023</v>
      </c>
      <c r="G2597" s="31" t="s">
        <v>6034</v>
      </c>
      <c r="H2597" s="31" t="s">
        <v>4897</v>
      </c>
      <c r="I2597" s="1">
        <f>COUNTA(ProductInfo[[#This Row],[P1]:[P15]])</f>
        <v>5</v>
      </c>
      <c r="J259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9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97" s="4" t="s">
        <v>12</v>
      </c>
      <c r="M2597" s="4" t="s">
        <v>13</v>
      </c>
      <c r="N2597" s="4" t="s">
        <v>14</v>
      </c>
      <c r="O2597" s="4" t="s">
        <v>15</v>
      </c>
      <c r="P2597" s="4" t="s">
        <v>16</v>
      </c>
    </row>
    <row r="2598" spans="1:16">
      <c r="A2598" s="54" t="s">
        <v>6836</v>
      </c>
      <c r="B2598" s="8" t="s">
        <v>6837</v>
      </c>
      <c r="C2598" s="2" t="str">
        <f>RIGHT(ProductInfo[[#This Row],[Drawing No]],1)</f>
        <v>0</v>
      </c>
      <c r="D2598" s="176" t="s">
        <v>5978</v>
      </c>
      <c r="E2598" s="16"/>
      <c r="F259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598" s="31"/>
      <c r="H2598" s="31"/>
      <c r="I2598" s="1">
        <f>COUNTA(ProductInfo[[#This Row],[P1]:[P15]])</f>
        <v>5</v>
      </c>
      <c r="J259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59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598" s="4" t="s">
        <v>12</v>
      </c>
      <c r="M2598" s="4" t="s">
        <v>13</v>
      </c>
      <c r="N2598" s="4" t="s">
        <v>14</v>
      </c>
      <c r="O2598" s="4" t="s">
        <v>15</v>
      </c>
      <c r="P2598" s="4" t="s">
        <v>16</v>
      </c>
    </row>
    <row r="2599" spans="1:16">
      <c r="A2599" s="33" t="s">
        <v>6842</v>
      </c>
      <c r="B2599" s="82" t="s">
        <v>6838</v>
      </c>
      <c r="C2599" s="2" t="str">
        <f>RIGHT(ProductInfo[[#This Row],[Drawing No]],1)</f>
        <v>0</v>
      </c>
      <c r="D2599" s="205" t="s">
        <v>6845</v>
      </c>
      <c r="E2599" s="16" t="s">
        <v>3457</v>
      </c>
      <c r="F2599" s="23" t="str">
        <f>IFERROR(INDEX(MaterialCode[รายละเอียด],MATCH(ProductInfo[[#This Row],[Material Code]],MaterialCode[Material Code],0)),"ไม่พบวัตถุดิบ")</f>
        <v>ท่ออลูมีเนียม โต 60 มม.*รู 44.7 มม.</v>
      </c>
      <c r="G2599" s="31" t="s">
        <v>6844</v>
      </c>
      <c r="H2599" s="31" t="s">
        <v>6208</v>
      </c>
      <c r="I2599" s="1">
        <f>COUNTA(ProductInfo[[#This Row],[P1]:[P15]])</f>
        <v>0</v>
      </c>
      <c r="J259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59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599" s="4"/>
    </row>
    <row r="2600" spans="1:16" ht="23.4">
      <c r="A2600" s="54" t="s">
        <v>6841</v>
      </c>
      <c r="B2600" s="8" t="s">
        <v>6840</v>
      </c>
      <c r="C2600" s="2" t="str">
        <f>RIGHT(ProductInfo[[#This Row],[Drawing No]],1)</f>
        <v>0</v>
      </c>
      <c r="D2600" s="206" t="s">
        <v>6843</v>
      </c>
      <c r="E2600" s="243" t="s">
        <v>3421</v>
      </c>
      <c r="F2600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63.5 มม. </v>
      </c>
      <c r="G2600" s="31" t="s">
        <v>5664</v>
      </c>
      <c r="H2600" s="31" t="s">
        <v>6273</v>
      </c>
      <c r="I2600" s="1">
        <f>COUNTA(ProductInfo[[#This Row],[P1]:[P15]])</f>
        <v>0</v>
      </c>
      <c r="J260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0" s="4"/>
    </row>
    <row r="2601" spans="1:16" ht="14.4">
      <c r="A2601" s="2" t="s">
        <v>6853</v>
      </c>
      <c r="B2601" s="86" t="s">
        <v>6851</v>
      </c>
      <c r="C2601" s="2" t="str">
        <f>RIGHT(ProductInfo[[#This Row],[Drawing No]],1)</f>
        <v>0</v>
      </c>
      <c r="D2601" s="37" t="s">
        <v>6852</v>
      </c>
      <c r="E2601" s="16" t="s">
        <v>3492</v>
      </c>
      <c r="F2601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601" s="31" t="s">
        <v>6212</v>
      </c>
      <c r="H2601" s="31" t="s">
        <v>6273</v>
      </c>
      <c r="I2601" s="1">
        <f>COUNTA(ProductInfo[[#This Row],[P1]:[P15]])</f>
        <v>0</v>
      </c>
      <c r="J260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1" s="4"/>
    </row>
    <row r="2602" spans="1:16" ht="14.4">
      <c r="A2602" s="2" t="s">
        <v>6855</v>
      </c>
      <c r="B2602" s="86" t="s">
        <v>6851</v>
      </c>
      <c r="C2602" s="2" t="str">
        <f>RIGHT(ProductInfo[[#This Row],[Drawing No]],1)</f>
        <v>0</v>
      </c>
      <c r="D2602" s="37" t="s">
        <v>6854</v>
      </c>
      <c r="E2602" s="16" t="s">
        <v>3492</v>
      </c>
      <c r="F2602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602" s="31" t="s">
        <v>6860</v>
      </c>
      <c r="H2602" s="31" t="s">
        <v>6273</v>
      </c>
      <c r="I2602" s="1">
        <f>COUNTA(ProductInfo[[#This Row],[P1]:[P15]])</f>
        <v>0</v>
      </c>
      <c r="J260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2" s="4"/>
    </row>
    <row r="2603" spans="1:16" ht="14.4">
      <c r="A2603" s="2" t="s">
        <v>6856</v>
      </c>
      <c r="B2603" s="86" t="s">
        <v>6851</v>
      </c>
      <c r="C2603" s="2" t="str">
        <f>RIGHT(ProductInfo[[#This Row],[Drawing No]],1)</f>
        <v>0</v>
      </c>
      <c r="D2603" s="37" t="s">
        <v>6857</v>
      </c>
      <c r="E2603" s="16" t="s">
        <v>3492</v>
      </c>
      <c r="F2603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603" s="31" t="s">
        <v>6861</v>
      </c>
      <c r="H2603" s="31" t="s">
        <v>6273</v>
      </c>
      <c r="I2603" s="1">
        <f>COUNTA(ProductInfo[[#This Row],[P1]:[P15]])</f>
        <v>0</v>
      </c>
      <c r="J260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3" s="4"/>
    </row>
    <row r="2604" spans="1:16" ht="14.4">
      <c r="A2604" s="2" t="s">
        <v>6858</v>
      </c>
      <c r="B2604" s="86" t="s">
        <v>6851</v>
      </c>
      <c r="C2604" s="2" t="str">
        <f>RIGHT(ProductInfo[[#This Row],[Drawing No]],1)</f>
        <v>0</v>
      </c>
      <c r="D2604" s="37" t="s">
        <v>6859</v>
      </c>
      <c r="E2604" s="16" t="s">
        <v>3492</v>
      </c>
      <c r="F2604" s="23" t="str">
        <f>IFERROR(INDEX(MaterialCode[รายละเอียด],MATCH(ProductInfo[[#This Row],[Material Code]],MaterialCode[Material Code],0)),"ไม่พบวัตถุดิบ")</f>
        <v xml:space="preserve">ท่ออลูมีเนียมโต 42.5 มม.x รู 35.8 มม. </v>
      </c>
      <c r="G2604" s="31" t="s">
        <v>6213</v>
      </c>
      <c r="H2604" s="31" t="s">
        <v>6273</v>
      </c>
      <c r="I2604" s="1">
        <f>COUNTA(ProductInfo[[#This Row],[P1]:[P15]])</f>
        <v>0</v>
      </c>
      <c r="J260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4" s="4"/>
    </row>
    <row r="2605" spans="1:16" ht="14.4">
      <c r="A2605" s="2" t="s">
        <v>6862</v>
      </c>
      <c r="B2605" s="86" t="s">
        <v>6863</v>
      </c>
      <c r="C2605" s="2" t="str">
        <f>RIGHT(ProductInfo[[#This Row],[Drawing No]],1)</f>
        <v>0</v>
      </c>
      <c r="D2605" s="37" t="s">
        <v>6864</v>
      </c>
      <c r="E2605" s="16" t="s">
        <v>3502</v>
      </c>
      <c r="F2605" s="23" t="str">
        <f>IFERROR(INDEX(MaterialCode[รายละเอียด],MATCH(ProductInfo[[#This Row],[Material Code]],MaterialCode[Material Code],0)),"ไม่พบวัตถุดิบ")</f>
        <v>เพลาอลูมีเนี่ยมโต 45 มม.</v>
      </c>
      <c r="G2605" s="31" t="s">
        <v>6865</v>
      </c>
      <c r="H2605" s="31" t="s">
        <v>5999</v>
      </c>
      <c r="I2605" s="1">
        <f>COUNTA(ProductInfo[[#This Row],[P1]:[P15]])</f>
        <v>0</v>
      </c>
      <c r="J260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0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05" s="4"/>
    </row>
    <row r="2606" spans="1:16" ht="14.4">
      <c r="A2606" s="54" t="s">
        <v>6867</v>
      </c>
      <c r="B2606" s="8" t="s">
        <v>6866</v>
      </c>
      <c r="C2606" s="2" t="str">
        <f>RIGHT(ProductInfo[[#This Row],[Drawing No]],1)</f>
        <v>0</v>
      </c>
      <c r="D2606" s="37" t="s">
        <v>6868</v>
      </c>
      <c r="E2606" s="16" t="s">
        <v>3459</v>
      </c>
      <c r="F2606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606" s="31" t="s">
        <v>6869</v>
      </c>
      <c r="H2606" s="31" t="s">
        <v>5999</v>
      </c>
      <c r="I2606" s="1">
        <f>COUNTA(ProductInfo[[#This Row],[P1]:[P15]])</f>
        <v>4</v>
      </c>
      <c r="J260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0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06" s="4" t="s">
        <v>12</v>
      </c>
      <c r="M2606" s="4" t="s">
        <v>13</v>
      </c>
      <c r="N2606" s="4" t="s">
        <v>15</v>
      </c>
      <c r="O2606" s="4" t="s">
        <v>16</v>
      </c>
    </row>
    <row r="2607" spans="1:16" ht="14.4">
      <c r="A2607" s="2" t="s">
        <v>6871</v>
      </c>
      <c r="B2607" s="86" t="s">
        <v>6870</v>
      </c>
      <c r="C2607" s="2" t="str">
        <f>RIGHT(ProductInfo[[#This Row],[Drawing No]],1)</f>
        <v>0</v>
      </c>
      <c r="D2607" s="37" t="s">
        <v>6872</v>
      </c>
      <c r="E2607" s="16" t="s">
        <v>3459</v>
      </c>
      <c r="F2607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607" s="31" t="s">
        <v>6576</v>
      </c>
      <c r="H2607" s="31" t="s">
        <v>5999</v>
      </c>
      <c r="I2607" s="1">
        <f>COUNTA(ProductInfo[[#This Row],[P1]:[P15]])</f>
        <v>4</v>
      </c>
      <c r="J260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0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07" s="4" t="s">
        <v>12</v>
      </c>
      <c r="M2607" s="4" t="s">
        <v>13</v>
      </c>
      <c r="N2607" s="4" t="s">
        <v>15</v>
      </c>
      <c r="O2607" s="4" t="s">
        <v>16</v>
      </c>
    </row>
    <row r="2608" spans="1:16" ht="14.4">
      <c r="A2608" s="2" t="s">
        <v>6874</v>
      </c>
      <c r="B2608" s="86" t="s">
        <v>6873</v>
      </c>
      <c r="C2608" s="2" t="str">
        <f>RIGHT(ProductInfo[[#This Row],[Drawing No]],1)</f>
        <v>0</v>
      </c>
      <c r="D2608" s="37" t="s">
        <v>6875</v>
      </c>
      <c r="E2608" s="16" t="s">
        <v>3459</v>
      </c>
      <c r="F2608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608" s="31" t="s">
        <v>5236</v>
      </c>
      <c r="H2608" s="31" t="s">
        <v>5999</v>
      </c>
      <c r="I2608" s="1">
        <f>COUNTA(ProductInfo[[#This Row],[P1]:[P15]])</f>
        <v>4</v>
      </c>
      <c r="J260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0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08" s="4" t="s">
        <v>12</v>
      </c>
      <c r="M2608" s="4" t="s">
        <v>13</v>
      </c>
      <c r="N2608" s="4" t="s">
        <v>15</v>
      </c>
      <c r="O2608" s="4" t="s">
        <v>16</v>
      </c>
    </row>
    <row r="2609" spans="1:16" ht="14.4">
      <c r="A2609" s="2" t="s">
        <v>6877</v>
      </c>
      <c r="B2609" s="86" t="s">
        <v>6876</v>
      </c>
      <c r="C2609" s="2" t="str">
        <f>RIGHT(ProductInfo[[#This Row],[Drawing No]],1)</f>
        <v>0</v>
      </c>
      <c r="D2609" s="37" t="s">
        <v>6878</v>
      </c>
      <c r="E2609" s="16" t="s">
        <v>7032</v>
      </c>
      <c r="F2609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609" s="31" t="s">
        <v>6389</v>
      </c>
      <c r="H2609" s="31" t="s">
        <v>5999</v>
      </c>
      <c r="I2609" s="1">
        <f>COUNTA(ProductInfo[[#This Row],[P1]:[P15]])</f>
        <v>4</v>
      </c>
      <c r="J260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0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09" s="4" t="s">
        <v>12</v>
      </c>
      <c r="M2609" s="4" t="s">
        <v>13</v>
      </c>
      <c r="N2609" s="4" t="s">
        <v>15</v>
      </c>
      <c r="O2609" s="4" t="s">
        <v>16</v>
      </c>
    </row>
    <row r="2610" spans="1:16">
      <c r="A2610" s="54" t="s">
        <v>6880</v>
      </c>
      <c r="B2610" s="8" t="s">
        <v>6879</v>
      </c>
      <c r="C2610" s="2" t="str">
        <f>RIGHT(ProductInfo[[#This Row],[Drawing No]],1)</f>
        <v>0</v>
      </c>
      <c r="D2610" s="174" t="s">
        <v>5668</v>
      </c>
      <c r="E2610" s="16" t="s">
        <v>5150</v>
      </c>
      <c r="F2610" s="23" t="str">
        <f>IFERROR(INDEX(MaterialCode[รายละเอียด],MATCH(ProductInfo[[#This Row],[Material Code]],MaterialCode[Material Code],0)),"ไม่พบวัตถุดิบ")</f>
        <v>เพลาอลูมีเนียม 51 มม.</v>
      </c>
      <c r="G2610" s="59">
        <v>64.5</v>
      </c>
      <c r="H2610" s="59">
        <v>60</v>
      </c>
      <c r="I2610" s="1">
        <f>COUNTA(ProductInfo[[#This Row],[P1]:[P15]])</f>
        <v>5</v>
      </c>
      <c r="J261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1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10" s="7" t="s">
        <v>12</v>
      </c>
      <c r="M2610" s="7" t="s">
        <v>13</v>
      </c>
      <c r="N2610" s="4" t="s">
        <v>15</v>
      </c>
      <c r="O2610" s="4" t="s">
        <v>16</v>
      </c>
      <c r="P2610" s="4" t="s">
        <v>14</v>
      </c>
    </row>
    <row r="2611" spans="1:16" ht="25.8">
      <c r="A2611" s="2" t="s">
        <v>6882</v>
      </c>
      <c r="B2611" s="72" t="s">
        <v>6881</v>
      </c>
      <c r="C2611" s="2" t="str">
        <f>RIGHT(ProductInfo[[#This Row],[Drawing No]],1)</f>
        <v>0</v>
      </c>
      <c r="D2611" s="68" t="s">
        <v>6883</v>
      </c>
      <c r="E2611" s="245" t="s">
        <v>6529</v>
      </c>
      <c r="F2611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611" s="31" t="s">
        <v>6210</v>
      </c>
      <c r="H2611" s="31" t="s">
        <v>5999</v>
      </c>
      <c r="I2611" s="1">
        <f>COUNTA(ProductInfo[[#This Row],[P1]:[P15]])</f>
        <v>2</v>
      </c>
      <c r="J261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1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1" s="7" t="s">
        <v>12</v>
      </c>
      <c r="M2611" s="7" t="s">
        <v>13</v>
      </c>
    </row>
    <row r="2612" spans="1:16">
      <c r="A2612" s="8" t="s">
        <v>6885</v>
      </c>
      <c r="B2612" s="8" t="s">
        <v>6884</v>
      </c>
      <c r="C2612" s="2" t="str">
        <f>RIGHT(ProductInfo[[#This Row],[Drawing No]],1)</f>
        <v>0</v>
      </c>
      <c r="D2612" s="179" t="s">
        <v>3061</v>
      </c>
      <c r="E2612" s="16" t="s">
        <v>3701</v>
      </c>
      <c r="F2612" s="23" t="str">
        <f>IFERROR(INDEX(MaterialCode[รายละเอียด],MATCH(ProductInfo[[#This Row],[Material Code]],MaterialCode[Material Code],0)),"ไม่พบวัตถุดิบ")</f>
        <v>MATT FORDGE G M42</v>
      </c>
      <c r="G2612" s="31"/>
      <c r="H2612" s="31" t="s">
        <v>6643</v>
      </c>
      <c r="I2612" s="1">
        <f>COUNTA(ProductInfo[[#This Row],[P1]:[P15]])</f>
        <v>5</v>
      </c>
      <c r="J261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1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12" s="7" t="s">
        <v>12</v>
      </c>
      <c r="M2612" s="7" t="s">
        <v>13</v>
      </c>
      <c r="N2612" s="7" t="s">
        <v>14</v>
      </c>
      <c r="O2612" s="4" t="s">
        <v>15</v>
      </c>
      <c r="P2612" s="4" t="s">
        <v>16</v>
      </c>
    </row>
    <row r="2613" spans="1:16" ht="14.4">
      <c r="A2613" s="33" t="s">
        <v>6887</v>
      </c>
      <c r="B2613" s="72" t="s">
        <v>6886</v>
      </c>
      <c r="C2613" s="2" t="str">
        <f>RIGHT(ProductInfo[[#This Row],[Drawing No]],1)</f>
        <v>0</v>
      </c>
      <c r="D2613" s="84" t="s">
        <v>2474</v>
      </c>
      <c r="E2613" s="16"/>
      <c r="F2613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13" s="31"/>
      <c r="H2613" s="31"/>
      <c r="I2613" s="1">
        <f>COUNTA(ProductInfo[[#This Row],[P1]:[P15]])</f>
        <v>0</v>
      </c>
      <c r="J261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1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3" s="7"/>
      <c r="M2613" s="7"/>
      <c r="N2613" s="7"/>
    </row>
    <row r="2614" spans="1:16" ht="19.8">
      <c r="A2614" s="33" t="s">
        <v>6888</v>
      </c>
      <c r="B2614" s="72" t="s">
        <v>6886</v>
      </c>
      <c r="C2614" s="2" t="str">
        <f>RIGHT(ProductInfo[[#This Row],[Drawing No]],1)</f>
        <v>0</v>
      </c>
      <c r="D2614" s="84" t="s">
        <v>2382</v>
      </c>
      <c r="E2614" s="121" t="s">
        <v>6530</v>
      </c>
      <c r="F2614" s="23" t="str">
        <f>IFERROR(INDEX(MaterialCode[รายละเอียด],MATCH(ProductInfo[[#This Row],[Material Code]],MaterialCode[Material Code],0)),"ไม่พบวัตถุดิบ")</f>
        <v>เพลาอลูมีเนี่ยมโต 46.3 มม.</v>
      </c>
      <c r="G2614" s="32" t="s">
        <v>6437</v>
      </c>
      <c r="H2614" s="59">
        <v>110</v>
      </c>
      <c r="I2614" s="1">
        <f>COUNTA(ProductInfo[[#This Row],[P1]:[P15]])</f>
        <v>4</v>
      </c>
      <c r="J261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1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14" s="7" t="s">
        <v>12</v>
      </c>
      <c r="M2614" s="7" t="s">
        <v>13</v>
      </c>
      <c r="N2614" s="7" t="s">
        <v>15</v>
      </c>
      <c r="O2614" s="7" t="s">
        <v>16</v>
      </c>
    </row>
    <row r="2615" spans="1:16" ht="14.4">
      <c r="A2615" s="33" t="s">
        <v>6889</v>
      </c>
      <c r="B2615" s="72" t="s">
        <v>6886</v>
      </c>
      <c r="C2615" s="2" t="str">
        <f>RIGHT(ProductInfo[[#This Row],[Drawing No]],1)</f>
        <v>0</v>
      </c>
      <c r="D2615" s="84" t="s">
        <v>2959</v>
      </c>
      <c r="E2615" s="16"/>
      <c r="F2615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15" s="31"/>
      <c r="H2615" s="31"/>
      <c r="I2615" s="1">
        <f>COUNTA(ProductInfo[[#This Row],[P1]:[P15]])</f>
        <v>0</v>
      </c>
      <c r="J261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1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5" s="7"/>
      <c r="M2615" s="7"/>
      <c r="N2615" s="7"/>
    </row>
    <row r="2616" spans="1:16" ht="21">
      <c r="A2616" s="33" t="s">
        <v>630</v>
      </c>
      <c r="B2616" s="72" t="s">
        <v>6946</v>
      </c>
      <c r="C2616" s="2" t="str">
        <f>RIGHT(ProductInfo[[#This Row],[Drawing No]],1)</f>
        <v>1</v>
      </c>
      <c r="D2616" s="247" t="s">
        <v>6801</v>
      </c>
      <c r="E2616" s="16" t="s">
        <v>3439</v>
      </c>
      <c r="F2616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16" s="31" t="s">
        <v>6806</v>
      </c>
      <c r="H2616" s="31" t="s">
        <v>6273</v>
      </c>
      <c r="I2616" s="1">
        <f>COUNTA(ProductInfo[[#This Row],[P1]:[P15]])</f>
        <v>4</v>
      </c>
      <c r="J261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1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16" s="7" t="s">
        <v>12</v>
      </c>
      <c r="M2616" s="7" t="s">
        <v>13</v>
      </c>
      <c r="N2616" s="7" t="s">
        <v>15</v>
      </c>
      <c r="O2616" s="4" t="s">
        <v>16</v>
      </c>
    </row>
    <row r="2617" spans="1:16" ht="14.4">
      <c r="A2617" s="33" t="s">
        <v>6891</v>
      </c>
      <c r="B2617" s="72" t="s">
        <v>6890</v>
      </c>
      <c r="C2617" s="2" t="str">
        <f>RIGHT(ProductInfo[[#This Row],[Drawing No]],1)</f>
        <v>0</v>
      </c>
      <c r="D2617" s="68" t="s">
        <v>6892</v>
      </c>
      <c r="E2617" s="16" t="s">
        <v>3502</v>
      </c>
      <c r="F2617" s="23" t="str">
        <f>IFERROR(INDEX(MaterialCode[รายละเอียด],MATCH(ProductInfo[[#This Row],[Material Code]],MaterialCode[Material Code],0)),"ไม่พบวัตถุดิบ")</f>
        <v>เพลาอลูมีเนี่ยมโต 45 มม.</v>
      </c>
      <c r="G2617" s="31" t="s">
        <v>6437</v>
      </c>
      <c r="H2617" s="31" t="s">
        <v>5999</v>
      </c>
      <c r="I2617" s="1">
        <f>COUNTA(ProductInfo[[#This Row],[P1]:[P15]])</f>
        <v>0</v>
      </c>
      <c r="J261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1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7" s="7"/>
      <c r="M2617" s="7"/>
      <c r="N2617" s="7"/>
    </row>
    <row r="2618" spans="1:16" ht="14.4">
      <c r="A2618" s="33" t="s">
        <v>6894</v>
      </c>
      <c r="B2618" s="72" t="s">
        <v>6893</v>
      </c>
      <c r="C2618" s="2" t="str">
        <f>RIGHT(ProductInfo[[#This Row],[Drawing No]],1)</f>
        <v>0</v>
      </c>
      <c r="D2618" s="55" t="s">
        <v>6895</v>
      </c>
      <c r="E2618" s="16"/>
      <c r="F261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18" s="31"/>
      <c r="H2618" s="31"/>
      <c r="I2618" s="1">
        <f>COUNTA(ProductInfo[[#This Row],[P1]:[P15]])</f>
        <v>0</v>
      </c>
      <c r="J261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1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18" s="7"/>
      <c r="M2618" s="7"/>
      <c r="N2618" s="7"/>
    </row>
    <row r="2619" spans="1:16">
      <c r="A2619" s="33" t="s">
        <v>2027</v>
      </c>
      <c r="B2619" s="72" t="s">
        <v>6896</v>
      </c>
      <c r="C2619" s="2" t="str">
        <f>RIGHT(ProductInfo[[#This Row],[Drawing No]],1)</f>
        <v>0</v>
      </c>
      <c r="D2619" s="246" t="s">
        <v>6897</v>
      </c>
      <c r="E2619" s="16" t="s">
        <v>3439</v>
      </c>
      <c r="F2619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19" s="31" t="s">
        <v>6576</v>
      </c>
      <c r="H2619" s="31" t="s">
        <v>5999</v>
      </c>
      <c r="I2619" s="1">
        <f>COUNTA(ProductInfo[[#This Row],[P1]:[P15]])</f>
        <v>3</v>
      </c>
      <c r="J261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1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619" s="7" t="s">
        <v>12</v>
      </c>
      <c r="M2619" s="7" t="s">
        <v>13</v>
      </c>
      <c r="N2619" s="7" t="s">
        <v>15</v>
      </c>
    </row>
    <row r="2620" spans="1:16" ht="14.4">
      <c r="A2620" s="33" t="s">
        <v>6900</v>
      </c>
      <c r="B2620" s="72" t="s">
        <v>6899</v>
      </c>
      <c r="C2620" s="2" t="str">
        <f>RIGHT(ProductInfo[[#This Row],[Drawing No]],1)</f>
        <v>0</v>
      </c>
      <c r="D2620" s="68" t="s">
        <v>6902</v>
      </c>
      <c r="E2620" s="16" t="s">
        <v>7034</v>
      </c>
      <c r="F2620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20" s="31" t="s">
        <v>6861</v>
      </c>
      <c r="H2620" s="31" t="s">
        <v>4899</v>
      </c>
      <c r="I2620" s="1">
        <f>COUNTA(ProductInfo[[#This Row],[P1]:[P15]])</f>
        <v>0</v>
      </c>
      <c r="J262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2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20" s="7"/>
      <c r="M2620" s="7"/>
      <c r="N2620" s="7"/>
    </row>
    <row r="2621" spans="1:16">
      <c r="A2621" s="54" t="s">
        <v>6905</v>
      </c>
      <c r="B2621" s="8" t="s">
        <v>6904</v>
      </c>
      <c r="C2621" s="2" t="str">
        <f>RIGHT(ProductInfo[[#This Row],[Drawing No]],1)</f>
        <v>0</v>
      </c>
      <c r="D2621" s="174" t="s">
        <v>5320</v>
      </c>
      <c r="E2621" s="16" t="s">
        <v>3540</v>
      </c>
      <c r="F2621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621" s="59">
        <v>16.5</v>
      </c>
      <c r="H2621" s="59">
        <v>100</v>
      </c>
      <c r="I2621" s="1">
        <f>COUNTA(ProductInfo[[#This Row],[P1]:[P15]])</f>
        <v>4</v>
      </c>
      <c r="J262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21" s="4" t="s">
        <v>12</v>
      </c>
      <c r="M2621" s="4" t="s">
        <v>13</v>
      </c>
      <c r="N2621" s="4" t="s">
        <v>15</v>
      </c>
      <c r="O2621" s="4" t="s">
        <v>16</v>
      </c>
    </row>
    <row r="2622" spans="1:16">
      <c r="A2622" s="54" t="s">
        <v>6908</v>
      </c>
      <c r="B2622" s="8" t="s">
        <v>6906</v>
      </c>
      <c r="C2622" s="1" t="str">
        <f>RIGHT(ProductInfo[[#This Row],[Drawing No]],1)</f>
        <v>0</v>
      </c>
      <c r="D2622" s="174" t="s">
        <v>3215</v>
      </c>
      <c r="E2622" s="16" t="s">
        <v>3540</v>
      </c>
      <c r="F2622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622" s="59">
        <v>16.5</v>
      </c>
      <c r="H2622" s="59">
        <v>100</v>
      </c>
      <c r="I2622" s="1">
        <f>COUNTA(ProductInfo[[#This Row],[P1]:[P15]])</f>
        <v>3</v>
      </c>
      <c r="J262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622" s="7" t="s">
        <v>12</v>
      </c>
      <c r="M2622" s="7" t="s">
        <v>13</v>
      </c>
      <c r="N2622" s="4" t="s">
        <v>15</v>
      </c>
    </row>
    <row r="2623" spans="1:16">
      <c r="A2623" s="15" t="s">
        <v>6910</v>
      </c>
      <c r="B2623" s="21" t="s">
        <v>6909</v>
      </c>
      <c r="C2623" s="1" t="str">
        <f>RIGHT(ProductInfo[[#This Row],[Drawing No]],1)</f>
        <v>0</v>
      </c>
      <c r="D2623" s="191" t="s">
        <v>6911</v>
      </c>
      <c r="E2623" s="16" t="s">
        <v>3529</v>
      </c>
      <c r="F2623" s="23" t="str">
        <f>IFERROR(INDEX(MaterialCode[รายละเอียด],MATCH(ProductInfo[[#This Row],[Material Code]],MaterialCode[Material Code],0)),"ไม่พบวัตถุดิบ")</f>
        <v>ท่ออลูมีเนียมโต 78มม.*8 แฉก.</v>
      </c>
      <c r="G2623" s="59">
        <v>19.5</v>
      </c>
      <c r="H2623" s="59">
        <v>100</v>
      </c>
      <c r="I2623" s="1">
        <f>COUNTA(ProductInfo[[#This Row],[P1]:[P15]])</f>
        <v>4</v>
      </c>
      <c r="J262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23" s="7" t="s">
        <v>12</v>
      </c>
      <c r="M2623" s="7" t="s">
        <v>13</v>
      </c>
      <c r="N2623" s="4" t="s">
        <v>15</v>
      </c>
      <c r="O2623" s="4" t="s">
        <v>16</v>
      </c>
    </row>
    <row r="2624" spans="1:16">
      <c r="A2624" s="54" t="s">
        <v>6913</v>
      </c>
      <c r="B2624" s="8" t="s">
        <v>6912</v>
      </c>
      <c r="C2624" s="2" t="str">
        <f>RIGHT(ProductInfo[[#This Row],[Drawing No]],1)</f>
        <v>0</v>
      </c>
      <c r="D2624" s="174" t="s">
        <v>4788</v>
      </c>
      <c r="E2624" s="16" t="s">
        <v>3540</v>
      </c>
      <c r="F2624" s="23" t="str">
        <f>IFERROR(INDEX(MaterialCode[รายละเอียด],MATCH(ProductInfo[[#This Row],[Material Code]],MaterialCode[Material Code],0)),"ไม่พบวัตถุดิบ")</f>
        <v>ท่อหน้าตัด 6 ร่อง 63มม.*รูใน 33.5มม. (REV.เกรด 9/2562)</v>
      </c>
      <c r="G2624" s="59">
        <v>16.5</v>
      </c>
      <c r="H2624" s="59">
        <v>100</v>
      </c>
      <c r="I2624" s="1">
        <f>COUNTA(ProductInfo[[#This Row],[P1]:[P15]])</f>
        <v>5</v>
      </c>
      <c r="J262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2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24" s="4" t="s">
        <v>12</v>
      </c>
      <c r="M2624" s="4" t="s">
        <v>13</v>
      </c>
      <c r="N2624" s="4" t="s">
        <v>15</v>
      </c>
      <c r="O2624" s="4" t="s">
        <v>16</v>
      </c>
      <c r="P2624" s="4" t="s">
        <v>14</v>
      </c>
    </row>
    <row r="2625" spans="1:18">
      <c r="A2625" s="33" t="s">
        <v>6915</v>
      </c>
      <c r="B2625" s="82" t="s">
        <v>6914</v>
      </c>
      <c r="C2625" s="2" t="str">
        <f>RIGHT(ProductInfo[[#This Row],[Drawing No]],1)</f>
        <v>0</v>
      </c>
      <c r="D2625" s="191" t="s">
        <v>6424</v>
      </c>
      <c r="E2625" s="16" t="s">
        <v>7032</v>
      </c>
      <c r="F2625" s="23" t="str">
        <f>IFERROR(INDEX(MaterialCode[รายละเอียด],MATCH(ProductInfo[[#This Row],[Material Code]],MaterialCode[Material Code],0)),"ไม่พบวัตถุดิบ")</f>
        <v>ท่ออลูมิเนียมโต 61 มม. รุใน 29มม.</v>
      </c>
      <c r="G2625" s="31" t="s">
        <v>6576</v>
      </c>
      <c r="H2625" s="31" t="s">
        <v>5999</v>
      </c>
      <c r="I2625" s="1">
        <f>COUNTA(ProductInfo[[#This Row],[P1]:[P15]])</f>
        <v>4</v>
      </c>
      <c r="J262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25" s="4" t="s">
        <v>12</v>
      </c>
      <c r="M2625" s="4" t="s">
        <v>13</v>
      </c>
      <c r="N2625" s="4" t="s">
        <v>15</v>
      </c>
      <c r="O2625" s="4" t="s">
        <v>16</v>
      </c>
    </row>
    <row r="2626" spans="1:18" ht="14.4">
      <c r="A2626" s="33" t="s">
        <v>6919</v>
      </c>
      <c r="B2626" s="72" t="s">
        <v>6918</v>
      </c>
      <c r="C2626" s="2" t="str">
        <f>RIGHT(ProductInfo[[#This Row],[Drawing No]],1)</f>
        <v>0</v>
      </c>
      <c r="D2626" s="68" t="s">
        <v>6916</v>
      </c>
      <c r="E2626" s="16" t="s">
        <v>5608</v>
      </c>
      <c r="F2626" s="23" t="str">
        <f>IFERROR(INDEX(MaterialCode[รายละเอียด],MATCH(ProductInfo[[#This Row],[Material Code]],MaterialCode[Material Code],0)),"ไม่พบวัตถุดิบ")</f>
        <v>ท่ออลูมิเนียม 62x33.5 หกแฉก</v>
      </c>
      <c r="G2626" s="31" t="s">
        <v>6917</v>
      </c>
      <c r="H2626" s="31" t="s">
        <v>4899</v>
      </c>
      <c r="I2626" s="1">
        <f>COUNTA(ProductInfo[[#This Row],[P1]:[P15]])</f>
        <v>0</v>
      </c>
      <c r="J262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2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26" s="4"/>
    </row>
    <row r="2627" spans="1:18" ht="15.6">
      <c r="A2627" s="54" t="s">
        <v>6921</v>
      </c>
      <c r="B2627" s="72" t="s">
        <v>6920</v>
      </c>
      <c r="C2627" s="2" t="str">
        <f>RIGHT(ProductInfo[[#This Row],[Drawing No]],1)</f>
        <v>0</v>
      </c>
      <c r="D2627" s="68" t="s">
        <v>6922</v>
      </c>
      <c r="E2627" s="217" t="s">
        <v>6529</v>
      </c>
      <c r="F262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627" s="31" t="s">
        <v>5889</v>
      </c>
      <c r="H2627" s="31" t="s">
        <v>5999</v>
      </c>
      <c r="I2627" s="1">
        <f>COUNTA(ProductInfo[[#This Row],[P1]:[P15]])</f>
        <v>4</v>
      </c>
      <c r="J262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2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2</v>
      </c>
      <c r="L2627" s="4" t="s">
        <v>12</v>
      </c>
      <c r="M2627" s="4" t="s">
        <v>13</v>
      </c>
      <c r="N2627" s="4" t="s">
        <v>15</v>
      </c>
      <c r="O2627" s="4" t="s">
        <v>16</v>
      </c>
    </row>
    <row r="2628" spans="1:18" ht="14.4">
      <c r="A2628" s="33" t="s">
        <v>6924</v>
      </c>
      <c r="B2628" s="72" t="s">
        <v>6923</v>
      </c>
      <c r="C2628" s="2" t="str">
        <f>RIGHT(ProductInfo[[#This Row],[Drawing No]],1)</f>
        <v>0</v>
      </c>
      <c r="D2628" s="68" t="s">
        <v>6925</v>
      </c>
      <c r="E2628" s="16"/>
      <c r="F262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28" s="31"/>
      <c r="H2628" s="31"/>
      <c r="I2628" s="1">
        <f>COUNTA(ProductInfo[[#This Row],[P1]:[P15]])</f>
        <v>7</v>
      </c>
      <c r="J262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2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628" s="4" t="s">
        <v>12</v>
      </c>
      <c r="M2628" s="4" t="s">
        <v>13</v>
      </c>
      <c r="N2628" s="4" t="s">
        <v>14</v>
      </c>
      <c r="O2628" s="4" t="s">
        <v>15</v>
      </c>
      <c r="P2628" s="4" t="s">
        <v>16</v>
      </c>
      <c r="Q2628" s="4" t="s">
        <v>19</v>
      </c>
      <c r="R2628" s="4" t="s">
        <v>25</v>
      </c>
    </row>
    <row r="2629" spans="1:18" ht="14.4">
      <c r="A2629" s="33" t="s">
        <v>6927</v>
      </c>
      <c r="B2629" s="72" t="s">
        <v>6926</v>
      </c>
      <c r="C2629" s="2" t="str">
        <f>RIGHT(ProductInfo[[#This Row],[Drawing No]],1)</f>
        <v>0</v>
      </c>
      <c r="D2629" s="68" t="s">
        <v>6928</v>
      </c>
      <c r="E2629" s="16"/>
      <c r="F262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29" s="31"/>
      <c r="H2629" s="31"/>
      <c r="I2629" s="1">
        <f>COUNTA(ProductInfo[[#This Row],[P1]:[P15]])</f>
        <v>7</v>
      </c>
      <c r="J262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2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629" s="4" t="s">
        <v>12</v>
      </c>
      <c r="M2629" s="4" t="s">
        <v>13</v>
      </c>
      <c r="N2629" s="4" t="s">
        <v>14</v>
      </c>
      <c r="O2629" s="4" t="s">
        <v>15</v>
      </c>
      <c r="P2629" s="4" t="s">
        <v>16</v>
      </c>
      <c r="Q2629" s="4" t="s">
        <v>19</v>
      </c>
      <c r="R2629" s="4" t="s">
        <v>25</v>
      </c>
    </row>
    <row r="2630" spans="1:18" ht="14.4">
      <c r="A2630" s="33" t="s">
        <v>6930</v>
      </c>
      <c r="B2630" s="72" t="s">
        <v>6929</v>
      </c>
      <c r="C2630" s="2" t="str">
        <f>RIGHT(ProductInfo[[#This Row],[Drawing No]],1)</f>
        <v>0</v>
      </c>
      <c r="D2630" s="68" t="s">
        <v>6931</v>
      </c>
      <c r="E2630" s="16"/>
      <c r="F263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30" s="31"/>
      <c r="H2630" s="31"/>
      <c r="I2630" s="1">
        <f>COUNTA(ProductInfo[[#This Row],[P1]:[P15]])</f>
        <v>7</v>
      </c>
      <c r="J263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3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630" s="4" t="s">
        <v>12</v>
      </c>
      <c r="M2630" s="4" t="s">
        <v>13</v>
      </c>
      <c r="N2630" s="4" t="s">
        <v>14</v>
      </c>
      <c r="O2630" s="4" t="s">
        <v>15</v>
      </c>
      <c r="P2630" s="4" t="s">
        <v>16</v>
      </c>
      <c r="Q2630" s="4" t="s">
        <v>19</v>
      </c>
      <c r="R2630" s="4" t="s">
        <v>25</v>
      </c>
    </row>
    <row r="2631" spans="1:18" ht="14.4">
      <c r="A2631" s="33" t="s">
        <v>6933</v>
      </c>
      <c r="B2631" s="72" t="s">
        <v>6932</v>
      </c>
      <c r="C2631" s="2" t="str">
        <f>RIGHT(ProductInfo[[#This Row],[Drawing No]],1)</f>
        <v>0</v>
      </c>
      <c r="D2631" s="68" t="s">
        <v>6925</v>
      </c>
      <c r="E2631" s="16" t="s">
        <v>6987</v>
      </c>
      <c r="F2631" s="23" t="str">
        <f>IFERROR(INDEX(MaterialCode[รายละเอียด],MATCH(ProductInfo[[#This Row],[Material Code]],MaterialCode[Material Code],0)),"ไม่พบวัตถุดิบ")</f>
        <v>MATT FORDGE G M42 NEW 2025</v>
      </c>
      <c r="G2631" s="31" t="s">
        <v>6034</v>
      </c>
      <c r="H2631" s="31" t="s">
        <v>6208</v>
      </c>
      <c r="I2631" s="1">
        <f>COUNTA(ProductInfo[[#This Row],[P1]:[P15]])</f>
        <v>7</v>
      </c>
      <c r="J263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3</v>
      </c>
      <c r="K263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4</v>
      </c>
      <c r="L2631" s="4" t="s">
        <v>12</v>
      </c>
      <c r="M2631" s="4" t="s">
        <v>13</v>
      </c>
      <c r="N2631" s="4" t="s">
        <v>14</v>
      </c>
      <c r="O2631" s="4" t="s">
        <v>15</v>
      </c>
      <c r="P2631" s="4" t="s">
        <v>16</v>
      </c>
      <c r="Q2631" s="4" t="s">
        <v>19</v>
      </c>
      <c r="R2631" s="4" t="s">
        <v>25</v>
      </c>
    </row>
    <row r="2632" spans="1:18" ht="14.4">
      <c r="A2632" s="33" t="s">
        <v>6934</v>
      </c>
      <c r="B2632" s="72" t="s">
        <v>6899</v>
      </c>
      <c r="C2632" s="2" t="str">
        <f>RIGHT(ProductInfo[[#This Row],[Drawing No]],1)</f>
        <v>0</v>
      </c>
      <c r="D2632" s="68" t="s">
        <v>6942</v>
      </c>
      <c r="E2632" s="16" t="s">
        <v>7034</v>
      </c>
      <c r="F2632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32" s="31" t="s">
        <v>6211</v>
      </c>
      <c r="H2632" s="31" t="s">
        <v>4899</v>
      </c>
      <c r="I2632" s="1">
        <f>COUNTA(ProductInfo[[#This Row],[P1]:[P15]])</f>
        <v>2</v>
      </c>
      <c r="J263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3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2" s="4" t="s">
        <v>12</v>
      </c>
      <c r="M2632" s="4" t="s">
        <v>13</v>
      </c>
    </row>
    <row r="2633" spans="1:18" ht="14.4">
      <c r="A2633" s="33" t="s">
        <v>6936</v>
      </c>
      <c r="B2633" s="72" t="s">
        <v>6899</v>
      </c>
      <c r="C2633" s="2" t="str">
        <f>RIGHT(ProductInfo[[#This Row],[Drawing No]],1)</f>
        <v>0</v>
      </c>
      <c r="D2633" s="68" t="s">
        <v>6943</v>
      </c>
      <c r="E2633" s="16" t="s">
        <v>7034</v>
      </c>
      <c r="F2633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33" s="31" t="s">
        <v>6267</v>
      </c>
      <c r="H2633" s="31" t="s">
        <v>4899</v>
      </c>
      <c r="I2633" s="1">
        <f>COUNTA(ProductInfo[[#This Row],[P1]:[P15]])</f>
        <v>2</v>
      </c>
      <c r="J263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3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3" s="4" t="s">
        <v>12</v>
      </c>
      <c r="M2633" s="4" t="s">
        <v>13</v>
      </c>
    </row>
    <row r="2634" spans="1:18" ht="14.4">
      <c r="A2634" s="33" t="s">
        <v>6938</v>
      </c>
      <c r="B2634" s="72" t="s">
        <v>6899</v>
      </c>
      <c r="C2634" s="2" t="str">
        <f>RIGHT(ProductInfo[[#This Row],[Drawing No]],1)</f>
        <v>0</v>
      </c>
      <c r="D2634" s="68" t="s">
        <v>6944</v>
      </c>
      <c r="E2634" s="16" t="s">
        <v>7034</v>
      </c>
      <c r="F2634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34" s="31" t="s">
        <v>6212</v>
      </c>
      <c r="H2634" s="31" t="s">
        <v>4899</v>
      </c>
      <c r="I2634" s="1">
        <f>COUNTA(ProductInfo[[#This Row],[P1]:[P15]])</f>
        <v>2</v>
      </c>
      <c r="J263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3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4" s="4" t="s">
        <v>12</v>
      </c>
      <c r="M2634" s="4" t="s">
        <v>13</v>
      </c>
    </row>
    <row r="2635" spans="1:18" ht="14.4">
      <c r="A2635" s="33" t="s">
        <v>6940</v>
      </c>
      <c r="B2635" s="72" t="s">
        <v>6899</v>
      </c>
      <c r="C2635" s="2" t="str">
        <f>RIGHT(ProductInfo[[#This Row],[Drawing No]],1)</f>
        <v>0</v>
      </c>
      <c r="D2635" s="68" t="s">
        <v>6945</v>
      </c>
      <c r="E2635" s="16" t="s">
        <v>7034</v>
      </c>
      <c r="F2635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35" s="31" t="s">
        <v>6860</v>
      </c>
      <c r="H2635" s="31" t="s">
        <v>4899</v>
      </c>
      <c r="I2635" s="1">
        <f>COUNTA(ProductInfo[[#This Row],[P1]:[P15]])</f>
        <v>2</v>
      </c>
      <c r="J263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3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5" s="4" t="s">
        <v>12</v>
      </c>
      <c r="M2635" s="4" t="s">
        <v>13</v>
      </c>
    </row>
    <row r="2636" spans="1:18" ht="14.4">
      <c r="A2636" s="33" t="s">
        <v>6948</v>
      </c>
      <c r="B2636" s="72" t="s">
        <v>6947</v>
      </c>
      <c r="C2636" s="2" t="str">
        <f>RIGHT(ProductInfo[[#This Row],[Drawing No]],1)</f>
        <v>0</v>
      </c>
      <c r="D2636" s="68" t="s">
        <v>6949</v>
      </c>
      <c r="E2636" s="16"/>
      <c r="F2636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36" s="31"/>
      <c r="H2636" s="31"/>
      <c r="I2636" s="1">
        <f>COUNTA(ProductInfo[[#This Row],[P1]:[P15]])</f>
        <v>0</v>
      </c>
      <c r="J263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3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6" s="4"/>
    </row>
    <row r="2637" spans="1:18" ht="21">
      <c r="A2637" s="33" t="s">
        <v>6951</v>
      </c>
      <c r="B2637" s="72" t="s">
        <v>6950</v>
      </c>
      <c r="C2637" s="2" t="str">
        <f>RIGHT(ProductInfo[[#This Row],[Drawing No]],1)</f>
        <v>0</v>
      </c>
      <c r="D2637" s="248" t="s">
        <v>6952</v>
      </c>
      <c r="E2637" s="16" t="s">
        <v>3441</v>
      </c>
      <c r="F2637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637" s="31" t="s">
        <v>6974</v>
      </c>
      <c r="H2637" s="31" t="s">
        <v>6643</v>
      </c>
      <c r="I2637" s="1">
        <f>COUNTA(ProductInfo[[#This Row],[P1]:[P15]])</f>
        <v>0</v>
      </c>
      <c r="J263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3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7" s="4"/>
    </row>
    <row r="2638" spans="1:18" ht="21">
      <c r="A2638" s="33" t="s">
        <v>6954</v>
      </c>
      <c r="B2638" s="72" t="s">
        <v>6953</v>
      </c>
      <c r="C2638" s="2" t="str">
        <f>RIGHT(ProductInfo[[#This Row],[Drawing No]],1)</f>
        <v>0</v>
      </c>
      <c r="D2638" s="248" t="s">
        <v>6955</v>
      </c>
      <c r="E2638" s="16"/>
      <c r="F2638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38" s="31"/>
      <c r="H2638" s="31"/>
      <c r="I2638" s="1">
        <f>COUNTA(ProductInfo[[#This Row],[P1]:[P15]])</f>
        <v>0</v>
      </c>
      <c r="J263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3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8" s="4"/>
    </row>
    <row r="2639" spans="1:18" ht="18.75" customHeight="1">
      <c r="A2639" s="33" t="s">
        <v>6956</v>
      </c>
      <c r="B2639" s="72" t="s">
        <v>6970</v>
      </c>
      <c r="C2639" s="2" t="str">
        <f>RIGHT(ProductInfo[[#This Row],[Drawing No]],1)</f>
        <v>1</v>
      </c>
      <c r="D2639" s="248" t="s">
        <v>6957</v>
      </c>
      <c r="E2639" s="252" t="s">
        <v>6650</v>
      </c>
      <c r="F2639" s="23" t="str">
        <f>IFERROR(INDEX(MaterialCode[รายละเอียด],MATCH(ProductInfo[[#This Row],[Material Code]],MaterialCode[Material Code],0)),"ไม่พบวัตถุดิบ")</f>
        <v>เพลาอลูมีเนี่ยมโต 70.3 มม.</v>
      </c>
      <c r="G2639" s="31" t="s">
        <v>6642</v>
      </c>
      <c r="H2639" s="31" t="s">
        <v>6643</v>
      </c>
      <c r="I2639" s="1">
        <f>COUNTA(ProductInfo[[#This Row],[P1]:[P15]])</f>
        <v>0</v>
      </c>
      <c r="J263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3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39" s="4"/>
    </row>
    <row r="2640" spans="1:18" ht="21">
      <c r="A2640" s="117" t="s">
        <v>6959</v>
      </c>
      <c r="B2640" s="118" t="s">
        <v>6958</v>
      </c>
      <c r="C2640" s="2" t="str">
        <f>RIGHT(ProductInfo[[#This Row],[Drawing No]],1)</f>
        <v>0</v>
      </c>
      <c r="D2640" s="248" t="s">
        <v>6960</v>
      </c>
      <c r="E2640" s="16"/>
      <c r="F264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40" s="31"/>
      <c r="H2640" s="31"/>
      <c r="I2640" s="1">
        <f>COUNTA(ProductInfo[[#This Row],[P1]:[P15]])</f>
        <v>0</v>
      </c>
      <c r="J264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0" s="4"/>
    </row>
    <row r="2641" spans="1:14" ht="23.4">
      <c r="A2641" s="117" t="s">
        <v>6962</v>
      </c>
      <c r="B2641" s="249" t="s">
        <v>6961</v>
      </c>
      <c r="C2641" s="2" t="str">
        <f>RIGHT(ProductInfo[[#This Row],[Drawing No]],1)</f>
        <v>0</v>
      </c>
      <c r="D2641" s="250" t="s">
        <v>6963</v>
      </c>
      <c r="E2641" s="16"/>
      <c r="F264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41" s="31"/>
      <c r="H2641" s="31"/>
      <c r="I2641" s="1">
        <f>COUNTA(ProductInfo[[#This Row],[P1]:[P15]])</f>
        <v>0</v>
      </c>
      <c r="J264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1" s="4"/>
    </row>
    <row r="2642" spans="1:14" ht="14.4">
      <c r="A2642" s="33" t="s">
        <v>6967</v>
      </c>
      <c r="B2642" s="72" t="s">
        <v>6966</v>
      </c>
      <c r="C2642" s="2" t="str">
        <f>RIGHT(ProductInfo[[#This Row],[Drawing No]],1)</f>
        <v>0</v>
      </c>
      <c r="D2642" s="68" t="s">
        <v>6968</v>
      </c>
      <c r="E2642" s="16"/>
      <c r="F264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42" s="31"/>
      <c r="H2642" s="31"/>
      <c r="I2642" s="1">
        <f>COUNTA(ProductInfo[[#This Row],[P1]:[P15]])</f>
        <v>0</v>
      </c>
      <c r="J264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2" s="4"/>
    </row>
    <row r="2643" spans="1:14" ht="21">
      <c r="A2643" s="54" t="s">
        <v>6972</v>
      </c>
      <c r="B2643" s="72" t="s">
        <v>6950</v>
      </c>
      <c r="C2643" s="2" t="str">
        <f>RIGHT(ProductInfo[[#This Row],[Drawing No]],1)</f>
        <v>0</v>
      </c>
      <c r="D2643" s="257" t="s">
        <v>6973</v>
      </c>
      <c r="E2643" s="16" t="s">
        <v>3441</v>
      </c>
      <c r="F2643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643" s="31" t="s">
        <v>6674</v>
      </c>
      <c r="H2643" s="31" t="s">
        <v>6643</v>
      </c>
      <c r="I2643" s="1">
        <f>COUNTA(ProductInfo[[#This Row],[P1]:[P15]])</f>
        <v>0</v>
      </c>
      <c r="J264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3" s="4"/>
    </row>
    <row r="2644" spans="1:14" ht="14.4">
      <c r="A2644" s="33" t="s">
        <v>6976</v>
      </c>
      <c r="B2644" s="72" t="s">
        <v>6975</v>
      </c>
      <c r="C2644" s="2" t="str">
        <f>RIGHT(ProductInfo[[#This Row],[Drawing No]],1)</f>
        <v>0</v>
      </c>
      <c r="D2644" s="68" t="s">
        <v>6977</v>
      </c>
      <c r="E2644" s="16"/>
      <c r="F2644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44" s="31"/>
      <c r="H2644" s="31"/>
      <c r="I2644" s="1">
        <f>COUNTA(ProductInfo[[#This Row],[P1]:[P15]])</f>
        <v>0</v>
      </c>
      <c r="J264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4" s="4"/>
    </row>
    <row r="2645" spans="1:14" ht="14.4">
      <c r="A2645" s="33" t="s">
        <v>6979</v>
      </c>
      <c r="B2645" s="72" t="s">
        <v>6978</v>
      </c>
      <c r="C2645" s="2" t="str">
        <f>RIGHT(ProductInfo[[#This Row],[Drawing No]],1)</f>
        <v>0</v>
      </c>
      <c r="D2645" s="68" t="s">
        <v>6980</v>
      </c>
      <c r="E2645" s="16" t="s">
        <v>3427</v>
      </c>
      <c r="F2645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2645" s="31" t="s">
        <v>6467</v>
      </c>
      <c r="H2645" s="31" t="s">
        <v>4897</v>
      </c>
      <c r="I2645" s="1">
        <f>COUNTA(ProductInfo[[#This Row],[P1]:[P15]])</f>
        <v>0</v>
      </c>
      <c r="J264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5" s="4"/>
    </row>
    <row r="2646" spans="1:14">
      <c r="A2646" s="54" t="s">
        <v>6984</v>
      </c>
      <c r="B2646" s="8" t="s">
        <v>6983</v>
      </c>
      <c r="C2646" s="2" t="str">
        <f>RIGHT(ProductInfo[[#This Row],[Drawing No]],1)</f>
        <v>0</v>
      </c>
      <c r="D2646" s="174" t="s">
        <v>6985</v>
      </c>
      <c r="E2646" s="16" t="s">
        <v>3441</v>
      </c>
      <c r="F2646" s="23" t="str">
        <f>IFERROR(INDEX(MaterialCode[รายละเอียด],MATCH(ProductInfo[[#This Row],[Material Code]],MaterialCode[Material Code],0)),"ไม่พบวัตถุดิบ")</f>
        <v>เพลาอลูมีเนียมโต 60 มม.</v>
      </c>
      <c r="G2646" s="31" t="s">
        <v>6642</v>
      </c>
      <c r="H2646" s="31" t="s">
        <v>4897</v>
      </c>
      <c r="I2646" s="1">
        <f>COUNTA(ProductInfo[[#This Row],[P1]:[P15]])</f>
        <v>0</v>
      </c>
      <c r="J264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6" s="4"/>
    </row>
    <row r="2647" spans="1:14">
      <c r="A2647" s="33" t="s">
        <v>6990</v>
      </c>
      <c r="B2647" s="72" t="s">
        <v>6989</v>
      </c>
      <c r="C2647" s="2" t="str">
        <f>RIGHT(ProductInfo[[#This Row],[Drawing No]],1)</f>
        <v>0</v>
      </c>
      <c r="D2647" s="174" t="s">
        <v>6928</v>
      </c>
      <c r="E2647" s="16" t="s">
        <v>6987</v>
      </c>
      <c r="F2647" s="23" t="str">
        <f>IFERROR(INDEX(MaterialCode[รายละเอียด],MATCH(ProductInfo[[#This Row],[Material Code]],MaterialCode[Material Code],0)),"ไม่พบวัตถุดิบ")</f>
        <v>MATT FORDGE G M42 NEW 2025</v>
      </c>
      <c r="G2647" s="31" t="s">
        <v>6034</v>
      </c>
      <c r="H2647" s="31" t="s">
        <v>6208</v>
      </c>
      <c r="I2647" s="1">
        <f>COUNTA(ProductInfo[[#This Row],[P1]:[P15]])</f>
        <v>0</v>
      </c>
      <c r="J264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7" s="4"/>
    </row>
    <row r="2648" spans="1:14">
      <c r="A2648" s="33" t="s">
        <v>6992</v>
      </c>
      <c r="B2648" s="72" t="s">
        <v>6991</v>
      </c>
      <c r="C2648" s="2" t="str">
        <f>RIGHT(ProductInfo[[#This Row],[Drawing No]],1)</f>
        <v>0</v>
      </c>
      <c r="D2648" s="174" t="s">
        <v>6931</v>
      </c>
      <c r="E2648" s="16" t="s">
        <v>6987</v>
      </c>
      <c r="F2648" s="23" t="str">
        <f>IFERROR(INDEX(MaterialCode[รายละเอียด],MATCH(ProductInfo[[#This Row],[Material Code]],MaterialCode[Material Code],0)),"ไม่พบวัตถุดิบ")</f>
        <v>MATT FORDGE G M42 NEW 2025</v>
      </c>
      <c r="G2648" s="31" t="s">
        <v>6034</v>
      </c>
      <c r="H2648" s="31" t="s">
        <v>6208</v>
      </c>
      <c r="I2648" s="1">
        <f>COUNTA(ProductInfo[[#This Row],[P1]:[P15]])</f>
        <v>0</v>
      </c>
      <c r="J264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8" s="4"/>
    </row>
    <row r="2649" spans="1:14">
      <c r="A2649" s="33" t="s">
        <v>6994</v>
      </c>
      <c r="B2649" s="72" t="s">
        <v>6993</v>
      </c>
      <c r="C2649" s="2" t="str">
        <f>RIGHT(ProductInfo[[#This Row],[Drawing No]],1)</f>
        <v>0</v>
      </c>
      <c r="D2649" s="174" t="s">
        <v>6995</v>
      </c>
      <c r="E2649" s="16"/>
      <c r="F264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49" s="31"/>
      <c r="H2649" s="31"/>
      <c r="I2649" s="1">
        <f>COUNTA(ProductInfo[[#This Row],[P1]:[P15]])</f>
        <v>0</v>
      </c>
      <c r="J264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4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49" s="4"/>
    </row>
    <row r="2650" spans="1:14">
      <c r="A2650" s="54" t="s">
        <v>6997</v>
      </c>
      <c r="B2650" s="8" t="s">
        <v>6996</v>
      </c>
      <c r="C2650" s="2" t="str">
        <f>RIGHT(ProductInfo[[#This Row],[Drawing No]],1)</f>
        <v>0</v>
      </c>
      <c r="D2650" s="174" t="s">
        <v>6998</v>
      </c>
      <c r="E2650" s="16"/>
      <c r="F265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50" s="31"/>
      <c r="H2650" s="31"/>
      <c r="I2650" s="1">
        <f>COUNTA(ProductInfo[[#This Row],[P1]:[P15]])</f>
        <v>0</v>
      </c>
      <c r="J265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0" s="4"/>
    </row>
    <row r="2651" spans="1:14">
      <c r="A2651" s="54" t="s">
        <v>7000</v>
      </c>
      <c r="B2651" s="8" t="s">
        <v>6999</v>
      </c>
      <c r="C2651" s="2" t="str">
        <f>RIGHT(ProductInfo[[#This Row],[Drawing No]],1)</f>
        <v>0</v>
      </c>
      <c r="D2651" s="174" t="s">
        <v>6868</v>
      </c>
      <c r="E2651" s="16"/>
      <c r="F2651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51" s="31"/>
      <c r="H2651" s="31"/>
      <c r="I2651" s="1">
        <f>COUNTA(ProductInfo[[#This Row],[P1]:[P15]])</f>
        <v>0</v>
      </c>
      <c r="J265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1" s="4"/>
    </row>
    <row r="2652" spans="1:14">
      <c r="A2652" s="54" t="s">
        <v>7002</v>
      </c>
      <c r="B2652" s="8" t="s">
        <v>7001</v>
      </c>
      <c r="C2652" s="2" t="str">
        <f>RIGHT(ProductInfo[[#This Row],[Drawing No]],1)</f>
        <v>0</v>
      </c>
      <c r="D2652" s="174" t="s">
        <v>7003</v>
      </c>
      <c r="E2652" s="16"/>
      <c r="F2652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52" s="31"/>
      <c r="H2652" s="31"/>
      <c r="I2652" s="1">
        <f>COUNTA(ProductInfo[[#This Row],[P1]:[P15]])</f>
        <v>0</v>
      </c>
      <c r="J2652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2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2" s="4"/>
    </row>
    <row r="2653" spans="1:14">
      <c r="A2653" s="54" t="s">
        <v>7005</v>
      </c>
      <c r="B2653" s="8" t="s">
        <v>7004</v>
      </c>
      <c r="C2653" s="2" t="str">
        <f>RIGHT(ProductInfo[[#This Row],[Drawing No]],1)</f>
        <v>0</v>
      </c>
      <c r="D2653" s="174" t="s">
        <v>7006</v>
      </c>
      <c r="E2653" s="16" t="s">
        <v>3439</v>
      </c>
      <c r="F2653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53" s="31" t="s">
        <v>6974</v>
      </c>
      <c r="H2653" s="31"/>
      <c r="I2653" s="1">
        <f>COUNTA(ProductInfo[[#This Row],[P1]:[P15]])</f>
        <v>0</v>
      </c>
      <c r="J265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3" s="4"/>
    </row>
    <row r="2654" spans="1:14">
      <c r="A2654" s="54" t="s">
        <v>6964</v>
      </c>
      <c r="B2654" s="8" t="s">
        <v>7007</v>
      </c>
      <c r="C2654" s="2" t="str">
        <f>RIGHT(ProductInfo[[#This Row],[Drawing No]],1)</f>
        <v>1</v>
      </c>
      <c r="D2654" s="174" t="s">
        <v>7008</v>
      </c>
      <c r="E2654" s="16" t="s">
        <v>3439</v>
      </c>
      <c r="F2654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54" s="31" t="s">
        <v>6971</v>
      </c>
      <c r="H2654" s="31" t="s">
        <v>6273</v>
      </c>
      <c r="I2654" s="1">
        <f>COUNTA(ProductInfo[[#This Row],[P1]:[P15]])</f>
        <v>3</v>
      </c>
      <c r="J265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5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1</v>
      </c>
      <c r="L2654" s="4" t="s">
        <v>12</v>
      </c>
      <c r="M2654" s="4" t="s">
        <v>13</v>
      </c>
      <c r="N2654" s="4" t="s">
        <v>15</v>
      </c>
    </row>
    <row r="2655" spans="1:14">
      <c r="A2655" s="54" t="s">
        <v>7010</v>
      </c>
      <c r="B2655" s="8" t="s">
        <v>7009</v>
      </c>
      <c r="C2655" s="2" t="str">
        <f>RIGHT(ProductInfo[[#This Row],[Drawing No]],1)</f>
        <v>0</v>
      </c>
      <c r="D2655" s="174" t="s">
        <v>7011</v>
      </c>
      <c r="E2655" s="16" t="s">
        <v>6529</v>
      </c>
      <c r="F2655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655" s="31" t="s">
        <v>7021</v>
      </c>
      <c r="H2655" s="31" t="s">
        <v>5999</v>
      </c>
      <c r="I2655" s="1">
        <f>COUNTA(ProductInfo[[#This Row],[P1]:[P15]])</f>
        <v>0</v>
      </c>
      <c r="J265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5" s="4"/>
    </row>
    <row r="2656" spans="1:14">
      <c r="A2656" s="54" t="s">
        <v>7013</v>
      </c>
      <c r="B2656" s="8" t="s">
        <v>7012</v>
      </c>
      <c r="C2656" s="2" t="str">
        <f>RIGHT(ProductInfo[[#This Row],[Drawing No]],1)</f>
        <v>0</v>
      </c>
      <c r="D2656" s="174" t="s">
        <v>7014</v>
      </c>
      <c r="E2656" s="16" t="s">
        <v>6529</v>
      </c>
      <c r="F2656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656" s="31" t="s">
        <v>7019</v>
      </c>
      <c r="H2656" s="31" t="s">
        <v>5999</v>
      </c>
      <c r="I2656" s="1">
        <f>COUNTA(ProductInfo[[#This Row],[P1]:[P15]])</f>
        <v>0</v>
      </c>
      <c r="J265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6" s="4"/>
    </row>
    <row r="2657" spans="1:38">
      <c r="A2657" s="54" t="s">
        <v>7016</v>
      </c>
      <c r="B2657" s="8" t="s">
        <v>7015</v>
      </c>
      <c r="C2657" s="2" t="str">
        <f>RIGHT(ProductInfo[[#This Row],[Drawing No]],1)</f>
        <v>1</v>
      </c>
      <c r="D2657" s="174" t="s">
        <v>7017</v>
      </c>
      <c r="E2657" s="16" t="s">
        <v>3423</v>
      </c>
      <c r="F2657" s="23" t="str">
        <f>IFERROR(INDEX(MaterialCode[รายละเอียด],MATCH(ProductInfo[[#This Row],[Material Code]],MaterialCode[Material Code],0)),"ไม่พบวัตถุดิบ")</f>
        <v xml:space="preserve">เพลาอลูมีเนียม ขนาด 76.2 มม. </v>
      </c>
      <c r="G2657" s="31" t="s">
        <v>7018</v>
      </c>
      <c r="H2657" s="31"/>
      <c r="I2657" s="1">
        <f>COUNTA(ProductInfo[[#This Row],[P1]:[P15]])</f>
        <v>0</v>
      </c>
      <c r="J265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5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7" s="4"/>
    </row>
    <row r="2658" spans="1:38">
      <c r="A2658" s="54" t="s">
        <v>6299</v>
      </c>
      <c r="B2658" s="8" t="s">
        <v>6294</v>
      </c>
      <c r="C2658" s="2" t="str">
        <f>RIGHT(ProductInfo[[#This Row],[Drawing No]],1)</f>
        <v>0</v>
      </c>
      <c r="D2658" s="174" t="s">
        <v>6310</v>
      </c>
      <c r="E2658" s="16" t="s">
        <v>3467</v>
      </c>
      <c r="F2658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658" s="31" t="s">
        <v>7020</v>
      </c>
      <c r="H2658" s="31" t="s">
        <v>6692</v>
      </c>
      <c r="I2658" s="1">
        <f>COUNTA(ProductInfo[[#This Row],[P1]:[P15]])</f>
        <v>2</v>
      </c>
      <c r="J265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5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8" s="4" t="s">
        <v>12</v>
      </c>
      <c r="M2658" s="4" t="s">
        <v>13</v>
      </c>
    </row>
    <row r="2659" spans="1:38" ht="25.8">
      <c r="A2659" s="54" t="s">
        <v>7024</v>
      </c>
      <c r="B2659" s="8" t="s">
        <v>7023</v>
      </c>
      <c r="C2659" s="2" t="str">
        <f>RIGHT(ProductInfo[[#This Row],[Drawing No]],1)</f>
        <v>0</v>
      </c>
      <c r="D2659" s="174" t="s">
        <v>7025</v>
      </c>
      <c r="E2659" s="258" t="s">
        <v>7037</v>
      </c>
      <c r="F2659" s="23" t="str">
        <f>IFERROR(INDEX(MaterialCode[รายละเอียด],MATCH(ProductInfo[[#This Row],[Material Code]],MaterialCode[Material Code],0)),"ไม่พบวัตถุดิบ")</f>
        <v>เพลาอลูมีเนี่ยมโต 36.3มม.</v>
      </c>
      <c r="G2659" s="31" t="s">
        <v>7020</v>
      </c>
      <c r="H2659" s="31" t="s">
        <v>5999</v>
      </c>
      <c r="I2659" s="1">
        <f>COUNTA(ProductInfo[[#This Row],[P1]:[P15]])</f>
        <v>2</v>
      </c>
      <c r="J265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5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59" s="4" t="s">
        <v>12</v>
      </c>
      <c r="M2659" s="4" t="s">
        <v>13</v>
      </c>
    </row>
    <row r="2660" spans="1:38" ht="14.4">
      <c r="A2660" s="33" t="s">
        <v>7028</v>
      </c>
      <c r="B2660" s="72" t="s">
        <v>7027</v>
      </c>
      <c r="C2660" s="2" t="str">
        <f>RIGHT(ProductInfo[[#This Row],[Drawing No]],1)</f>
        <v>0</v>
      </c>
      <c r="D2660" s="68" t="s">
        <v>6980</v>
      </c>
      <c r="E2660" s="16" t="s">
        <v>3427</v>
      </c>
      <c r="F2660" s="23" t="str">
        <f>IFERROR(INDEX(MaterialCode[รายละเอียด],MATCH(ProductInfo[[#This Row],[Material Code]],MaterialCode[Material Code],0)),"ไม่พบวัตถุดิบ")</f>
        <v>เพลาอลูมีเนียม โต 85.73 มม.</v>
      </c>
      <c r="G2660" s="31" t="s">
        <v>7036</v>
      </c>
      <c r="H2660" s="31" t="s">
        <v>4897</v>
      </c>
      <c r="I2660" s="1">
        <f>COUNTA(ProductInfo[[#This Row],[P1]:[P15]])</f>
        <v>0</v>
      </c>
      <c r="J266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0" s="4"/>
    </row>
    <row r="2661" spans="1:38" ht="28.8">
      <c r="A2661" s="54" t="s">
        <v>7042</v>
      </c>
      <c r="B2661" s="8" t="s">
        <v>7041</v>
      </c>
      <c r="C2661" s="2" t="str">
        <f>RIGHT(ProductInfo[[#This Row],[Drawing No]],1)</f>
        <v>0</v>
      </c>
      <c r="D2661" s="174" t="s">
        <v>7017</v>
      </c>
      <c r="E2661" s="242" t="s">
        <v>6650</v>
      </c>
      <c r="F2661" s="23" t="str">
        <f>IFERROR(INDEX(MaterialCode[รายละเอียด],MATCH(ProductInfo[[#This Row],[Material Code]],MaterialCode[Material Code],0)),"ไม่พบวัตถุดิบ")</f>
        <v>เพลาอลูมีเนี่ยมโต 70.3 มม.</v>
      </c>
      <c r="G2661" s="31" t="s">
        <v>7043</v>
      </c>
      <c r="H2661" s="31" t="s">
        <v>6643</v>
      </c>
      <c r="I2661" s="1">
        <f>COUNTA(ProductInfo[[#This Row],[P1]:[P15]])</f>
        <v>0</v>
      </c>
      <c r="J266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1" s="4"/>
    </row>
    <row r="2662" spans="1:38" s="235" customFormat="1" ht="17.399999999999999">
      <c r="A2662" s="267" t="s">
        <v>7051</v>
      </c>
      <c r="B2662" s="234" t="s">
        <v>7049</v>
      </c>
      <c r="C2662" s="235" t="str">
        <f>RIGHT(ProductInfo[[#This Row],[Drawing No]],1)</f>
        <v>0</v>
      </c>
      <c r="D2662" s="268" t="s">
        <v>6957</v>
      </c>
      <c r="E2662" s="269" t="s">
        <v>6650</v>
      </c>
      <c r="F2662" s="237" t="str">
        <f>IFERROR(INDEX(MaterialCode[รายละเอียด],MATCH(ProductInfo[[#This Row],[Material Code]],MaterialCode[Material Code],0)),"ไม่พบวัตถุดิบ")</f>
        <v>เพลาอลูมีเนี่ยมโต 70.3 มม.</v>
      </c>
      <c r="G2662" s="210" t="s">
        <v>7052</v>
      </c>
      <c r="H2662" s="210" t="s">
        <v>6643</v>
      </c>
      <c r="I2662" s="238">
        <f>COUNTA(ProductInfo[[#This Row],[P1]:[P15]])</f>
        <v>0</v>
      </c>
      <c r="J2662" s="238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2" s="238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2" s="232"/>
      <c r="M2662" s="232"/>
      <c r="N2662" s="232"/>
      <c r="O2662" s="232"/>
      <c r="P2662" s="232"/>
      <c r="Q2662" s="232"/>
      <c r="R2662" s="232"/>
      <c r="S2662" s="232"/>
      <c r="T2662" s="232"/>
      <c r="U2662" s="232"/>
      <c r="V2662" s="232"/>
      <c r="W2662" s="232"/>
      <c r="X2662" s="232"/>
      <c r="Y2662" s="232"/>
      <c r="Z2662" s="232"/>
      <c r="AA2662" s="232"/>
      <c r="AC2662" s="239"/>
      <c r="AD2662" s="239"/>
      <c r="AE2662" s="240"/>
      <c r="AF2662" s="239"/>
      <c r="AG2662" s="239"/>
      <c r="AH2662" s="239"/>
      <c r="AI2662" s="239"/>
      <c r="AJ2662" s="239"/>
      <c r="AK2662" s="239"/>
      <c r="AL2662" s="239"/>
    </row>
    <row r="2663" spans="1:38">
      <c r="A2663" s="54" t="s">
        <v>7054</v>
      </c>
      <c r="B2663" s="8" t="s">
        <v>7053</v>
      </c>
      <c r="C2663" s="2" t="str">
        <f>RIGHT(ProductInfo[[#This Row],[Drawing No]],1)</f>
        <v>0</v>
      </c>
      <c r="D2663" s="174" t="s">
        <v>4742</v>
      </c>
      <c r="E2663" s="16" t="s">
        <v>3467</v>
      </c>
      <c r="F2663" s="23" t="str">
        <f>IFERROR(INDEX(MaterialCode[รายละเอียด],MATCH(ProductInfo[[#This Row],[Material Code]],MaterialCode[Material Code],0)),"ไม่พบวัตถุดิบ")</f>
        <v>ท่ออลูมีเนียมโต 52.5 มม.*รูใน 46 มม.  **NEW15/6/61**</v>
      </c>
      <c r="G2663" s="31" t="s">
        <v>7055</v>
      </c>
      <c r="H2663" s="31" t="s">
        <v>6692</v>
      </c>
      <c r="I2663" s="1">
        <f>COUNTA(ProductInfo[[#This Row],[P1]:[P15]])</f>
        <v>1</v>
      </c>
      <c r="J2663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1</v>
      </c>
      <c r="K2663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3" s="4" t="s">
        <v>12</v>
      </c>
    </row>
    <row r="2664" spans="1:38">
      <c r="A2664" s="54" t="s">
        <v>7059</v>
      </c>
      <c r="B2664" s="72" t="s">
        <v>7058</v>
      </c>
      <c r="C2664" s="2" t="str">
        <f>RIGHT(ProductInfo[[#This Row],[Drawing No]],1)</f>
        <v>0</v>
      </c>
      <c r="D2664" s="174" t="s">
        <v>7060</v>
      </c>
      <c r="E2664" s="16" t="s">
        <v>3439</v>
      </c>
      <c r="F2664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64" s="31" t="s">
        <v>6971</v>
      </c>
      <c r="H2664" s="31" t="s">
        <v>5999</v>
      </c>
      <c r="I2664" s="1">
        <f>COUNTA(ProductInfo[[#This Row],[P1]:[P15]])</f>
        <v>0</v>
      </c>
      <c r="J2664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4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4" s="4"/>
    </row>
    <row r="2665" spans="1:38">
      <c r="A2665" s="33" t="s">
        <v>7062</v>
      </c>
      <c r="B2665" s="8" t="s">
        <v>7061</v>
      </c>
      <c r="C2665" s="2" t="str">
        <f>RIGHT(ProductInfo[[#This Row],[Drawing No]],1)</f>
        <v>0</v>
      </c>
      <c r="D2665" s="174" t="s">
        <v>7084</v>
      </c>
      <c r="E2665" s="16" t="s">
        <v>3459</v>
      </c>
      <c r="F2665" s="23" t="str">
        <f>IFERROR(INDEX(MaterialCode[รายละเอียด],MATCH(ProductInfo[[#This Row],[Material Code]],MaterialCode[Material Code],0)),"ไม่พบวัตถุดิบ")</f>
        <v>ท่ออลูมีเนี่ยมโต 63xรู32มม.</v>
      </c>
      <c r="G2665" s="31" t="s">
        <v>7083</v>
      </c>
      <c r="H2665" s="31" t="s">
        <v>5999</v>
      </c>
      <c r="I2665" s="1">
        <f>COUNTA(ProductInfo[[#This Row],[P1]:[P15]])</f>
        <v>0</v>
      </c>
      <c r="J2665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5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5" s="4"/>
    </row>
    <row r="2666" spans="1:38">
      <c r="A2666" s="54" t="s">
        <v>7065</v>
      </c>
      <c r="B2666" s="8" t="s">
        <v>7064</v>
      </c>
      <c r="C2666" s="2" t="str">
        <f>RIGHT(ProductInfo[[#This Row],[Drawing No]],1)</f>
        <v>0</v>
      </c>
      <c r="D2666" s="174" t="s">
        <v>7066</v>
      </c>
      <c r="E2666" s="16" t="s">
        <v>3439</v>
      </c>
      <c r="F2666" s="23" t="str">
        <f>IFERROR(INDEX(MaterialCode[รายละเอียด],MATCH(ProductInfo[[#This Row],[Material Code]],MaterialCode[Material Code],0)),"ไม่พบวัตถุดิบ")</f>
        <v>ท่ออลูมีเนียมโต 96 มม.* รู 39.5 มม.</v>
      </c>
      <c r="G2666" s="31" t="s">
        <v>6208</v>
      </c>
      <c r="H2666" s="31" t="s">
        <v>4897</v>
      </c>
      <c r="I2666" s="1">
        <f>COUNTA(ProductInfo[[#This Row],[P1]:[P15]])</f>
        <v>0</v>
      </c>
      <c r="J2666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6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6" s="4"/>
    </row>
    <row r="2667" spans="1:38">
      <c r="A2667" s="33" t="s">
        <v>7068</v>
      </c>
      <c r="B2667" s="72" t="s">
        <v>7067</v>
      </c>
      <c r="C2667" s="2" t="str">
        <f>RIGHT(ProductInfo[[#This Row],[Drawing No]],1)</f>
        <v>0</v>
      </c>
      <c r="D2667" s="174" t="s">
        <v>7069</v>
      </c>
      <c r="E2667" s="16" t="s">
        <v>6529</v>
      </c>
      <c r="F2667" s="23" t="str">
        <f>IFERROR(INDEX(MaterialCode[รายละเอียด],MATCH(ProductInfo[[#This Row],[Material Code]],MaterialCode[Material Code],0)),"ไม่พบวัตถุดิบ")</f>
        <v>เพลาอลูมีเนี่ยมโต 38.5มม.</v>
      </c>
      <c r="G2667" s="31" t="s">
        <v>7082</v>
      </c>
      <c r="H2667" s="31" t="s">
        <v>5999</v>
      </c>
      <c r="I2667" s="1">
        <f>COUNTA(ProductInfo[[#This Row],[P1]:[P15]])</f>
        <v>0</v>
      </c>
      <c r="J2667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7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7" s="4"/>
    </row>
    <row r="2668" spans="1:38">
      <c r="A2668" s="33" t="s">
        <v>7071</v>
      </c>
      <c r="B2668" s="72" t="s">
        <v>7070</v>
      </c>
      <c r="C2668" s="2" t="str">
        <f>RIGHT(ProductInfo[[#This Row],[Drawing No]],1)</f>
        <v>0</v>
      </c>
      <c r="D2668" s="174" t="s">
        <v>7072</v>
      </c>
      <c r="E2668" s="16" t="s">
        <v>3726</v>
      </c>
      <c r="F2668" s="23" t="str">
        <f>IFERROR(INDEX(MaterialCode[รายละเอียด],MATCH(ProductInfo[[#This Row],[Material Code]],MaterialCode[Material Code],0)),"ไม่พบวัตถุดิบ")</f>
        <v>MATT FORDGE G M35</v>
      </c>
      <c r="G2668" s="31" t="s">
        <v>6034</v>
      </c>
      <c r="H2668" s="31" t="s">
        <v>4897</v>
      </c>
      <c r="I2668" s="1">
        <f>COUNTA(ProductInfo[[#This Row],[P1]:[P15]])</f>
        <v>0</v>
      </c>
      <c r="J2668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8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8" s="4"/>
    </row>
    <row r="2669" spans="1:38" ht="14.4">
      <c r="A2669" s="33" t="s">
        <v>7073</v>
      </c>
      <c r="B2669" s="72" t="s">
        <v>7074</v>
      </c>
      <c r="C2669" s="2" t="str">
        <f>RIGHT(ProductInfo[[#This Row],[Drawing No]],1)</f>
        <v>0</v>
      </c>
      <c r="D2669" s="68" t="s">
        <v>7075</v>
      </c>
      <c r="E2669" s="16"/>
      <c r="F2669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69" s="31"/>
      <c r="H2669" s="31"/>
      <c r="I2669" s="1">
        <f>COUNTA(ProductInfo[[#This Row],[P1]:[P15]])</f>
        <v>0</v>
      </c>
      <c r="J2669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69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69" s="4"/>
    </row>
    <row r="2670" spans="1:38">
      <c r="A2670" s="54" t="s">
        <v>7078</v>
      </c>
      <c r="B2670" s="72" t="s">
        <v>7077</v>
      </c>
      <c r="C2670" s="2" t="str">
        <f>RIGHT(ProductInfo[[#This Row],[Drawing No]],1)</f>
        <v>8</v>
      </c>
      <c r="D2670" s="206" t="s">
        <v>7076</v>
      </c>
      <c r="E2670" s="16"/>
      <c r="F2670" s="23" t="str">
        <f>IFERROR(INDEX(MaterialCode[รายละเอียด],MATCH(ProductInfo[[#This Row],[Material Code]],MaterialCode[Material Code],0)),"ไม่พบวัตถุดิบ")</f>
        <v>ไม่พบวัตถุดิบ</v>
      </c>
      <c r="G2670" s="31"/>
      <c r="H2670" s="31"/>
      <c r="I2670" s="1">
        <f>COUNTA(ProductInfo[[#This Row],[P1]:[P15]])</f>
        <v>0</v>
      </c>
      <c r="J2670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0</v>
      </c>
      <c r="K2670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70" s="4"/>
    </row>
    <row r="2671" spans="1:38" ht="14.4">
      <c r="A2671" s="54" t="s">
        <v>7079</v>
      </c>
      <c r="B2671" s="72" t="s">
        <v>6899</v>
      </c>
      <c r="C2671" s="2" t="str">
        <f>RIGHT(ProductInfo[[#This Row],[Drawing No]],1)</f>
        <v>0</v>
      </c>
      <c r="D2671" s="68" t="s">
        <v>7080</v>
      </c>
      <c r="E2671" s="16" t="s">
        <v>7034</v>
      </c>
      <c r="F2671" s="23" t="str">
        <f>IFERROR(INDEX(MaterialCode[รายละเอียด],MATCH(ProductInfo[[#This Row],[Material Code]],MaterialCode[Material Code],0)),"ไม่พบวัตถุดิบ")</f>
        <v>ท่ออลูมีเนียมโต 35.6 มม.xรูใน 30 มม.</v>
      </c>
      <c r="G2671" s="31" t="s">
        <v>7081</v>
      </c>
      <c r="H2671" s="31" t="s">
        <v>4899</v>
      </c>
      <c r="I2671" s="1">
        <f>COUNTA(ProductInfo[[#This Row],[P1]:[P15]])</f>
        <v>2</v>
      </c>
      <c r="J2671" s="1">
        <f>COUNTIF(ProductInfo[[#This Row],[P1]:[P15]],"L1")+COUNTIF(ProductInfo[[#This Row],[P1]:[P15]],"L2")+COUNTIF(ProductInfo[[#This Row],[P1]:[P15]],"L3")+COUNTIF(ProductInfo[[#This Row],[P1]:[P15]],"L4")+COUNTIF(ProductInfo[[#This Row],[P1]:[P15]],"L5")+COUNTIF(ProductInfo[[#This Row],[P1]:[P15]],"L6")+COUNTIF(ProductInfo[[#This Row],[P1]:[P15]],"L7")+COUNTIF(ProductInfo[[#This Row],[P1]:[P15]],"L8")+COUNTIF(ProductInfo[[#This Row],[P1]:[P15]],"L9")+COUNTIF(ProductInfo[[#This Row],[P1]:[P15]],"L10")+COUNTIF(ProductInfo[[#This Row],[P1]:[P15]],"L11")+COUNTIF(ProductInfo[[#This Row],[P1]:[P15]],"L12")</f>
        <v>2</v>
      </c>
      <c r="K2671" s="1">
        <f>COUNTIF(ProductInfo[[#This Row],[P1]:[P15]],"M0")+COUNTIF(ProductInfo[[#This Row],[P1]:[P15]],"M1")+COUNTIF(ProductInfo[[#This Row],[P1]:[P15]],"M2")+COUNTIF(ProductInfo[[#This Row],[P1]:[P15]],"M3")+COUNTIF(ProductInfo[[#This Row],[P1]:[P15]],"M4")+COUNTIF(ProductInfo[[#This Row],[P1]:[P15]],"M5")+COUNTIF(ProductInfo[[#This Row],[P1]:[P15]],"M6")+COUNTIF(ProductInfo[[#This Row],[P1]:[P15]],"M7")+COUNTIF(ProductInfo[[#This Row],[P1]:[P15]],"M8")+COUNTIF(ProductInfo[[#This Row],[P1]:[P15]],"M9")+COUNTIF(ProductInfo[[#This Row],[P1]:[P15]],"M10")</f>
        <v>0</v>
      </c>
      <c r="L2671" s="4" t="s">
        <v>12</v>
      </c>
      <c r="M2671" s="4" t="s">
        <v>13</v>
      </c>
    </row>
    <row r="2677" spans="4:11">
      <c r="E2677" s="5" t="s">
        <v>4244</v>
      </c>
    </row>
    <row r="2681" spans="4:11" ht="15.6">
      <c r="D2681" s="232"/>
    </row>
    <row r="2682" spans="4:11" ht="15.6">
      <c r="D2682" s="232"/>
    </row>
    <row r="2683" spans="4:11">
      <c r="G2683" s="4" t="s">
        <v>4244</v>
      </c>
      <c r="K2683" s="2" t="s">
        <v>4244</v>
      </c>
    </row>
    <row r="2685" spans="4:11">
      <c r="E2685" s="5" t="s">
        <v>4244</v>
      </c>
    </row>
    <row r="2687" spans="4:11">
      <c r="D2687" s="173" t="s">
        <v>4919</v>
      </c>
    </row>
    <row r="2692" spans="5:5">
      <c r="E2692" s="5" t="s">
        <v>4376</v>
      </c>
    </row>
  </sheetData>
  <dataConsolidate/>
  <phoneticPr fontId="1" type="noConversion"/>
  <conditionalFormatting sqref="A1710">
    <cfRule type="duplicateValues" dxfId="773" priority="508"/>
  </conditionalFormatting>
  <conditionalFormatting sqref="A1711">
    <cfRule type="duplicateValues" dxfId="772" priority="505"/>
  </conditionalFormatting>
  <conditionalFormatting sqref="A1744:A1753">
    <cfRule type="duplicateValues" dxfId="771" priority="486"/>
  </conditionalFormatting>
  <conditionalFormatting sqref="A1754">
    <cfRule type="duplicateValues" dxfId="770" priority="483"/>
  </conditionalFormatting>
  <conditionalFormatting sqref="A1755:A1764">
    <cfRule type="duplicateValues" dxfId="769" priority="482"/>
  </conditionalFormatting>
  <conditionalFormatting sqref="A1766">
    <cfRule type="duplicateValues" dxfId="768" priority="479"/>
  </conditionalFormatting>
  <conditionalFormatting sqref="A1768:A1780">
    <cfRule type="duplicateValues" dxfId="767" priority="475"/>
  </conditionalFormatting>
  <conditionalFormatting sqref="A1781">
    <cfRule type="duplicateValues" dxfId="766" priority="472"/>
  </conditionalFormatting>
  <conditionalFormatting sqref="A1783">
    <cfRule type="duplicateValues" dxfId="765" priority="471"/>
  </conditionalFormatting>
  <conditionalFormatting sqref="A1811:A1825">
    <cfRule type="duplicateValues" dxfId="764" priority="1303"/>
  </conditionalFormatting>
  <conditionalFormatting sqref="A1826">
    <cfRule type="duplicateValues" dxfId="763" priority="464"/>
  </conditionalFormatting>
  <conditionalFormatting sqref="A1827">
    <cfRule type="duplicateValues" dxfId="762" priority="897"/>
  </conditionalFormatting>
  <conditionalFormatting sqref="A1828 A1856">
    <cfRule type="duplicateValues" dxfId="761" priority="458"/>
  </conditionalFormatting>
  <conditionalFormatting sqref="A1841">
    <cfRule type="duplicateValues" dxfId="760" priority="453"/>
  </conditionalFormatting>
  <conditionalFormatting sqref="A1842">
    <cfRule type="duplicateValues" dxfId="759" priority="450"/>
  </conditionalFormatting>
  <conditionalFormatting sqref="A1843">
    <cfRule type="duplicateValues" dxfId="758" priority="447"/>
  </conditionalFormatting>
  <conditionalFormatting sqref="A1844">
    <cfRule type="duplicateValues" dxfId="757" priority="444"/>
  </conditionalFormatting>
  <conditionalFormatting sqref="A1847">
    <cfRule type="duplicateValues" dxfId="756" priority="441"/>
  </conditionalFormatting>
  <conditionalFormatting sqref="A1848">
    <cfRule type="duplicateValues" dxfId="755" priority="438"/>
  </conditionalFormatting>
  <conditionalFormatting sqref="A1849">
    <cfRule type="duplicateValues" dxfId="754" priority="435"/>
  </conditionalFormatting>
  <conditionalFormatting sqref="A1850">
    <cfRule type="duplicateValues" dxfId="753" priority="431"/>
  </conditionalFormatting>
  <conditionalFormatting sqref="A1851">
    <cfRule type="duplicateValues" dxfId="752" priority="428"/>
  </conditionalFormatting>
  <conditionalFormatting sqref="A1857">
    <cfRule type="duplicateValues" dxfId="751" priority="425"/>
  </conditionalFormatting>
  <conditionalFormatting sqref="A1858">
    <cfRule type="duplicateValues" dxfId="750" priority="422"/>
  </conditionalFormatting>
  <conditionalFormatting sqref="A1859">
    <cfRule type="duplicateValues" dxfId="749" priority="419"/>
  </conditionalFormatting>
  <conditionalFormatting sqref="A1860">
    <cfRule type="duplicateValues" dxfId="748" priority="416"/>
  </conditionalFormatting>
  <conditionalFormatting sqref="A1861:A1872">
    <cfRule type="duplicateValues" dxfId="747" priority="696"/>
  </conditionalFormatting>
  <conditionalFormatting sqref="A1873:A1874">
    <cfRule type="duplicateValues" dxfId="746" priority="409"/>
  </conditionalFormatting>
  <conditionalFormatting sqref="A1875:A1878">
    <cfRule type="duplicateValues" dxfId="745" priority="408"/>
  </conditionalFormatting>
  <conditionalFormatting sqref="A1885">
    <cfRule type="duplicateValues" dxfId="744" priority="405"/>
  </conditionalFormatting>
  <conditionalFormatting sqref="A1886">
    <cfRule type="duplicateValues" dxfId="743" priority="402"/>
  </conditionalFormatting>
  <conditionalFormatting sqref="A1887">
    <cfRule type="duplicateValues" dxfId="742" priority="399"/>
  </conditionalFormatting>
  <conditionalFormatting sqref="A1888">
    <cfRule type="duplicateValues" dxfId="741" priority="396"/>
  </conditionalFormatting>
  <conditionalFormatting sqref="A1892:A1893">
    <cfRule type="duplicateValues" dxfId="740" priority="393"/>
  </conditionalFormatting>
  <conditionalFormatting sqref="A1894">
    <cfRule type="duplicateValues" dxfId="739" priority="390"/>
  </conditionalFormatting>
  <conditionalFormatting sqref="A1896">
    <cfRule type="duplicateValues" dxfId="738" priority="387"/>
  </conditionalFormatting>
  <conditionalFormatting sqref="A1901">
    <cfRule type="duplicateValues" dxfId="737" priority="384"/>
  </conditionalFormatting>
  <conditionalFormatting sqref="A1903:A1904">
    <cfRule type="duplicateValues" dxfId="736" priority="381"/>
  </conditionalFormatting>
  <conditionalFormatting sqref="A1905:A1906">
    <cfRule type="duplicateValues" dxfId="735" priority="378"/>
  </conditionalFormatting>
  <conditionalFormatting sqref="A1916">
    <cfRule type="duplicateValues" dxfId="734" priority="376"/>
  </conditionalFormatting>
  <conditionalFormatting sqref="A2218:A2220">
    <cfRule type="duplicateValues" dxfId="733" priority="983"/>
  </conditionalFormatting>
  <conditionalFormatting sqref="A2221:A2223">
    <cfRule type="duplicateValues" dxfId="732" priority="370"/>
  </conditionalFormatting>
  <conditionalFormatting sqref="A2264:A2266">
    <cfRule type="duplicateValues" dxfId="731" priority="364"/>
  </conditionalFormatting>
  <conditionalFormatting sqref="A2289:A2292">
    <cfRule type="duplicateValues" dxfId="730" priority="361"/>
  </conditionalFormatting>
  <conditionalFormatting sqref="A2293:A2302">
    <cfRule type="duplicateValues" dxfId="729" priority="357"/>
  </conditionalFormatting>
  <conditionalFormatting sqref="A2303">
    <cfRule type="duplicateValues" dxfId="728" priority="355"/>
  </conditionalFormatting>
  <conditionalFormatting sqref="A2304">
    <cfRule type="duplicateValues" dxfId="727" priority="351"/>
  </conditionalFormatting>
  <conditionalFormatting sqref="A2305:A2312">
    <cfRule type="duplicateValues" dxfId="726" priority="350"/>
  </conditionalFormatting>
  <conditionalFormatting sqref="A2313:A2314">
    <cfRule type="duplicateValues" dxfId="725" priority="347"/>
  </conditionalFormatting>
  <conditionalFormatting sqref="A2315:A2318 A2597:A2598">
    <cfRule type="duplicateValues" dxfId="724" priority="345"/>
  </conditionalFormatting>
  <conditionalFormatting sqref="A2319:A2321">
    <cfRule type="duplicateValues" dxfId="723" priority="343"/>
  </conditionalFormatting>
  <conditionalFormatting sqref="A2337">
    <cfRule type="duplicateValues" dxfId="722" priority="333"/>
    <cfRule type="duplicateValues" dxfId="721" priority="332"/>
  </conditionalFormatting>
  <conditionalFormatting sqref="A2338">
    <cfRule type="duplicateValues" dxfId="720" priority="330"/>
    <cfRule type="duplicateValues" dxfId="719" priority="331"/>
  </conditionalFormatting>
  <conditionalFormatting sqref="A2377:A2378">
    <cfRule type="duplicateValues" dxfId="718" priority="326"/>
  </conditionalFormatting>
  <conditionalFormatting sqref="A2379">
    <cfRule type="duplicateValues" dxfId="717" priority="325"/>
  </conditionalFormatting>
  <conditionalFormatting sqref="A2382:A2388">
    <cfRule type="duplicateValues" dxfId="716" priority="322"/>
  </conditionalFormatting>
  <conditionalFormatting sqref="A2389">
    <cfRule type="duplicateValues" dxfId="715" priority="320"/>
  </conditionalFormatting>
  <conditionalFormatting sqref="A2390">
    <cfRule type="duplicateValues" dxfId="714" priority="318"/>
  </conditionalFormatting>
  <conditionalFormatting sqref="A2391">
    <cfRule type="duplicateValues" dxfId="713" priority="316"/>
  </conditionalFormatting>
  <conditionalFormatting sqref="A2392">
    <cfRule type="duplicateValues" dxfId="712" priority="314"/>
  </conditionalFormatting>
  <conditionalFormatting sqref="A2393">
    <cfRule type="duplicateValues" dxfId="711" priority="312"/>
  </conditionalFormatting>
  <conditionalFormatting sqref="A2394">
    <cfRule type="duplicateValues" dxfId="710" priority="310"/>
  </conditionalFormatting>
  <conditionalFormatting sqref="A2395:A2396">
    <cfRule type="duplicateValues" dxfId="709" priority="308"/>
  </conditionalFormatting>
  <conditionalFormatting sqref="A2398">
    <cfRule type="duplicateValues" dxfId="708" priority="306"/>
  </conditionalFormatting>
  <conditionalFormatting sqref="A2399">
    <cfRule type="duplicateValues" dxfId="707" priority="304"/>
  </conditionalFormatting>
  <conditionalFormatting sqref="A2400">
    <cfRule type="duplicateValues" dxfId="706" priority="302"/>
  </conditionalFormatting>
  <conditionalFormatting sqref="A2401">
    <cfRule type="duplicateValues" dxfId="705" priority="300"/>
  </conditionalFormatting>
  <conditionalFormatting sqref="A2406:A2408">
    <cfRule type="duplicateValues" dxfId="704" priority="298"/>
  </conditionalFormatting>
  <conditionalFormatting sqref="A2409:A2410">
    <cfRule type="duplicateValues" dxfId="703" priority="296"/>
  </conditionalFormatting>
  <conditionalFormatting sqref="A2412">
    <cfRule type="duplicateValues" dxfId="702" priority="294"/>
  </conditionalFormatting>
  <conditionalFormatting sqref="A2413">
    <cfRule type="duplicateValues" dxfId="701" priority="292"/>
  </conditionalFormatting>
  <conditionalFormatting sqref="A2414">
    <cfRule type="duplicateValues" dxfId="700" priority="289"/>
  </conditionalFormatting>
  <conditionalFormatting sqref="A2427">
    <cfRule type="duplicateValues" dxfId="699" priority="287"/>
  </conditionalFormatting>
  <conditionalFormatting sqref="A2432:A2443">
    <cfRule type="duplicateValues" dxfId="698" priority="283"/>
    <cfRule type="duplicateValues" dxfId="697" priority="284"/>
  </conditionalFormatting>
  <conditionalFormatting sqref="A2444:A2445">
    <cfRule type="duplicateValues" dxfId="696" priority="281"/>
    <cfRule type="duplicateValues" dxfId="695" priority="282"/>
  </conditionalFormatting>
  <conditionalFormatting sqref="A2446">
    <cfRule type="duplicateValues" dxfId="694" priority="276"/>
  </conditionalFormatting>
  <conditionalFormatting sqref="A2446:A2450">
    <cfRule type="duplicateValues" dxfId="693" priority="277"/>
  </conditionalFormatting>
  <conditionalFormatting sqref="A2448">
    <cfRule type="duplicateValues" dxfId="692" priority="275"/>
  </conditionalFormatting>
  <conditionalFormatting sqref="A2449">
    <cfRule type="duplicateValues" dxfId="691" priority="274"/>
  </conditionalFormatting>
  <conditionalFormatting sqref="A2450">
    <cfRule type="duplicateValues" dxfId="690" priority="273"/>
  </conditionalFormatting>
  <conditionalFormatting sqref="A2452:A2454">
    <cfRule type="duplicateValues" dxfId="689" priority="270"/>
  </conditionalFormatting>
  <conditionalFormatting sqref="A2452:A2455">
    <cfRule type="duplicateValues" dxfId="688" priority="271"/>
  </conditionalFormatting>
  <conditionalFormatting sqref="A2455">
    <cfRule type="duplicateValues" dxfId="687" priority="269"/>
  </conditionalFormatting>
  <conditionalFormatting sqref="A2456">
    <cfRule type="duplicateValues" dxfId="686" priority="268"/>
  </conditionalFormatting>
  <conditionalFormatting sqref="A2457:A2458">
    <cfRule type="duplicateValues" dxfId="685" priority="265"/>
  </conditionalFormatting>
  <conditionalFormatting sqref="A2460">
    <cfRule type="duplicateValues" dxfId="684" priority="264"/>
  </conditionalFormatting>
  <conditionalFormatting sqref="A2461">
    <cfRule type="duplicateValues" dxfId="683" priority="261"/>
  </conditionalFormatting>
  <conditionalFormatting sqref="A2462">
    <cfRule type="duplicateValues" dxfId="682" priority="259"/>
  </conditionalFormatting>
  <conditionalFormatting sqref="A2463">
    <cfRule type="duplicateValues" dxfId="681" priority="258"/>
  </conditionalFormatting>
  <conditionalFormatting sqref="A2464">
    <cfRule type="duplicateValues" dxfId="680" priority="256"/>
  </conditionalFormatting>
  <conditionalFormatting sqref="A2465">
    <cfRule type="duplicateValues" dxfId="679" priority="251"/>
    <cfRule type="duplicateValues" dxfId="678" priority="252"/>
  </conditionalFormatting>
  <conditionalFormatting sqref="A2466">
    <cfRule type="duplicateValues" dxfId="677" priority="249"/>
  </conditionalFormatting>
  <conditionalFormatting sqref="A2469">
    <cfRule type="duplicateValues" dxfId="676" priority="248"/>
  </conditionalFormatting>
  <conditionalFormatting sqref="A2473:A2474">
    <cfRule type="duplicateValues" dxfId="675" priority="245"/>
  </conditionalFormatting>
  <conditionalFormatting sqref="A2475">
    <cfRule type="duplicateValues" dxfId="674" priority="242"/>
  </conditionalFormatting>
  <conditionalFormatting sqref="A2476">
    <cfRule type="duplicateValues" dxfId="673" priority="240"/>
  </conditionalFormatting>
  <conditionalFormatting sqref="A2478">
    <cfRule type="duplicateValues" dxfId="672" priority="237"/>
    <cfRule type="duplicateValues" dxfId="671" priority="236"/>
  </conditionalFormatting>
  <conditionalFormatting sqref="A2482">
    <cfRule type="duplicateValues" dxfId="670" priority="234"/>
  </conditionalFormatting>
  <conditionalFormatting sqref="A2487">
    <cfRule type="duplicateValues" dxfId="669" priority="232"/>
  </conditionalFormatting>
  <conditionalFormatting sqref="A2488">
    <cfRule type="duplicateValues" dxfId="668" priority="230"/>
  </conditionalFormatting>
  <conditionalFormatting sqref="A2489:A2490">
    <cfRule type="duplicateValues" dxfId="667" priority="228"/>
  </conditionalFormatting>
  <conditionalFormatting sqref="A2494">
    <cfRule type="duplicateValues" dxfId="666" priority="226"/>
  </conditionalFormatting>
  <conditionalFormatting sqref="A2495">
    <cfRule type="duplicateValues" dxfId="665" priority="224"/>
  </conditionalFormatting>
  <conditionalFormatting sqref="A2496">
    <cfRule type="duplicateValues" dxfId="664" priority="222"/>
  </conditionalFormatting>
  <conditionalFormatting sqref="A2497">
    <cfRule type="duplicateValues" dxfId="663" priority="219"/>
  </conditionalFormatting>
  <conditionalFormatting sqref="A2498">
    <cfRule type="duplicateValues" dxfId="662" priority="221"/>
  </conditionalFormatting>
  <conditionalFormatting sqref="A2499">
    <cfRule type="duplicateValues" dxfId="661" priority="216"/>
  </conditionalFormatting>
  <conditionalFormatting sqref="A2500">
    <cfRule type="duplicateValues" dxfId="660" priority="214"/>
  </conditionalFormatting>
  <conditionalFormatting sqref="A2501">
    <cfRule type="duplicateValues" dxfId="659" priority="210"/>
    <cfRule type="duplicateValues" dxfId="658" priority="211"/>
  </conditionalFormatting>
  <conditionalFormatting sqref="A2502">
    <cfRule type="duplicateValues" dxfId="657" priority="208"/>
    <cfRule type="duplicateValues" dxfId="656" priority="209"/>
  </conditionalFormatting>
  <conditionalFormatting sqref="A2503">
    <cfRule type="duplicateValues" dxfId="655" priority="205"/>
  </conditionalFormatting>
  <conditionalFormatting sqref="A2504">
    <cfRule type="duplicateValues" dxfId="654" priority="201"/>
  </conditionalFormatting>
  <conditionalFormatting sqref="A2505">
    <cfRule type="duplicateValues" dxfId="653" priority="199"/>
  </conditionalFormatting>
  <conditionalFormatting sqref="A2506">
    <cfRule type="duplicateValues" dxfId="652" priority="197"/>
  </conditionalFormatting>
  <conditionalFormatting sqref="A2509">
    <cfRule type="duplicateValues" dxfId="651" priority="195"/>
  </conditionalFormatting>
  <conditionalFormatting sqref="A2510">
    <cfRule type="duplicateValues" dxfId="650" priority="194"/>
  </conditionalFormatting>
  <conditionalFormatting sqref="A2511">
    <cfRule type="duplicateValues" dxfId="649" priority="192"/>
  </conditionalFormatting>
  <conditionalFormatting sqref="A2513">
    <cfRule type="duplicateValues" dxfId="648" priority="190"/>
  </conditionalFormatting>
  <conditionalFormatting sqref="A2514">
    <cfRule type="duplicateValues" dxfId="647" priority="189"/>
  </conditionalFormatting>
  <conditionalFormatting sqref="A2515">
    <cfRule type="duplicateValues" dxfId="646" priority="187"/>
  </conditionalFormatting>
  <conditionalFormatting sqref="A2516">
    <cfRule type="duplicateValues" dxfId="645" priority="185"/>
  </conditionalFormatting>
  <conditionalFormatting sqref="A2517">
    <cfRule type="duplicateValues" dxfId="644" priority="1106"/>
  </conditionalFormatting>
  <conditionalFormatting sqref="A2521">
    <cfRule type="duplicateValues" dxfId="643" priority="183"/>
  </conditionalFormatting>
  <conditionalFormatting sqref="A2522">
    <cfRule type="duplicateValues" dxfId="642" priority="180"/>
  </conditionalFormatting>
  <conditionalFormatting sqref="A2523:A2525">
    <cfRule type="duplicateValues" dxfId="641" priority="178"/>
  </conditionalFormatting>
  <conditionalFormatting sqref="A2526">
    <cfRule type="duplicateValues" dxfId="640" priority="176"/>
  </conditionalFormatting>
  <conditionalFormatting sqref="A2528">
    <cfRule type="duplicateValues" dxfId="639" priority="172"/>
  </conditionalFormatting>
  <conditionalFormatting sqref="A2529">
    <cfRule type="duplicateValues" dxfId="638" priority="171"/>
  </conditionalFormatting>
  <conditionalFormatting sqref="A2530">
    <cfRule type="duplicateValues" dxfId="637" priority="169"/>
  </conditionalFormatting>
  <conditionalFormatting sqref="A2531">
    <cfRule type="duplicateValues" dxfId="636" priority="167"/>
  </conditionalFormatting>
  <conditionalFormatting sqref="A2532:A2533">
    <cfRule type="duplicateValues" dxfId="635" priority="165"/>
  </conditionalFormatting>
  <conditionalFormatting sqref="A2534">
    <cfRule type="duplicateValues" dxfId="634" priority="163"/>
  </conditionalFormatting>
  <conditionalFormatting sqref="A2535">
    <cfRule type="duplicateValues" dxfId="633" priority="161"/>
  </conditionalFormatting>
  <conditionalFormatting sqref="A2536">
    <cfRule type="duplicateValues" dxfId="632" priority="159"/>
  </conditionalFormatting>
  <conditionalFormatting sqref="A2537">
    <cfRule type="duplicateValues" dxfId="631" priority="157"/>
  </conditionalFormatting>
  <conditionalFormatting sqref="A2538">
    <cfRule type="duplicateValues" dxfId="630" priority="154"/>
  </conditionalFormatting>
  <conditionalFormatting sqref="A2539">
    <cfRule type="duplicateValues" dxfId="629" priority="153"/>
  </conditionalFormatting>
  <conditionalFormatting sqref="A2540">
    <cfRule type="duplicateValues" dxfId="628" priority="149"/>
  </conditionalFormatting>
  <conditionalFormatting sqref="A2542">
    <cfRule type="duplicateValues" dxfId="627" priority="147"/>
  </conditionalFormatting>
  <conditionalFormatting sqref="A2544">
    <cfRule type="duplicateValues" dxfId="626" priority="145"/>
  </conditionalFormatting>
  <conditionalFormatting sqref="A2547">
    <cfRule type="duplicateValues" dxfId="625" priority="144"/>
  </conditionalFormatting>
  <conditionalFormatting sqref="A2548:A2550">
    <cfRule type="duplicateValues" dxfId="624" priority="142"/>
  </conditionalFormatting>
  <conditionalFormatting sqref="A2551">
    <cfRule type="duplicateValues" dxfId="623" priority="137"/>
  </conditionalFormatting>
  <conditionalFormatting sqref="A2552">
    <cfRule type="duplicateValues" dxfId="622" priority="135"/>
  </conditionalFormatting>
  <conditionalFormatting sqref="A2553">
    <cfRule type="duplicateValues" dxfId="621" priority="134"/>
  </conditionalFormatting>
  <conditionalFormatting sqref="A2554">
    <cfRule type="duplicateValues" dxfId="620" priority="132"/>
  </conditionalFormatting>
  <conditionalFormatting sqref="A2555">
    <cfRule type="duplicateValues" dxfId="619" priority="130"/>
  </conditionalFormatting>
  <conditionalFormatting sqref="A2558">
    <cfRule type="duplicateValues" dxfId="618" priority="127"/>
  </conditionalFormatting>
  <conditionalFormatting sqref="A2559">
    <cfRule type="duplicateValues" dxfId="617" priority="126"/>
  </conditionalFormatting>
  <conditionalFormatting sqref="A2560">
    <cfRule type="duplicateValues" dxfId="616" priority="123"/>
  </conditionalFormatting>
  <conditionalFormatting sqref="A2568:A2572">
    <cfRule type="duplicateValues" dxfId="615" priority="1181"/>
  </conditionalFormatting>
  <conditionalFormatting sqref="A2573:A2578">
    <cfRule type="duplicateValues" dxfId="614" priority="1182"/>
  </conditionalFormatting>
  <conditionalFormatting sqref="A2583:A2586">
    <cfRule type="duplicateValues" dxfId="613" priority="116"/>
  </conditionalFormatting>
  <conditionalFormatting sqref="A2587">
    <cfRule type="duplicateValues" dxfId="612" priority="113"/>
  </conditionalFormatting>
  <conditionalFormatting sqref="A2588">
    <cfRule type="duplicateValues" dxfId="611" priority="112"/>
  </conditionalFormatting>
  <conditionalFormatting sqref="A2589">
    <cfRule type="duplicateValues" dxfId="610" priority="109"/>
  </conditionalFormatting>
  <conditionalFormatting sqref="A2590">
    <cfRule type="duplicateValues" dxfId="609" priority="108"/>
  </conditionalFormatting>
  <conditionalFormatting sqref="A2591">
    <cfRule type="duplicateValues" dxfId="608" priority="105"/>
  </conditionalFormatting>
  <conditionalFormatting sqref="A2592">
    <cfRule type="duplicateValues" dxfId="607" priority="103"/>
  </conditionalFormatting>
  <conditionalFormatting sqref="A2593">
    <cfRule type="duplicateValues" dxfId="606" priority="102"/>
  </conditionalFormatting>
  <conditionalFormatting sqref="A2594:A2595">
    <cfRule type="duplicateValues" dxfId="605" priority="100"/>
  </conditionalFormatting>
  <conditionalFormatting sqref="A2596">
    <cfRule type="duplicateValues" dxfId="604" priority="96"/>
  </conditionalFormatting>
  <conditionalFormatting sqref="A2599:A2600">
    <cfRule type="duplicateValues" dxfId="603" priority="92"/>
  </conditionalFormatting>
  <conditionalFormatting sqref="A2601">
    <cfRule type="duplicateValues" dxfId="602" priority="87"/>
  </conditionalFormatting>
  <conditionalFormatting sqref="A2602">
    <cfRule type="duplicateValues" dxfId="601" priority="85"/>
  </conditionalFormatting>
  <conditionalFormatting sqref="A2603:A2604">
    <cfRule type="duplicateValues" dxfId="600" priority="84"/>
  </conditionalFormatting>
  <conditionalFormatting sqref="A2605:A2606">
    <cfRule type="duplicateValues" dxfId="599" priority="83"/>
  </conditionalFormatting>
  <conditionalFormatting sqref="A2607">
    <cfRule type="duplicateValues" dxfId="598" priority="81"/>
  </conditionalFormatting>
  <conditionalFormatting sqref="A2608">
    <cfRule type="duplicateValues" dxfId="597" priority="79"/>
  </conditionalFormatting>
  <conditionalFormatting sqref="A2609">
    <cfRule type="duplicateValues" dxfId="596" priority="76"/>
  </conditionalFormatting>
  <conditionalFormatting sqref="A2611">
    <cfRule type="duplicateValues" dxfId="595" priority="74"/>
  </conditionalFormatting>
  <conditionalFormatting sqref="A2613">
    <cfRule type="duplicateValues" dxfId="594" priority="72"/>
  </conditionalFormatting>
  <conditionalFormatting sqref="A2614">
    <cfRule type="duplicateValues" dxfId="593" priority="71"/>
  </conditionalFormatting>
  <conditionalFormatting sqref="A2615">
    <cfRule type="duplicateValues" dxfId="592" priority="70"/>
  </conditionalFormatting>
  <conditionalFormatting sqref="A2616">
    <cfRule type="duplicateValues" dxfId="591" priority="68"/>
  </conditionalFormatting>
  <conditionalFormatting sqref="A2617">
    <cfRule type="duplicateValues" dxfId="590" priority="67"/>
  </conditionalFormatting>
  <conditionalFormatting sqref="A2618">
    <cfRule type="duplicateValues" dxfId="589" priority="64"/>
  </conditionalFormatting>
  <conditionalFormatting sqref="A2619">
    <cfRule type="duplicateValues" dxfId="588" priority="62"/>
  </conditionalFormatting>
  <conditionalFormatting sqref="A2620">
    <cfRule type="duplicateValues" dxfId="587" priority="61"/>
  </conditionalFormatting>
  <conditionalFormatting sqref="A2625">
    <cfRule type="duplicateValues" dxfId="586" priority="58"/>
  </conditionalFormatting>
  <conditionalFormatting sqref="A2626:A2627">
    <cfRule type="duplicateValues" dxfId="585" priority="54"/>
  </conditionalFormatting>
  <conditionalFormatting sqref="A2628">
    <cfRule type="duplicateValues" dxfId="584" priority="51"/>
  </conditionalFormatting>
  <conditionalFormatting sqref="A2629">
    <cfRule type="duplicateValues" dxfId="583" priority="49"/>
  </conditionalFormatting>
  <conditionalFormatting sqref="A2630">
    <cfRule type="duplicateValues" dxfId="582" priority="47"/>
  </conditionalFormatting>
  <conditionalFormatting sqref="A2631">
    <cfRule type="duplicateValues" dxfId="581" priority="45"/>
  </conditionalFormatting>
  <conditionalFormatting sqref="A2632:A2633">
    <cfRule type="duplicateValues" dxfId="580" priority="43"/>
  </conditionalFormatting>
  <conditionalFormatting sqref="A2634">
    <cfRule type="duplicateValues" dxfId="579" priority="42"/>
  </conditionalFormatting>
  <conditionalFormatting sqref="A2635">
    <cfRule type="duplicateValues" dxfId="578" priority="41"/>
  </conditionalFormatting>
  <conditionalFormatting sqref="A2636">
    <cfRule type="duplicateValues" dxfId="577" priority="38"/>
  </conditionalFormatting>
  <conditionalFormatting sqref="A2637">
    <cfRule type="duplicateValues" dxfId="576" priority="36"/>
  </conditionalFormatting>
  <conditionalFormatting sqref="A2638">
    <cfRule type="duplicateValues" dxfId="575" priority="34"/>
  </conditionalFormatting>
  <conditionalFormatting sqref="A2639">
    <cfRule type="duplicateValues" dxfId="574" priority="33"/>
  </conditionalFormatting>
  <conditionalFormatting sqref="A2640">
    <cfRule type="duplicateValues" dxfId="573" priority="31"/>
  </conditionalFormatting>
  <conditionalFormatting sqref="A2641">
    <cfRule type="duplicateValues" dxfId="572" priority="29"/>
  </conditionalFormatting>
  <conditionalFormatting sqref="A2642:A2643">
    <cfRule type="duplicateValues" dxfId="571" priority="24"/>
  </conditionalFormatting>
  <conditionalFormatting sqref="A2644">
    <cfRule type="duplicateValues" dxfId="570" priority="23"/>
  </conditionalFormatting>
  <conditionalFormatting sqref="A2645:A2646">
    <cfRule type="duplicateValues" dxfId="569" priority="21"/>
  </conditionalFormatting>
  <conditionalFormatting sqref="A2647:A2648">
    <cfRule type="duplicateValues" dxfId="568" priority="18"/>
  </conditionalFormatting>
  <conditionalFormatting sqref="A2649:A2659">
    <cfRule type="duplicateValues" dxfId="567" priority="17"/>
  </conditionalFormatting>
  <conditionalFormatting sqref="A2660">
    <cfRule type="duplicateValues" dxfId="566" priority="15"/>
  </conditionalFormatting>
  <conditionalFormatting sqref="A2661:A2664">
    <cfRule type="duplicateValues" dxfId="565" priority="13"/>
  </conditionalFormatting>
  <conditionalFormatting sqref="A2665:A2666">
    <cfRule type="duplicateValues" dxfId="564" priority="9"/>
  </conditionalFormatting>
  <conditionalFormatting sqref="A2667">
    <cfRule type="duplicateValues" dxfId="563" priority="8"/>
  </conditionalFormatting>
  <conditionalFormatting sqref="A2668">
    <cfRule type="duplicateValues" dxfId="562" priority="6"/>
  </conditionalFormatting>
  <conditionalFormatting sqref="A2669:A2671">
    <cfRule type="duplicateValues" dxfId="561" priority="4"/>
  </conditionalFormatting>
  <conditionalFormatting sqref="A2672:A1048576 A2470:A2472 A2224:A2263 A1702:A1709 A1712:A1743 A1765 A1767 A1782 A1784:A1795 A1797:A1801 A1803:A1805 A1807 A1809 A1830:A1834 A1836:A1840 A1845:A1846 A1852:A1855 A1879:A1884 A1889:A1891 A1895 A1897:A1900 A1902 A1907:A1915 A1917:A1919 A1922 A1924:A1958 A1966:A1978 A1982:A2217 A2267:A2288 A2322:A2330 A2332:A2336 A1:A1700 A2339:A2376 A2380:A2381 A2397 A2402:A2405 A2411 A2415:A2426 A2428:A2431 A2451 A2459 A2467:A2468 A2477 A2479:A2481 A2483:A2486 A2491:A2493 A2507:A2508 A2512 A2518:A2520 A2541 A2543 A2545:A2546 A2556:A2557 A2561:A2567 A2579:A2582 A2610 A2612 A2621:A2624">
    <cfRule type="duplicateValues" dxfId="560" priority="1105"/>
  </conditionalFormatting>
  <conditionalFormatting sqref="A2527:B2527">
    <cfRule type="duplicateValues" dxfId="559" priority="151"/>
  </conditionalFormatting>
  <conditionalFormatting sqref="B34">
    <cfRule type="duplicateValues" dxfId="558" priority="498"/>
  </conditionalFormatting>
  <conditionalFormatting sqref="B614">
    <cfRule type="duplicateValues" dxfId="557" priority="90"/>
    <cfRule type="duplicateValues" dxfId="556" priority="91"/>
  </conditionalFormatting>
  <conditionalFormatting sqref="B724">
    <cfRule type="duplicateValues" dxfId="555" priority="375"/>
  </conditionalFormatting>
  <conditionalFormatting sqref="B747">
    <cfRule type="duplicateValues" dxfId="554" priority="203"/>
  </conditionalFormatting>
  <conditionalFormatting sqref="B1704">
    <cfRule type="duplicateValues" dxfId="553" priority="509"/>
  </conditionalFormatting>
  <conditionalFormatting sqref="B1710">
    <cfRule type="duplicateValues" dxfId="552" priority="507"/>
  </conditionalFormatting>
  <conditionalFormatting sqref="B1711">
    <cfRule type="duplicateValues" dxfId="551" priority="504"/>
  </conditionalFormatting>
  <conditionalFormatting sqref="B1730">
    <cfRule type="duplicateValues" dxfId="550" priority="496"/>
  </conditionalFormatting>
  <conditionalFormatting sqref="B1731">
    <cfRule type="duplicateValues" dxfId="549" priority="494"/>
  </conditionalFormatting>
  <conditionalFormatting sqref="B1732">
    <cfRule type="duplicateValues" dxfId="548" priority="490"/>
  </conditionalFormatting>
  <conditionalFormatting sqref="B1733">
    <cfRule type="duplicateValues" dxfId="547" priority="489"/>
  </conditionalFormatting>
  <conditionalFormatting sqref="B1739">
    <cfRule type="duplicateValues" dxfId="546" priority="488"/>
  </conditionalFormatting>
  <conditionalFormatting sqref="B1742">
    <cfRule type="duplicateValues" dxfId="545" priority="487"/>
  </conditionalFormatting>
  <conditionalFormatting sqref="B1744:B1754">
    <cfRule type="duplicateValues" dxfId="544" priority="485"/>
  </conditionalFormatting>
  <conditionalFormatting sqref="B1766">
    <cfRule type="duplicateValues" dxfId="543" priority="478"/>
  </conditionalFormatting>
  <conditionalFormatting sqref="B1768:B1781">
    <cfRule type="duplicateValues" dxfId="542" priority="474"/>
  </conditionalFormatting>
  <conditionalFormatting sqref="B1783">
    <cfRule type="duplicateValues" dxfId="541" priority="470"/>
  </conditionalFormatting>
  <conditionalFormatting sqref="B1809:B1810">
    <cfRule type="duplicateValues" dxfId="540" priority="637"/>
  </conditionalFormatting>
  <conditionalFormatting sqref="B1827">
    <cfRule type="duplicateValues" dxfId="539" priority="898"/>
  </conditionalFormatting>
  <conditionalFormatting sqref="B1828 B1856">
    <cfRule type="duplicateValues" dxfId="538" priority="457"/>
  </conditionalFormatting>
  <conditionalFormatting sqref="B1829">
    <cfRule type="duplicateValues" dxfId="537" priority="781"/>
  </conditionalFormatting>
  <conditionalFormatting sqref="B1841">
    <cfRule type="duplicateValues" dxfId="536" priority="451"/>
  </conditionalFormatting>
  <conditionalFormatting sqref="B1842">
    <cfRule type="duplicateValues" dxfId="535" priority="449"/>
  </conditionalFormatting>
  <conditionalFormatting sqref="B1843">
    <cfRule type="duplicateValues" dxfId="534" priority="445"/>
  </conditionalFormatting>
  <conditionalFormatting sqref="B1844">
    <cfRule type="duplicateValues" dxfId="533" priority="442"/>
  </conditionalFormatting>
  <conditionalFormatting sqref="B1847">
    <cfRule type="duplicateValues" dxfId="532" priority="440"/>
  </conditionalFormatting>
  <conditionalFormatting sqref="B1848">
    <cfRule type="duplicateValues" dxfId="531" priority="437"/>
  </conditionalFormatting>
  <conditionalFormatting sqref="B1849">
    <cfRule type="duplicateValues" dxfId="530" priority="434"/>
  </conditionalFormatting>
  <conditionalFormatting sqref="B1850">
    <cfRule type="duplicateValues" dxfId="529" priority="430"/>
  </conditionalFormatting>
  <conditionalFormatting sqref="B1851">
    <cfRule type="duplicateValues" dxfId="528" priority="427"/>
  </conditionalFormatting>
  <conditionalFormatting sqref="B1857:B1860 B1755:B1764 B1875:B1878 B1916">
    <cfRule type="duplicateValues" dxfId="527" priority="481"/>
  </conditionalFormatting>
  <conditionalFormatting sqref="B1861:B1874">
    <cfRule type="duplicateValues" dxfId="526" priority="698"/>
  </conditionalFormatting>
  <conditionalFormatting sqref="B1885">
    <cfRule type="duplicateValues" dxfId="525" priority="404"/>
  </conditionalFormatting>
  <conditionalFormatting sqref="B1886">
    <cfRule type="duplicateValues" dxfId="524" priority="401"/>
  </conditionalFormatting>
  <conditionalFormatting sqref="B1887">
    <cfRule type="duplicateValues" dxfId="523" priority="398"/>
  </conditionalFormatting>
  <conditionalFormatting sqref="B1888">
    <cfRule type="duplicateValues" dxfId="522" priority="395"/>
  </conditionalFormatting>
  <conditionalFormatting sqref="B1892:B1894">
    <cfRule type="duplicateValues" dxfId="521" priority="391"/>
  </conditionalFormatting>
  <conditionalFormatting sqref="B1896">
    <cfRule type="duplicateValues" dxfId="520" priority="386"/>
  </conditionalFormatting>
  <conditionalFormatting sqref="B1901">
    <cfRule type="duplicateValues" dxfId="519" priority="383"/>
  </conditionalFormatting>
  <conditionalFormatting sqref="B1903:B1906">
    <cfRule type="duplicateValues" dxfId="518" priority="379"/>
  </conditionalFormatting>
  <conditionalFormatting sqref="B2062 B1811:B1826">
    <cfRule type="duplicateValues" dxfId="517" priority="466"/>
  </conditionalFormatting>
  <conditionalFormatting sqref="B2218:B2220">
    <cfRule type="duplicateValues" dxfId="516" priority="1009"/>
  </conditionalFormatting>
  <conditionalFormatting sqref="B2221:B2223">
    <cfRule type="duplicateValues" dxfId="515" priority="369"/>
  </conditionalFormatting>
  <conditionalFormatting sqref="B2259">
    <cfRule type="duplicateValues" dxfId="514" priority="368"/>
  </conditionalFormatting>
  <conditionalFormatting sqref="B2264:B2266">
    <cfRule type="duplicateValues" dxfId="513" priority="363"/>
  </conditionalFormatting>
  <conditionalFormatting sqref="B2289:B2292 B2323:B2324">
    <cfRule type="duplicateValues" dxfId="512" priority="362"/>
  </conditionalFormatting>
  <conditionalFormatting sqref="B2293:B2302">
    <cfRule type="duplicateValues" dxfId="511" priority="358"/>
  </conditionalFormatting>
  <conditionalFormatting sqref="B2303">
    <cfRule type="duplicateValues" dxfId="510" priority="356"/>
  </conditionalFormatting>
  <conditionalFormatting sqref="B2304">
    <cfRule type="duplicateValues" dxfId="509" priority="352"/>
  </conditionalFormatting>
  <conditionalFormatting sqref="B2313:B2314">
    <cfRule type="duplicateValues" dxfId="508" priority="348"/>
  </conditionalFormatting>
  <conditionalFormatting sqref="B2315:B2318 B2597:B2598">
    <cfRule type="duplicateValues" dxfId="507" priority="346"/>
  </conditionalFormatting>
  <conditionalFormatting sqref="B2319:B2321">
    <cfRule type="duplicateValues" dxfId="506" priority="344"/>
  </conditionalFormatting>
  <conditionalFormatting sqref="B2337">
    <cfRule type="duplicateValues" dxfId="505" priority="335"/>
    <cfRule type="duplicateValues" dxfId="504" priority="334"/>
  </conditionalFormatting>
  <conditionalFormatting sqref="B2338">
    <cfRule type="duplicateValues" dxfId="503" priority="329"/>
    <cfRule type="duplicateValues" dxfId="502" priority="328"/>
  </conditionalFormatting>
  <conditionalFormatting sqref="B2377:B2378">
    <cfRule type="duplicateValues" dxfId="501" priority="327"/>
  </conditionalFormatting>
  <conditionalFormatting sqref="B2382:B2388">
    <cfRule type="duplicateValues" dxfId="500" priority="323"/>
  </conditionalFormatting>
  <conditionalFormatting sqref="B2389">
    <cfRule type="duplicateValues" dxfId="499" priority="321"/>
  </conditionalFormatting>
  <conditionalFormatting sqref="B2390">
    <cfRule type="duplicateValues" dxfId="498" priority="319"/>
  </conditionalFormatting>
  <conditionalFormatting sqref="B2391">
    <cfRule type="duplicateValues" dxfId="497" priority="317"/>
  </conditionalFormatting>
  <conditionalFormatting sqref="B2392">
    <cfRule type="duplicateValues" dxfId="496" priority="315"/>
  </conditionalFormatting>
  <conditionalFormatting sqref="B2393">
    <cfRule type="duplicateValues" dxfId="495" priority="313"/>
  </conditionalFormatting>
  <conditionalFormatting sqref="B2394">
    <cfRule type="duplicateValues" dxfId="494" priority="311"/>
  </conditionalFormatting>
  <conditionalFormatting sqref="B2395:B2396">
    <cfRule type="duplicateValues" dxfId="493" priority="309"/>
  </conditionalFormatting>
  <conditionalFormatting sqref="B2398">
    <cfRule type="duplicateValues" dxfId="492" priority="307"/>
  </conditionalFormatting>
  <conditionalFormatting sqref="B2399">
    <cfRule type="duplicateValues" dxfId="491" priority="305"/>
  </conditionalFormatting>
  <conditionalFormatting sqref="B2400">
    <cfRule type="duplicateValues" dxfId="490" priority="303"/>
  </conditionalFormatting>
  <conditionalFormatting sqref="B2401">
    <cfRule type="duplicateValues" dxfId="489" priority="301"/>
  </conditionalFormatting>
  <conditionalFormatting sqref="B2406:B2408">
    <cfRule type="duplicateValues" dxfId="488" priority="299"/>
  </conditionalFormatting>
  <conditionalFormatting sqref="B2409:B2410">
    <cfRule type="duplicateValues" dxfId="487" priority="297"/>
  </conditionalFormatting>
  <conditionalFormatting sqref="B2412">
    <cfRule type="duplicateValues" dxfId="486" priority="293"/>
  </conditionalFormatting>
  <conditionalFormatting sqref="B2413">
    <cfRule type="duplicateValues" dxfId="485" priority="291"/>
  </conditionalFormatting>
  <conditionalFormatting sqref="B2414">
    <cfRule type="duplicateValues" dxfId="484" priority="290"/>
  </conditionalFormatting>
  <conditionalFormatting sqref="B2427">
    <cfRule type="duplicateValues" dxfId="483" priority="288"/>
  </conditionalFormatting>
  <conditionalFormatting sqref="B2432:B2443">
    <cfRule type="duplicateValues" dxfId="482" priority="286"/>
    <cfRule type="duplicateValues" dxfId="481" priority="285"/>
  </conditionalFormatting>
  <conditionalFormatting sqref="B2444:B2445">
    <cfRule type="duplicateValues" dxfId="480" priority="280"/>
    <cfRule type="duplicateValues" dxfId="479" priority="279"/>
  </conditionalFormatting>
  <conditionalFormatting sqref="B2446:B2450">
    <cfRule type="duplicateValues" dxfId="478" priority="278"/>
  </conditionalFormatting>
  <conditionalFormatting sqref="B2452:B2455">
    <cfRule type="duplicateValues" dxfId="477" priority="272"/>
  </conditionalFormatting>
  <conditionalFormatting sqref="B2456">
    <cfRule type="duplicateValues" dxfId="476" priority="267"/>
  </conditionalFormatting>
  <conditionalFormatting sqref="B2457:B2458">
    <cfRule type="duplicateValues" dxfId="475" priority="266"/>
  </conditionalFormatting>
  <conditionalFormatting sqref="B2460">
    <cfRule type="duplicateValues" dxfId="474" priority="263"/>
  </conditionalFormatting>
  <conditionalFormatting sqref="B2461">
    <cfRule type="duplicateValues" dxfId="473" priority="262"/>
  </conditionalFormatting>
  <conditionalFormatting sqref="B2462">
    <cfRule type="duplicateValues" dxfId="472" priority="260"/>
  </conditionalFormatting>
  <conditionalFormatting sqref="B2463">
    <cfRule type="duplicateValues" dxfId="471" priority="257"/>
  </conditionalFormatting>
  <conditionalFormatting sqref="B2464">
    <cfRule type="duplicateValues" dxfId="470" priority="255"/>
  </conditionalFormatting>
  <conditionalFormatting sqref="B2465">
    <cfRule type="duplicateValues" dxfId="469" priority="253"/>
    <cfRule type="duplicateValues" dxfId="468" priority="254"/>
  </conditionalFormatting>
  <conditionalFormatting sqref="B2466">
    <cfRule type="duplicateValues" dxfId="467" priority="250"/>
  </conditionalFormatting>
  <conditionalFormatting sqref="B2473:B2474">
    <cfRule type="duplicateValues" dxfId="466" priority="244"/>
  </conditionalFormatting>
  <conditionalFormatting sqref="B2475">
    <cfRule type="duplicateValues" dxfId="465" priority="243"/>
  </conditionalFormatting>
  <conditionalFormatting sqref="B2476">
    <cfRule type="duplicateValues" dxfId="464" priority="241"/>
  </conditionalFormatting>
  <conditionalFormatting sqref="B2478">
    <cfRule type="duplicateValues" dxfId="463" priority="239"/>
    <cfRule type="duplicateValues" dxfId="462" priority="238"/>
  </conditionalFormatting>
  <conditionalFormatting sqref="B2482">
    <cfRule type="duplicateValues" dxfId="461" priority="235"/>
  </conditionalFormatting>
  <conditionalFormatting sqref="B2487">
    <cfRule type="duplicateValues" dxfId="460" priority="233"/>
  </conditionalFormatting>
  <conditionalFormatting sqref="B2488">
    <cfRule type="duplicateValues" dxfId="459" priority="231"/>
  </conditionalFormatting>
  <conditionalFormatting sqref="B2489:B2490">
    <cfRule type="duplicateValues" dxfId="458" priority="229"/>
  </conditionalFormatting>
  <conditionalFormatting sqref="B2494">
    <cfRule type="duplicateValues" dxfId="457" priority="227"/>
  </conditionalFormatting>
  <conditionalFormatting sqref="B2495">
    <cfRule type="duplicateValues" dxfId="456" priority="225"/>
  </conditionalFormatting>
  <conditionalFormatting sqref="B2496">
    <cfRule type="duplicateValues" dxfId="455" priority="223"/>
  </conditionalFormatting>
  <conditionalFormatting sqref="B2497">
    <cfRule type="duplicateValues" dxfId="454" priority="218"/>
  </conditionalFormatting>
  <conditionalFormatting sqref="B2498">
    <cfRule type="duplicateValues" dxfId="453" priority="220"/>
  </conditionalFormatting>
  <conditionalFormatting sqref="B2499">
    <cfRule type="duplicateValues" dxfId="452" priority="217"/>
  </conditionalFormatting>
  <conditionalFormatting sqref="B2500">
    <cfRule type="duplicateValues" dxfId="451" priority="215"/>
  </conditionalFormatting>
  <conditionalFormatting sqref="B2501">
    <cfRule type="duplicateValues" dxfId="450" priority="212"/>
    <cfRule type="duplicateValues" dxfId="449" priority="213"/>
  </conditionalFormatting>
  <conditionalFormatting sqref="B2502">
    <cfRule type="duplicateValues" dxfId="448" priority="207"/>
    <cfRule type="duplicateValues" dxfId="447" priority="206"/>
  </conditionalFormatting>
  <conditionalFormatting sqref="B2503">
    <cfRule type="duplicateValues" dxfId="446" priority="204"/>
  </conditionalFormatting>
  <conditionalFormatting sqref="B2504">
    <cfRule type="duplicateValues" dxfId="445" priority="202"/>
  </conditionalFormatting>
  <conditionalFormatting sqref="B2505">
    <cfRule type="duplicateValues" dxfId="444" priority="200"/>
  </conditionalFormatting>
  <conditionalFormatting sqref="B2506">
    <cfRule type="duplicateValues" dxfId="443" priority="198"/>
  </conditionalFormatting>
  <conditionalFormatting sqref="B2509:B2510">
    <cfRule type="duplicateValues" dxfId="442" priority="196"/>
  </conditionalFormatting>
  <conditionalFormatting sqref="B2511">
    <cfRule type="duplicateValues" dxfId="441" priority="193"/>
  </conditionalFormatting>
  <conditionalFormatting sqref="B2513">
    <cfRule type="duplicateValues" dxfId="440" priority="191"/>
  </conditionalFormatting>
  <conditionalFormatting sqref="B2514">
    <cfRule type="duplicateValues" dxfId="439" priority="188"/>
  </conditionalFormatting>
  <conditionalFormatting sqref="B2515:B2517">
    <cfRule type="duplicateValues" dxfId="438" priority="1154"/>
  </conditionalFormatting>
  <conditionalFormatting sqref="B2521">
    <cfRule type="duplicateValues" dxfId="437" priority="182"/>
  </conditionalFormatting>
  <conditionalFormatting sqref="B2522">
    <cfRule type="duplicateValues" dxfId="436" priority="181"/>
  </conditionalFormatting>
  <conditionalFormatting sqref="B2523:B2525">
    <cfRule type="duplicateValues" dxfId="435" priority="179"/>
  </conditionalFormatting>
  <conditionalFormatting sqref="B2526">
    <cfRule type="duplicateValues" dxfId="434" priority="177"/>
  </conditionalFormatting>
  <conditionalFormatting sqref="B2528">
    <cfRule type="duplicateValues" dxfId="433" priority="173"/>
  </conditionalFormatting>
  <conditionalFormatting sqref="B2529">
    <cfRule type="duplicateValues" dxfId="432" priority="170"/>
  </conditionalFormatting>
  <conditionalFormatting sqref="B2530">
    <cfRule type="duplicateValues" dxfId="431" priority="168"/>
  </conditionalFormatting>
  <conditionalFormatting sqref="B2531">
    <cfRule type="duplicateValues" dxfId="430" priority="166"/>
  </conditionalFormatting>
  <conditionalFormatting sqref="B2532:B2533">
    <cfRule type="duplicateValues" dxfId="429" priority="164"/>
  </conditionalFormatting>
  <conditionalFormatting sqref="B2534">
    <cfRule type="duplicateValues" dxfId="428" priority="162"/>
  </conditionalFormatting>
  <conditionalFormatting sqref="B2535">
    <cfRule type="duplicateValues" dxfId="427" priority="160"/>
  </conditionalFormatting>
  <conditionalFormatting sqref="B2536">
    <cfRule type="duplicateValues" dxfId="426" priority="158"/>
  </conditionalFormatting>
  <conditionalFormatting sqref="B2537">
    <cfRule type="duplicateValues" dxfId="425" priority="156"/>
  </conditionalFormatting>
  <conditionalFormatting sqref="B2538">
    <cfRule type="duplicateValues" dxfId="424" priority="155"/>
  </conditionalFormatting>
  <conditionalFormatting sqref="B2539">
    <cfRule type="duplicateValues" dxfId="423" priority="152"/>
  </conditionalFormatting>
  <conditionalFormatting sqref="B2540">
    <cfRule type="duplicateValues" dxfId="422" priority="150"/>
  </conditionalFormatting>
  <conditionalFormatting sqref="B2542">
    <cfRule type="duplicateValues" dxfId="421" priority="148"/>
  </conditionalFormatting>
  <conditionalFormatting sqref="B2544">
    <cfRule type="duplicateValues" dxfId="420" priority="146"/>
  </conditionalFormatting>
  <conditionalFormatting sqref="B2547">
    <cfRule type="duplicateValues" dxfId="419" priority="143"/>
  </conditionalFormatting>
  <conditionalFormatting sqref="B2548:B2549">
    <cfRule type="duplicateValues" dxfId="418" priority="141"/>
  </conditionalFormatting>
  <conditionalFormatting sqref="B2551">
    <cfRule type="duplicateValues" dxfId="417" priority="138"/>
  </conditionalFormatting>
  <conditionalFormatting sqref="B2552">
    <cfRule type="duplicateValues" dxfId="416" priority="136"/>
  </conditionalFormatting>
  <conditionalFormatting sqref="B2553">
    <cfRule type="duplicateValues" dxfId="415" priority="133"/>
  </conditionalFormatting>
  <conditionalFormatting sqref="B2554">
    <cfRule type="duplicateValues" dxfId="414" priority="131"/>
  </conditionalFormatting>
  <conditionalFormatting sqref="B2555">
    <cfRule type="duplicateValues" dxfId="413" priority="129"/>
  </conditionalFormatting>
  <conditionalFormatting sqref="B2558">
    <cfRule type="duplicateValues" dxfId="412" priority="128"/>
  </conditionalFormatting>
  <conditionalFormatting sqref="B2559">
    <cfRule type="duplicateValues" dxfId="411" priority="125"/>
  </conditionalFormatting>
  <conditionalFormatting sqref="B2560">
    <cfRule type="duplicateValues" dxfId="410" priority="124"/>
  </conditionalFormatting>
  <conditionalFormatting sqref="B2568:B2571">
    <cfRule type="duplicateValues" dxfId="409" priority="122"/>
  </conditionalFormatting>
  <conditionalFormatting sqref="B2583">
    <cfRule type="duplicateValues" dxfId="408" priority="117"/>
  </conditionalFormatting>
  <conditionalFormatting sqref="B2584:B2586">
    <cfRule type="duplicateValues" dxfId="407" priority="115"/>
  </conditionalFormatting>
  <conditionalFormatting sqref="B2587">
    <cfRule type="duplicateValues" dxfId="406" priority="114"/>
  </conditionalFormatting>
  <conditionalFormatting sqref="B2588">
    <cfRule type="duplicateValues" dxfId="405" priority="111"/>
  </conditionalFormatting>
  <conditionalFormatting sqref="B2589">
    <cfRule type="duplicateValues" dxfId="404" priority="110"/>
  </conditionalFormatting>
  <conditionalFormatting sqref="B2590">
    <cfRule type="duplicateValues" dxfId="403" priority="107"/>
  </conditionalFormatting>
  <conditionalFormatting sqref="B2591">
    <cfRule type="duplicateValues" dxfId="402" priority="106"/>
  </conditionalFormatting>
  <conditionalFormatting sqref="B2592">
    <cfRule type="duplicateValues" dxfId="401" priority="104"/>
  </conditionalFormatting>
  <conditionalFormatting sqref="B2593">
    <cfRule type="duplicateValues" dxfId="400" priority="101"/>
  </conditionalFormatting>
  <conditionalFormatting sqref="B2594:B2595">
    <cfRule type="duplicateValues" dxfId="399" priority="99"/>
  </conditionalFormatting>
  <conditionalFormatting sqref="B2596">
    <cfRule type="duplicateValues" dxfId="398" priority="97"/>
    <cfRule type="duplicateValues" dxfId="397" priority="98"/>
  </conditionalFormatting>
  <conditionalFormatting sqref="B2599:B2600">
    <cfRule type="duplicateValues" dxfId="396" priority="93"/>
  </conditionalFormatting>
  <conditionalFormatting sqref="B2601:B2604">
    <cfRule type="duplicateValues" dxfId="395" priority="1302"/>
  </conditionalFormatting>
  <conditionalFormatting sqref="B2605:B2606">
    <cfRule type="duplicateValues" dxfId="394" priority="82"/>
  </conditionalFormatting>
  <conditionalFormatting sqref="B2607">
    <cfRule type="duplicateValues" dxfId="393" priority="80"/>
  </conditionalFormatting>
  <conditionalFormatting sqref="B2608">
    <cfRule type="duplicateValues" dxfId="392" priority="78"/>
  </conditionalFormatting>
  <conditionalFormatting sqref="B2609">
    <cfRule type="duplicateValues" dxfId="391" priority="77"/>
  </conditionalFormatting>
  <conditionalFormatting sqref="B2611">
    <cfRule type="duplicateValues" dxfId="390" priority="75"/>
  </conditionalFormatting>
  <conditionalFormatting sqref="B2613:B2615">
    <cfRule type="duplicateValues" dxfId="389" priority="73"/>
  </conditionalFormatting>
  <conditionalFormatting sqref="B2616">
    <cfRule type="duplicateValues" dxfId="388" priority="69"/>
  </conditionalFormatting>
  <conditionalFormatting sqref="B2617">
    <cfRule type="duplicateValues" dxfId="387" priority="66"/>
  </conditionalFormatting>
  <conditionalFormatting sqref="B2618">
    <cfRule type="duplicateValues" dxfId="386" priority="65"/>
  </conditionalFormatting>
  <conditionalFormatting sqref="B2619">
    <cfRule type="duplicateValues" dxfId="385" priority="63"/>
  </conditionalFormatting>
  <conditionalFormatting sqref="B2620 B2632:B2635 B2671">
    <cfRule type="duplicateValues" dxfId="384" priority="60"/>
  </conditionalFormatting>
  <conditionalFormatting sqref="B2625">
    <cfRule type="duplicateValues" dxfId="383" priority="59"/>
  </conditionalFormatting>
  <conditionalFormatting sqref="B2626">
    <cfRule type="duplicateValues" dxfId="382" priority="55"/>
  </conditionalFormatting>
  <conditionalFormatting sqref="B2627">
    <cfRule type="duplicateValues" dxfId="381" priority="53"/>
  </conditionalFormatting>
  <conditionalFormatting sqref="B2628">
    <cfRule type="duplicateValues" dxfId="380" priority="52"/>
  </conditionalFormatting>
  <conditionalFormatting sqref="B2629">
    <cfRule type="duplicateValues" dxfId="379" priority="50"/>
  </conditionalFormatting>
  <conditionalFormatting sqref="B2630">
    <cfRule type="duplicateValues" dxfId="378" priority="48"/>
  </conditionalFormatting>
  <conditionalFormatting sqref="B2631">
    <cfRule type="duplicateValues" dxfId="377" priority="46"/>
  </conditionalFormatting>
  <conditionalFormatting sqref="B2636">
    <cfRule type="duplicateValues" dxfId="376" priority="39"/>
  </conditionalFormatting>
  <conditionalFormatting sqref="B2638">
    <cfRule type="duplicateValues" dxfId="375" priority="35"/>
  </conditionalFormatting>
  <conditionalFormatting sqref="B2639">
    <cfRule type="duplicateValues" dxfId="374" priority="32"/>
  </conditionalFormatting>
  <conditionalFormatting sqref="B2640">
    <cfRule type="duplicateValues" dxfId="373" priority="30"/>
  </conditionalFormatting>
  <conditionalFormatting sqref="B2641">
    <cfRule type="duplicateValues" dxfId="372" priority="28"/>
  </conditionalFormatting>
  <conditionalFormatting sqref="B2642">
    <cfRule type="duplicateValues" dxfId="371" priority="25"/>
  </conditionalFormatting>
  <conditionalFormatting sqref="B2643 B2637">
    <cfRule type="duplicateValues" dxfId="370" priority="37"/>
  </conditionalFormatting>
  <conditionalFormatting sqref="B2644">
    <cfRule type="duplicateValues" dxfId="369" priority="22"/>
  </conditionalFormatting>
  <conditionalFormatting sqref="B2645:B2646">
    <cfRule type="duplicateValues" dxfId="368" priority="20"/>
  </conditionalFormatting>
  <conditionalFormatting sqref="B2647:B2648">
    <cfRule type="duplicateValues" dxfId="367" priority="19"/>
  </conditionalFormatting>
  <conditionalFormatting sqref="B2649:B2659">
    <cfRule type="duplicateValues" dxfId="366" priority="16"/>
  </conditionalFormatting>
  <conditionalFormatting sqref="B2660">
    <cfRule type="duplicateValues" dxfId="365" priority="14"/>
  </conditionalFormatting>
  <conditionalFormatting sqref="B2661">
    <cfRule type="duplicateValues" dxfId="364" priority="12"/>
  </conditionalFormatting>
  <conditionalFormatting sqref="B2662:B2663">
    <cfRule type="duplicateValues" dxfId="363" priority="11"/>
  </conditionalFormatting>
  <conditionalFormatting sqref="B2664:B2666">
    <cfRule type="duplicateValues" dxfId="362" priority="10"/>
  </conditionalFormatting>
  <conditionalFormatting sqref="B2667">
    <cfRule type="duplicateValues" dxfId="361" priority="7"/>
  </conditionalFormatting>
  <conditionalFormatting sqref="B2668">
    <cfRule type="duplicateValues" dxfId="360" priority="5"/>
  </conditionalFormatting>
  <conditionalFormatting sqref="B2669">
    <cfRule type="duplicateValues" dxfId="359" priority="3"/>
  </conditionalFormatting>
  <conditionalFormatting sqref="B2670">
    <cfRule type="duplicateValues" dxfId="358" priority="2"/>
  </conditionalFormatting>
  <conditionalFormatting sqref="B2672:B1048576 B2470:B2472 B2224:B2258 B1702:B1703 B1:B33 B1705:B1709 B1712:B1729 B1734:B1738 B1740:B1741 B1743 B1765 B1767 B1782 B1784:B1801 B1803:B1808 B1830:B1840 B1845:B1846 B1852:B1855 B1879:B1884 B1889:B1891 B1895 B1897:B1900 B1902 B1907:B1915 B1917:B2061 B2260:B2263 B2267:B2288 B2322 B2325:B2330 B2332:B2336 B725:B746 B2339:B2376 B2397 B2402:B2405 B2411 B2428:B2431 B2415:B2426 B2451 B2459 B2467:B2468 B2477 B2479:B2481 B2483:B2486 B2491:B2493 B748:B1700 B2507:B2508 B2512 B2518:B2520 B2541 B2543 B2545:B2546 B2550 B35:B613 B2556:B2557 B2561:B2567 B2379:B2381 B2305:B2312 B2063:B2217 B2572:B2582 B615:B723 B2610 B2612 B2621:B2624">
    <cfRule type="duplicateValues" dxfId="357" priority="512"/>
  </conditionalFormatting>
  <conditionalFormatting sqref="F1:F216 F218:F2183 F2185:F2197 F2199:F2677 E2677 F2679:F1048576">
    <cfRule type="containsText" dxfId="356" priority="511" operator="containsText" text="ไม่พบวัตถุดิบ">
      <formula>NOT(ISERROR(SEARCH("ไม่พบวัตถุดิบ",E1)))</formula>
    </cfRule>
  </conditionalFormatting>
  <pageMargins left="0.25" right="0.25" top="0.75" bottom="0.75" header="0.3" footer="0.3"/>
  <pageSetup paperSize="9" scale="66" orientation="landscape" r:id="rId1"/>
  <ignoredErrors>
    <ignoredError sqref="G2288 G1397:H1397 G2341 G2344 G2385 G2406 G2381:G2382 G2195 G2407:G2408 G2389:G2392 G2409:G2410 G2398 G2360 G2420 G2421:G2423 G2425 G2427 G2429:G2431 G2333 G2460:G2461 G2466 H230:H236 G2464:G2465 G2413:G2414 G2457:G2458 H239 G1:G488 G2469 G1013:H1013 G821 G2477 G772:G794 G2478 G606:G613 G586:G605 G585:H585 G2456 G2481 G2483:G2486 H2478 H2469 H2466 H2467:H2468 H2476:H2477 H2470 H2479:H2481 G802:G814 H2487:H2488 G2487:G2488 G2489:H2489 G2490 H2472 G2471:H2471 G2495:H2495 H2494 G796:G801 G2496:H2496 G2497:H2497 G656:G661 G2171 G2411 G2501:H2501 G2502:H2502 G747:G771 G2505:H2505 G2504:H2504 G2506:H2506 G2508:H2508 G2394 G2509:H2509 G2510:H2510 G1647:H1647 G1342:H1342 G2512:H2512 G2412 G2197 G2153 H2465 H2197 H2412 H2394 H2171 H2459 H2462 H2432:H2433 H2428 H2425:H2426 H2427 H2429:H2431 H2460:H2461 H2457:H2458 H2413:H2414 H2333 H2420 H2409:H2410 H2389:H2392 H2195 H2381:H2382 H2406 H2398:H2401 H2344 H2341 H2153:H2155 H2342:H2343 H2345:H2380 H2402:H2405 H2407:H2408 H2196 H2393 H2411 H2421:H2424 H2334:H2340 H2415:H2419 H2464 H2172:H2173 H2395:H2397 H2198:H2231 G578:G581 G2513:H2513 G2475:H2475 G2515:G2517 H2515:H2517 G2493:H2493 G2518:O2518 G726:G746 G725:H725 G2522:H2522 G2533:H2533 G2530:H2530 G2534:H2534 G2531:H2531 G2519:H2519 G2521:H2521 G2527:H2527 G2542:H2542 H2483:H2486 G2482:H2482 G2463:H2463 H2233:H2324 G2232:H2232 G2492:H2492 G2526:H2526 H1911 G2536:H2536 G2529:H2529 G582:G584 G672:G724 G2528:H2528 G2548:H2548 H2435:H2440 G2434:H2434 G2550:H2550 H2156:H2170 G2549:H2549 G663:G666 G2532:H2532 H2326:H2330 G2551:H2552 G2151:H2151 G652:G655 G2559:H2559 G1381:H1381 H2185:H2193 G2563:H2563 G2564:H2564 G648:G651 H2194 G2568 H2332 G2571:H2571 G2572:H2572 G2578:H2578 H2175:H2183 G2174:H2174 G2579:H2579 G2539:H2539 G2555:H2555 G2587:H2587 G2589:H2589 G2590:G2592 H2590:H2592 G2594:H2594 G2595:H2596 G2599:H2600 G614:G647 G2597:H2597 G2524:H2524 G2523:H2523 G2525:H2525 G497:G577 H497 G2601:G2604 H2601:H2604 G2605:H2606 G2607:H2607 G2608:H2608 G2609:H2609 G2585:H2585 G2584:H2584 G2586:H2586 G2611:H2611 H2612 G2620:H2620 G2625:H2625 G2619:H2619 H2626 G2627:H2627 G2632:H2632 G2633:H2633 G2634:H2634 G2635:H2635 G2616:H2616 G2617:H2617 G489:G496 H2383:H2388 G2639 G2643 G2637:H2637 G2645:G2646 G2654 G2656:G2657 G2653 G2658 G2655 H2442:H2456 G2441:H2441 G2614 G2631:H2631 G2647 G2648 G2660 G2659 G2661 G2662 H2661 H2659 H2660 H2648 H2647 H2655 H2658 H2656 H2654 H2645:H2646 H2643 H2639:H2642 H2644 H2649:H2653 H2657 H2662 G2663:H2663 G2668:H2668 G2671:H2671 G668:G671 G2667:H2667 G2664:H2664 G2665:H2665 G2666:H2666" numberStoredAsText="1"/>
    <ignoredError sqref="I2273:K2279 I2428:K2428 F2273:F2279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C9F4-6026-4046-AAD5-BB0751959EC3}">
  <sheetPr>
    <pageSetUpPr fitToPage="1"/>
  </sheetPr>
  <dimension ref="A1:I1534"/>
  <sheetViews>
    <sheetView zoomScale="85" zoomScaleNormal="85" workbookViewId="0">
      <selection activeCell="C1526" sqref="C1526"/>
    </sheetView>
  </sheetViews>
  <sheetFormatPr defaultColWidth="9" defaultRowHeight="18"/>
  <cols>
    <col min="1" max="1" width="7.88671875" style="33" bestFit="1" customWidth="1"/>
    <col min="2" max="2" width="24.88671875" style="33" bestFit="1" customWidth="1"/>
    <col min="3" max="3" width="28" style="33" customWidth="1"/>
    <col min="4" max="4" width="18.44140625" style="33" customWidth="1"/>
    <col min="5" max="5" width="8.109375" style="33" customWidth="1"/>
    <col min="6" max="6" width="67.33203125" style="29" customWidth="1"/>
    <col min="7" max="7" width="19.109375" style="117" customWidth="1"/>
    <col min="8" max="8" width="19" style="33" bestFit="1" customWidth="1"/>
    <col min="9" max="9" width="47.88671875" style="29" customWidth="1"/>
    <col min="10" max="16384" width="9" style="33"/>
  </cols>
  <sheetData>
    <row r="1" spans="1:9">
      <c r="A1" s="33" t="s">
        <v>3766</v>
      </c>
      <c r="B1" s="33" t="s">
        <v>3767</v>
      </c>
      <c r="C1" s="33" t="s">
        <v>3098</v>
      </c>
      <c r="D1" s="33" t="s">
        <v>0</v>
      </c>
      <c r="E1" s="33" t="s">
        <v>3768</v>
      </c>
      <c r="F1" s="29" t="s">
        <v>1</v>
      </c>
      <c r="G1" s="117" t="s">
        <v>3769</v>
      </c>
      <c r="H1" s="33" t="s">
        <v>4028</v>
      </c>
      <c r="I1" s="29" t="s">
        <v>4762</v>
      </c>
    </row>
    <row r="2" spans="1:9">
      <c r="A2" s="33">
        <v>1</v>
      </c>
      <c r="B2" s="71">
        <v>40966</v>
      </c>
      <c r="C2" s="72" t="s">
        <v>5628</v>
      </c>
      <c r="D2" s="33" t="s">
        <v>698</v>
      </c>
      <c r="E2" s="33" t="str">
        <f>RIGHT(บันทึกนำเข้าDrawing[[#This Row],[Drawing No]],1)</f>
        <v>0</v>
      </c>
      <c r="F2" s="73" t="s">
        <v>3172</v>
      </c>
      <c r="G2" s="118" t="s">
        <v>4027</v>
      </c>
      <c r="H2" s="74">
        <v>43259</v>
      </c>
      <c r="I2" s="29" t="str">
        <f>CONCATENATE(บันทึกนำเข้าDrawing[[#This Row],[Part No]],"+",บันทึกนำเข้าDrawing[[#This Row],[Drawing No]])</f>
        <v>2B25-021-07+DR-TW-2B25-021-08-00</v>
      </c>
    </row>
    <row r="3" spans="1:9">
      <c r="A3" s="33">
        <v>2</v>
      </c>
      <c r="B3" s="71">
        <v>41247</v>
      </c>
      <c r="C3" s="72" t="s">
        <v>4930</v>
      </c>
      <c r="D3" s="33" t="s">
        <v>616</v>
      </c>
      <c r="E3" s="33" t="str">
        <f>RIGHT(บันทึกนำเข้าDrawing[[#This Row],[Drawing No]],1)</f>
        <v>0</v>
      </c>
      <c r="F3" s="73" t="s">
        <v>2811</v>
      </c>
      <c r="G3" s="118" t="s">
        <v>4027</v>
      </c>
      <c r="H3" s="74"/>
      <c r="I3" s="29" t="str">
        <f>CONCATENATE(บันทึกนำเข้าDrawing[[#This Row],[Part No]],"+",บันทึกนำเข้าDrawing[[#This Row],[Drawing No]])</f>
        <v>2B24-216-02+DR-TW-2B24-216-02-00</v>
      </c>
    </row>
    <row r="4" spans="1:9">
      <c r="A4" s="33">
        <v>3</v>
      </c>
      <c r="B4" s="71">
        <v>41247</v>
      </c>
      <c r="C4" s="72" t="s">
        <v>4930</v>
      </c>
      <c r="D4" s="33" t="s">
        <v>617</v>
      </c>
      <c r="E4" s="33" t="str">
        <f>RIGHT(บันทึกนำเข้าDrawing[[#This Row],[Drawing No]],1)</f>
        <v>0</v>
      </c>
      <c r="F4" s="73" t="s">
        <v>3126</v>
      </c>
      <c r="G4" s="118" t="s">
        <v>4027</v>
      </c>
      <c r="H4" s="74">
        <v>43496</v>
      </c>
      <c r="I4" s="29" t="str">
        <f>CONCATENATE(บันทึกนำเข้าDrawing[[#This Row],[Part No]],"+",บันทึกนำเข้าDrawing[[#This Row],[Drawing No]])</f>
        <v>2B24-217-01+DR-TW-2B24-216-02-00</v>
      </c>
    </row>
    <row r="5" spans="1:9">
      <c r="A5" s="33">
        <v>4</v>
      </c>
      <c r="B5" s="71">
        <v>41342</v>
      </c>
      <c r="C5" s="72" t="s">
        <v>5431</v>
      </c>
      <c r="D5" s="33" t="s">
        <v>1451</v>
      </c>
      <c r="E5" s="33" t="str">
        <f>RIGHT(บันทึกนำเข้าDrawing[[#This Row],[Drawing No]],1)</f>
        <v>1</v>
      </c>
      <c r="F5" s="73" t="s">
        <v>5432</v>
      </c>
      <c r="G5" s="118" t="s">
        <v>4027</v>
      </c>
      <c r="H5" s="74">
        <v>43516</v>
      </c>
      <c r="I5" s="29" t="str">
        <f>CONCATENATE(บันทึกนำเข้าDrawing[[#This Row],[Part No]],"+",บันทึกนำเข้าDrawing[[#This Row],[Drawing No]])</f>
        <v>2B27-316-01+DR-TW-2B27-316-01-01</v>
      </c>
    </row>
    <row r="6" spans="1:9">
      <c r="A6" s="33">
        <v>5</v>
      </c>
      <c r="B6" s="71">
        <v>41882</v>
      </c>
      <c r="C6" s="72" t="s">
        <v>3597</v>
      </c>
      <c r="D6" s="33" t="s">
        <v>468</v>
      </c>
      <c r="E6" s="33" t="str">
        <f>RIGHT(บันทึกนำเข้าDrawing[[#This Row],[Drawing No]],1)</f>
        <v>0</v>
      </c>
      <c r="F6" s="73" t="s">
        <v>5580</v>
      </c>
      <c r="G6" s="118" t="s">
        <v>4027</v>
      </c>
      <c r="H6" s="74">
        <v>45061</v>
      </c>
      <c r="I6" s="29" t="str">
        <f>CONCATENATE(บันทึกนำเข้าDrawing[[#This Row],[Part No]],"+",บันทึกนำเข้าDrawing[[#This Row],[Drawing No]])</f>
        <v>2B04A180-00+DR-TW-2B04A180-00-00</v>
      </c>
    </row>
    <row r="7" spans="1:9">
      <c r="A7" s="33">
        <v>6</v>
      </c>
      <c r="B7" s="71">
        <v>42122</v>
      </c>
      <c r="C7" s="72" t="s">
        <v>5444</v>
      </c>
      <c r="D7" s="33" t="s">
        <v>1376</v>
      </c>
      <c r="E7" s="33" t="str">
        <f>RIGHT(บันทึกนำเข้าDrawing[[#This Row],[Drawing No]],1)</f>
        <v>0</v>
      </c>
      <c r="F7" s="73" t="s">
        <v>5445</v>
      </c>
      <c r="G7" s="118" t="s">
        <v>4027</v>
      </c>
      <c r="H7" s="74">
        <v>43517</v>
      </c>
      <c r="I7" s="29" t="str">
        <f>CONCATENATE(บันทึกนำเข้าDrawing[[#This Row],[Part No]],"+",บันทึกนำเข้าDrawing[[#This Row],[Drawing No]])</f>
        <v>2B27-105-01+DR-TW-2B27-105-01-00</v>
      </c>
    </row>
    <row r="8" spans="1:9">
      <c r="A8" s="33">
        <v>7</v>
      </c>
      <c r="B8" s="71">
        <v>42205</v>
      </c>
      <c r="C8" s="72" t="s">
        <v>5433</v>
      </c>
      <c r="D8" s="33" t="s">
        <v>692</v>
      </c>
      <c r="E8" s="33" t="str">
        <f>RIGHT(บันทึกนำเข้าDrawing[[#This Row],[Drawing No]],1)</f>
        <v>2</v>
      </c>
      <c r="F8" s="73" t="s">
        <v>5434</v>
      </c>
      <c r="G8" s="118" t="s">
        <v>4027</v>
      </c>
      <c r="H8" s="74">
        <v>43545</v>
      </c>
      <c r="I8" s="29" t="str">
        <f>CONCATENATE(บันทึกนำเข้าDrawing[[#This Row],[Part No]],"+",บันทึกนำเข้าDrawing[[#This Row],[Drawing No]])</f>
        <v>2B25-016-02+DR-TW-2B25-016-02-02</v>
      </c>
    </row>
    <row r="9" spans="1:9">
      <c r="A9" s="33">
        <v>8</v>
      </c>
      <c r="B9" s="71">
        <v>42255</v>
      </c>
      <c r="C9" s="72" t="s">
        <v>5569</v>
      </c>
      <c r="D9" s="33" t="s">
        <v>1404</v>
      </c>
      <c r="E9" s="33" t="str">
        <f>RIGHT(บันทึกนำเข้าDrawing[[#This Row],[Drawing No]],1)</f>
        <v>0</v>
      </c>
      <c r="F9" s="73" t="s">
        <v>5570</v>
      </c>
      <c r="G9" s="118" t="s">
        <v>4027</v>
      </c>
      <c r="H9" s="74">
        <v>45054</v>
      </c>
      <c r="I9" s="29" t="str">
        <f>CONCATENATE(บันทึกนำเข้าDrawing[[#This Row],[Part No]],"+",บันทึกนำเข้าDrawing[[#This Row],[Drawing No]])</f>
        <v>2B27-134-02+DR-TW-2B27-134-02-00</v>
      </c>
    </row>
    <row r="10" spans="1:9">
      <c r="A10" s="33">
        <v>9</v>
      </c>
      <c r="B10" s="71">
        <v>42634</v>
      </c>
      <c r="C10" s="72" t="s">
        <v>3338</v>
      </c>
      <c r="D10" s="33" t="s">
        <v>889</v>
      </c>
      <c r="E10" s="33" t="str">
        <f>RIGHT(บันทึกนำเข้าDrawing[[#This Row],[Drawing No]],1)</f>
        <v>7</v>
      </c>
      <c r="F10" s="73" t="s">
        <v>4923</v>
      </c>
      <c r="G10" s="118" t="s">
        <v>4027</v>
      </c>
      <c r="H10" s="74">
        <v>44356</v>
      </c>
      <c r="I10" s="29" t="str">
        <f>CONCATENATE(บันทึกนำเข้าDrawing[[#This Row],[Part No]],"+",บันทึกนำเข้าDrawing[[#This Row],[Drawing No]])</f>
        <v>2B25-160-03+DR-TW-2B25-008-04-07</v>
      </c>
    </row>
    <row r="11" spans="1:9">
      <c r="A11" s="33">
        <v>10</v>
      </c>
      <c r="B11" s="74">
        <v>42538</v>
      </c>
      <c r="C11" s="86" t="s">
        <v>4382</v>
      </c>
      <c r="D11" s="33" t="s">
        <v>2079</v>
      </c>
      <c r="E11" s="33" t="str">
        <f>RIGHT(บันทึกนำเข้าDrawing[[#This Row],[Drawing No]],1)</f>
        <v>0</v>
      </c>
      <c r="F11" s="220" t="s">
        <v>4803</v>
      </c>
      <c r="G11" s="118" t="s">
        <v>4027</v>
      </c>
      <c r="H11" s="74">
        <v>42538</v>
      </c>
      <c r="I11" s="29" t="str">
        <f>CONCATENATE(บันทึกนำเข้าDrawing[[#This Row],[Part No]],"+",บันทึกนำเข้าDrawing[[#This Row],[Drawing No]])</f>
        <v>2B48-036-01+DR-TW-2B48-036-01-00</v>
      </c>
    </row>
    <row r="12" spans="1:9">
      <c r="A12" s="33">
        <v>11</v>
      </c>
      <c r="B12" s="71">
        <v>42608</v>
      </c>
      <c r="C12" s="86" t="s">
        <v>3574</v>
      </c>
      <c r="D12" s="33" t="s">
        <v>1778</v>
      </c>
      <c r="E12" s="33" t="str">
        <f>RIGHT(บันทึกนำเข้าDrawing[[#This Row],[Drawing No]],1)</f>
        <v>1</v>
      </c>
      <c r="F12" s="73" t="s">
        <v>2692</v>
      </c>
      <c r="G12" s="118" t="s">
        <v>4029</v>
      </c>
      <c r="H12" s="74">
        <v>43491</v>
      </c>
      <c r="I12" s="29" t="str">
        <f>CONCATENATE(บันทึกนำเข้าDrawing[[#This Row],[Part No]],"+",บันทึกนำเข้าDrawing[[#This Row],[Drawing No]])</f>
        <v>2B29-429-00+DR-TW-2B29-429-00-01</v>
      </c>
    </row>
    <row r="13" spans="1:9">
      <c r="A13" s="33">
        <v>12</v>
      </c>
      <c r="B13" s="71">
        <v>42617</v>
      </c>
      <c r="C13" s="72" t="s">
        <v>3579</v>
      </c>
      <c r="D13" s="33" t="s">
        <v>618</v>
      </c>
      <c r="E13" s="33" t="str">
        <f>RIGHT(บันทึกนำเข้าDrawing[[#This Row],[Drawing No]],1)</f>
        <v>0</v>
      </c>
      <c r="F13" s="73" t="s">
        <v>5435</v>
      </c>
      <c r="G13" s="118" t="s">
        <v>4027</v>
      </c>
      <c r="H13" s="74">
        <v>43496</v>
      </c>
      <c r="I13" s="29" t="str">
        <f>CONCATENATE(บันทึกนำเข้าDrawing[[#This Row],[Part No]],"+",บันทึกนำเข้าDrawing[[#This Row],[Drawing No]])</f>
        <v>2B24-218-00+DR-TW-2B24-218-00-00</v>
      </c>
    </row>
    <row r="14" spans="1:9">
      <c r="A14" s="33">
        <v>13</v>
      </c>
      <c r="B14" s="71">
        <v>42634</v>
      </c>
      <c r="C14" s="72" t="s">
        <v>3338</v>
      </c>
      <c r="D14" s="33" t="s">
        <v>676</v>
      </c>
      <c r="E14" s="33" t="str">
        <f>RIGHT(บันทึกนำเข้าDrawing[[#This Row],[Drawing No]],1)</f>
        <v>7</v>
      </c>
      <c r="F14" s="73" t="s">
        <v>4769</v>
      </c>
      <c r="G14" s="118" t="s">
        <v>4027</v>
      </c>
      <c r="H14" s="74">
        <v>44355</v>
      </c>
      <c r="I14" s="29" t="str">
        <f>CONCATENATE(บันทึกนำเข้าDrawing[[#This Row],[Part No]],"+",บันทึกนำเข้าDrawing[[#This Row],[Drawing No]])</f>
        <v>2B25-008-04+DR-TW-2B25-008-04-07</v>
      </c>
    </row>
    <row r="15" spans="1:9">
      <c r="A15" s="33">
        <v>14</v>
      </c>
      <c r="B15" s="71">
        <v>42647</v>
      </c>
      <c r="C15" s="72" t="s">
        <v>3323</v>
      </c>
      <c r="D15" s="33" t="s">
        <v>2137</v>
      </c>
      <c r="E15" s="33" t="str">
        <f>RIGHT(บันทึกนำเข้าDrawing[[#This Row],[Drawing No]],1)</f>
        <v>0</v>
      </c>
      <c r="F15" s="10" t="s">
        <v>3084</v>
      </c>
      <c r="G15" s="118" t="s">
        <v>4027</v>
      </c>
      <c r="H15" s="74">
        <v>43497</v>
      </c>
      <c r="I15" s="29" t="str">
        <f>CONCATENATE(บันทึกนำเข้าDrawing[[#This Row],[Part No]],"+",บันทึกนำเข้าDrawing[[#This Row],[Drawing No]])</f>
        <v>2B48-212-01+DR-TW-2B48-212-01-00</v>
      </c>
    </row>
    <row r="16" spans="1:9">
      <c r="A16" s="33">
        <v>15</v>
      </c>
      <c r="B16" s="71">
        <v>42686</v>
      </c>
      <c r="C16" s="72" t="s">
        <v>4863</v>
      </c>
      <c r="D16" s="33" t="s">
        <v>838</v>
      </c>
      <c r="E16" s="33" t="str">
        <f>RIGHT(บันทึกนำเข้าDrawing[[#This Row],[Drawing No]],1)</f>
        <v>0</v>
      </c>
      <c r="F16" s="10" t="s">
        <v>4862</v>
      </c>
      <c r="G16" s="118" t="s">
        <v>4027</v>
      </c>
      <c r="H16" s="74">
        <v>44774</v>
      </c>
      <c r="I16" s="29" t="str">
        <f>CONCATENATE(บันทึกนำเข้าDrawing[[#This Row],[Part No]],"+",บันทึกนำเข้าDrawing[[#This Row],[Drawing No]])</f>
        <v>2B25-118-00+DR-TW-2B25-118-00-00</v>
      </c>
    </row>
    <row r="17" spans="1:9">
      <c r="A17" s="33">
        <v>16</v>
      </c>
      <c r="B17" s="71">
        <v>42696</v>
      </c>
      <c r="C17" s="72" t="s">
        <v>4870</v>
      </c>
      <c r="D17" s="33" t="s">
        <v>1736</v>
      </c>
      <c r="E17" s="33" t="str">
        <f>RIGHT(บันทึกนำเข้าDrawing[[#This Row],[Drawing No]],1)</f>
        <v>1</v>
      </c>
      <c r="F17" s="10" t="s">
        <v>4871</v>
      </c>
      <c r="G17" s="118" t="s">
        <v>4027</v>
      </c>
      <c r="H17" s="74">
        <v>44791</v>
      </c>
      <c r="I17" s="29" t="str">
        <f>CONCATENATE(บันทึกนำเข้าDrawing[[#This Row],[Part No]],"+",บันทึกนำเข้าDrawing[[#This Row],[Drawing No]])</f>
        <v>2B29-201-00+DR-TW-2B29-201-00-01</v>
      </c>
    </row>
    <row r="18" spans="1:9">
      <c r="A18" s="33">
        <v>17</v>
      </c>
      <c r="B18" s="71">
        <v>42728</v>
      </c>
      <c r="C18" s="72" t="s">
        <v>5442</v>
      </c>
      <c r="D18" s="33" t="s">
        <v>1411</v>
      </c>
      <c r="E18" s="33" t="str">
        <f>RIGHT(บันทึกนำเข้าDrawing[[#This Row],[Drawing No]],1)</f>
        <v>0</v>
      </c>
      <c r="F18" s="73" t="s">
        <v>5443</v>
      </c>
      <c r="G18" s="118" t="s">
        <v>4027</v>
      </c>
      <c r="H18" s="74">
        <v>43836</v>
      </c>
      <c r="I18" s="29" t="str">
        <f>CONCATENATE(บันทึกนำเข้าDrawing[[#This Row],[Part No]],"+",บันทึกนำเข้าDrawing[[#This Row],[Drawing No]])</f>
        <v>2B27-142-01-R+DR-TW-2B27-142-01-R-00</v>
      </c>
    </row>
    <row r="19" spans="1:9">
      <c r="A19" s="33">
        <v>18</v>
      </c>
      <c r="B19" s="71">
        <v>42747</v>
      </c>
      <c r="C19" s="72" t="s">
        <v>4931</v>
      </c>
      <c r="D19" s="33" t="s">
        <v>631</v>
      </c>
      <c r="E19" s="33" t="str">
        <f>RIGHT(บันทึกนำเข้าDrawing[[#This Row],[Drawing No]],1)</f>
        <v>0</v>
      </c>
      <c r="F19" s="73" t="s">
        <v>2353</v>
      </c>
      <c r="G19" s="118" t="s">
        <v>4027</v>
      </c>
      <c r="H19" s="74">
        <v>43536</v>
      </c>
      <c r="I19" s="29" t="str">
        <f>CONCATENATE(บันทึกนำเข้าDrawing[[#This Row],[Part No]],"+",บันทึกนำเข้าDrawing[[#This Row],[Drawing No]])</f>
        <v>2B24-227-00+DR-TW-2B24-227-00-00</v>
      </c>
    </row>
    <row r="20" spans="1:9">
      <c r="A20" s="33">
        <v>19</v>
      </c>
      <c r="B20" s="71">
        <v>42747</v>
      </c>
      <c r="C20" s="72" t="s">
        <v>5439</v>
      </c>
      <c r="D20" s="33" t="s">
        <v>632</v>
      </c>
      <c r="E20" s="33" t="str">
        <f>RIGHT(บันทึกนำเข้าDrawing[[#This Row],[Drawing No]],1)</f>
        <v>0</v>
      </c>
      <c r="F20" s="73" t="s">
        <v>5440</v>
      </c>
      <c r="G20" s="118" t="s">
        <v>4027</v>
      </c>
      <c r="H20" s="74">
        <v>43536</v>
      </c>
      <c r="I20" s="29" t="str">
        <f>CONCATENATE(บันทึกนำเข้าDrawing[[#This Row],[Part No]],"+",บันทึกนำเข้าDrawing[[#This Row],[Drawing No]])</f>
        <v>2B24-228-00+DR-TW-2B24-228-00-00</v>
      </c>
    </row>
    <row r="21" spans="1:9">
      <c r="A21" s="33">
        <v>20</v>
      </c>
      <c r="B21" s="71">
        <v>42785</v>
      </c>
      <c r="C21" s="72" t="s">
        <v>3571</v>
      </c>
      <c r="D21" s="33" t="s">
        <v>1773</v>
      </c>
      <c r="E21" s="33" t="str">
        <f>RIGHT(บันทึกนำเข้าDrawing[[#This Row],[Drawing No]],1)</f>
        <v>0</v>
      </c>
      <c r="F21" s="73" t="s">
        <v>5441</v>
      </c>
      <c r="G21" s="118" t="s">
        <v>4029</v>
      </c>
      <c r="H21" s="74">
        <v>43491</v>
      </c>
      <c r="I21" s="113" t="str">
        <f>CONCATENATE(บันทึกนำเข้าDrawing[[#This Row],[Part No]],"+",บันทึกนำเข้าDrawing[[#This Row],[Drawing No]])</f>
        <v>2B29-424-00-R+DR-TW-2B29-424-00-R-00</v>
      </c>
    </row>
    <row r="22" spans="1:9">
      <c r="A22" s="33">
        <v>21</v>
      </c>
      <c r="B22" s="71">
        <v>42817</v>
      </c>
      <c r="C22" s="72" t="s">
        <v>3745</v>
      </c>
      <c r="D22" s="33" t="s">
        <v>600</v>
      </c>
      <c r="E22" s="33" t="str">
        <f>RIGHT(บันทึกนำเข้าDrawing[[#This Row],[Drawing No]],1)</f>
        <v>0</v>
      </c>
      <c r="F22" s="73" t="s">
        <v>2988</v>
      </c>
      <c r="G22" s="118" t="s">
        <v>4027</v>
      </c>
      <c r="H22" s="74">
        <v>44224</v>
      </c>
      <c r="I22" s="29" t="str">
        <f>CONCATENATE(บันทึกนำเข้าDrawing[[#This Row],[Part No]],"+",บันทึกนำเข้าDrawing[[#This Row],[Drawing No]])</f>
        <v>2B24-210-01+DR-TW-2B24-210-01-00</v>
      </c>
    </row>
    <row r="23" spans="1:9">
      <c r="A23" s="33">
        <v>22</v>
      </c>
      <c r="B23" s="71">
        <v>42863</v>
      </c>
      <c r="C23" s="72" t="s">
        <v>4245</v>
      </c>
      <c r="D23" s="33" t="s">
        <v>786</v>
      </c>
      <c r="E23" s="33" t="str">
        <f>RIGHT(บันทึกนำเข้าDrawing[[#This Row],[Drawing No]],1)</f>
        <v>2</v>
      </c>
      <c r="F23" s="73" t="s">
        <v>2404</v>
      </c>
      <c r="G23" s="118" t="s">
        <v>4027</v>
      </c>
      <c r="H23" s="74">
        <v>44327</v>
      </c>
      <c r="I23" s="29" t="str">
        <f>CONCATENATE(บันทึกนำเข้าDrawing[[#This Row],[Part No]],"+",บันทึกนำเข้าDrawing[[#This Row],[Drawing No]])</f>
        <v>2B25-075-01+DR-TW-2B25-044-01-02</v>
      </c>
    </row>
    <row r="24" spans="1:9">
      <c r="A24" s="33">
        <v>23</v>
      </c>
      <c r="B24" s="71">
        <v>42863</v>
      </c>
      <c r="C24" s="72" t="s">
        <v>4245</v>
      </c>
      <c r="D24" s="33" t="s">
        <v>787</v>
      </c>
      <c r="E24" s="33" t="str">
        <f>RIGHT(บันทึกนำเข้าDrawing[[#This Row],[Drawing No]],1)</f>
        <v>2</v>
      </c>
      <c r="F24" s="73" t="s">
        <v>2405</v>
      </c>
      <c r="G24" s="118" t="s">
        <v>4027</v>
      </c>
      <c r="H24" s="74">
        <v>44477</v>
      </c>
      <c r="I24" s="29" t="str">
        <f>CONCATENATE(บันทึกนำเข้าDrawing[[#This Row],[Part No]],"+",บันทึกนำเข้าDrawing[[#This Row],[Drawing No]])</f>
        <v>2B25-076-01+DR-TW-2B25-044-01-02</v>
      </c>
    </row>
    <row r="25" spans="1:9">
      <c r="A25" s="33">
        <v>24</v>
      </c>
      <c r="B25" s="99">
        <v>42873</v>
      </c>
      <c r="C25" s="82" t="s">
        <v>4153</v>
      </c>
      <c r="D25" s="33" t="s">
        <v>735</v>
      </c>
      <c r="E25" s="33" t="str">
        <f>RIGHT(บันทึกนำเข้าDrawing[[#This Row],[Drawing No]],1)</f>
        <v>5</v>
      </c>
      <c r="F25" s="79" t="s">
        <v>5563</v>
      </c>
      <c r="G25" s="118" t="s">
        <v>4027</v>
      </c>
      <c r="H25" s="74">
        <v>45050</v>
      </c>
      <c r="I25" s="29" t="str">
        <f>CONCATENATE(บันทึกนำเข้าDrawing[[#This Row],[Part No]],"+",บันทึกนำเข้าDrawing[[#This Row],[Drawing No]])</f>
        <v>2B25-043-02+DR-TW-2B25-034-02-05</v>
      </c>
    </row>
    <row r="26" spans="1:9">
      <c r="A26" s="33">
        <v>25</v>
      </c>
      <c r="B26" s="71">
        <v>42881</v>
      </c>
      <c r="C26" s="72" t="s">
        <v>5102</v>
      </c>
      <c r="D26" s="33" t="s">
        <v>1811</v>
      </c>
      <c r="E26" s="33" t="str">
        <f>RIGHT(บันทึกนำเข้าDrawing[[#This Row],[Drawing No]],1)</f>
        <v>0</v>
      </c>
      <c r="F26" s="73" t="s">
        <v>5103</v>
      </c>
      <c r="G26" s="118" t="s">
        <v>4027</v>
      </c>
      <c r="H26" s="74">
        <v>44905</v>
      </c>
      <c r="I26" s="29" t="str">
        <f>CONCATENATE(บันทึกนำเข้าDrawing[[#This Row],[Part No]],"+",บันทึกนำเข้าDrawing[[#This Row],[Drawing No]])</f>
        <v>2B30-024-02+DR-TW-2B30-024-02-00</v>
      </c>
    </row>
    <row r="27" spans="1:9">
      <c r="A27" s="33">
        <v>26</v>
      </c>
      <c r="B27" s="71">
        <v>42886</v>
      </c>
      <c r="C27" s="72" t="s">
        <v>3678</v>
      </c>
      <c r="D27" s="33" t="s">
        <v>5073</v>
      </c>
      <c r="E27" s="33" t="str">
        <f>RIGHT(บันทึกนำเข้าDrawing[[#This Row],[Drawing No]],1)</f>
        <v>0</v>
      </c>
      <c r="F27" s="73" t="s">
        <v>5074</v>
      </c>
      <c r="G27" s="118" t="s">
        <v>3779</v>
      </c>
      <c r="H27" s="74"/>
      <c r="I27" s="29" t="str">
        <f>CONCATENATE(บันทึกนำเข้าDrawing[[#This Row],[Part No]],"+",บันทึกนำเข้าDrawing[[#This Row],[Drawing No]])</f>
        <v>2B25-030-02+DR-TW-2B25-030-02-00</v>
      </c>
    </row>
    <row r="28" spans="1:9">
      <c r="A28" s="33">
        <v>27</v>
      </c>
      <c r="B28" s="71">
        <v>42889</v>
      </c>
      <c r="C28" s="72" t="s">
        <v>3577</v>
      </c>
      <c r="D28" s="33" t="s">
        <v>1781</v>
      </c>
      <c r="E28" s="33" t="str">
        <f>RIGHT(บันทึกนำเข้าDrawing[[#This Row],[Drawing No]],1)</f>
        <v>0</v>
      </c>
      <c r="F28" s="73" t="s">
        <v>5052</v>
      </c>
      <c r="G28" s="118" t="s">
        <v>4029</v>
      </c>
      <c r="H28" s="74">
        <v>43497</v>
      </c>
      <c r="I28" s="29" t="str">
        <f>CONCATENATE(บันทึกนำเข้าDrawing[[#This Row],[Part No]],"+",บันทึกนำเข้าDrawing[[#This Row],[Drawing No]])</f>
        <v>2B29-432-01+DR-TW-2B29-432-01-00</v>
      </c>
    </row>
    <row r="29" spans="1:9">
      <c r="A29" s="33">
        <v>28</v>
      </c>
      <c r="B29" s="71">
        <v>42904</v>
      </c>
      <c r="C29" s="72" t="s">
        <v>5628</v>
      </c>
      <c r="D29" s="33" t="s">
        <v>691</v>
      </c>
      <c r="E29" s="33" t="str">
        <f>RIGHT(บันทึกนำเข้าDrawing[[#This Row],[Drawing No]],1)</f>
        <v>0</v>
      </c>
      <c r="F29" s="73" t="s">
        <v>5127</v>
      </c>
      <c r="G29" s="118" t="s">
        <v>4027</v>
      </c>
      <c r="H29" s="74"/>
      <c r="I29" s="29" t="str">
        <f>CONCATENATE(บันทึกนำเข้าDrawing[[#This Row],[Part No]],"+",บันทึกนำเข้าDrawing[[#This Row],[Drawing No]])</f>
        <v>2B25-014-01+DR-TW-2B25-021-08-00</v>
      </c>
    </row>
    <row r="30" spans="1:9">
      <c r="A30" s="33">
        <v>29</v>
      </c>
      <c r="B30" s="71">
        <v>42907</v>
      </c>
      <c r="C30" s="72" t="s">
        <v>3737</v>
      </c>
      <c r="D30" s="33" t="s">
        <v>634</v>
      </c>
      <c r="E30" s="33" t="str">
        <f>RIGHT(บันทึกนำเข้าDrawing[[#This Row],[Drawing No]],1)</f>
        <v>1</v>
      </c>
      <c r="F30" s="73" t="s">
        <v>4968</v>
      </c>
      <c r="G30" s="118" t="s">
        <v>4029</v>
      </c>
      <c r="H30" s="74">
        <v>43547</v>
      </c>
      <c r="I30" s="29" t="str">
        <f>CONCATENATE(บันทึกนำเข้าDrawing[[#This Row],[Part No]],"+",บันทึกนำเข้าDrawing[[#This Row],[Drawing No]])</f>
        <v>2B24-230-01+DR-TW-2B24-230-01-01</v>
      </c>
    </row>
    <row r="31" spans="1:9">
      <c r="A31" s="33">
        <v>30</v>
      </c>
      <c r="B31" s="71">
        <v>42908</v>
      </c>
      <c r="C31" s="72" t="s">
        <v>3319</v>
      </c>
      <c r="D31" s="33" t="s">
        <v>1775</v>
      </c>
      <c r="E31" s="33" t="str">
        <f>RIGHT(บันทึกนำเข้าDrawing[[#This Row],[Drawing No]],1)</f>
        <v>0</v>
      </c>
      <c r="F31" s="73" t="s">
        <v>1776</v>
      </c>
      <c r="G31" s="118" t="s">
        <v>4029</v>
      </c>
      <c r="H31" s="74">
        <v>44091</v>
      </c>
      <c r="I31" s="29" t="str">
        <f>CONCATENATE(บันทึกนำเข้าDrawing[[#This Row],[Part No]],"+",บันทึกนำเข้าDrawing[[#This Row],[Drawing No]])</f>
        <v>2B29-427-01+DR-TW-2B29-427-01-00</v>
      </c>
    </row>
    <row r="32" spans="1:9">
      <c r="A32" s="33">
        <v>31</v>
      </c>
      <c r="B32" s="71">
        <v>42922</v>
      </c>
      <c r="C32" s="72" t="s">
        <v>3573</v>
      </c>
      <c r="D32" s="33" t="s">
        <v>1777</v>
      </c>
      <c r="E32" s="33" t="str">
        <f>RIGHT(บันทึกนำเข้าDrawing[[#This Row],[Drawing No]],1)</f>
        <v>1</v>
      </c>
      <c r="F32" s="73" t="s">
        <v>4967</v>
      </c>
      <c r="G32" s="118" t="s">
        <v>4029</v>
      </c>
      <c r="H32" s="74">
        <v>43491</v>
      </c>
      <c r="I32" s="29" t="str">
        <f>CONCATENATE(บันทึกนำเข้าDrawing[[#This Row],[Part No]],"+",บันทึกนำเข้าDrawing[[#This Row],[Drawing No]])</f>
        <v>2B29-428-03+DR-TW-2B29-428-03-01</v>
      </c>
    </row>
    <row r="33" spans="1:9">
      <c r="A33" s="33">
        <v>32</v>
      </c>
      <c r="B33" s="71">
        <v>43046</v>
      </c>
      <c r="C33" s="72" t="s">
        <v>5584</v>
      </c>
      <c r="D33" s="33" t="s">
        <v>675</v>
      </c>
      <c r="E33" s="33" t="str">
        <f>RIGHT(บันทึกนำเข้าDrawing[[#This Row],[Drawing No]],1)</f>
        <v>0</v>
      </c>
      <c r="F33" s="73" t="s">
        <v>5585</v>
      </c>
      <c r="G33" s="118" t="s">
        <v>4027</v>
      </c>
      <c r="H33" s="74">
        <v>45066</v>
      </c>
      <c r="I33" s="29" t="str">
        <f>CONCATENATE(บันทึกนำเข้าDrawing[[#This Row],[Part No]],"+",บันทึกนำเข้าDrawing[[#This Row],[Drawing No]])</f>
        <v>2B25-007-00+DR-TW-2B25-007-00-00</v>
      </c>
    </row>
    <row r="34" spans="1:9">
      <c r="A34" s="33">
        <v>33</v>
      </c>
      <c r="B34" s="71">
        <v>43110</v>
      </c>
      <c r="C34" s="72" t="s">
        <v>5639</v>
      </c>
      <c r="D34" s="33" t="s">
        <v>1345</v>
      </c>
      <c r="E34" s="33" t="str">
        <f>RIGHT(บันทึกนำเข้าDrawing[[#This Row],[Drawing No]],1)</f>
        <v>0</v>
      </c>
      <c r="F34" s="73" t="s">
        <v>5640</v>
      </c>
      <c r="G34" s="118" t="s">
        <v>4027</v>
      </c>
      <c r="H34" s="74">
        <v>45117</v>
      </c>
      <c r="I34" s="29" t="str">
        <f>CONCATENATE(บันทึกนำเข้าDrawing[[#This Row],[Part No]],"+",บันทึกนำเข้าDrawing[[#This Row],[Drawing No]])</f>
        <v>2B26-350-00+DR-TW-2B26-350-00-00</v>
      </c>
    </row>
    <row r="35" spans="1:9">
      <c r="A35" s="33">
        <v>34</v>
      </c>
      <c r="B35" s="71">
        <v>43127</v>
      </c>
      <c r="C35" s="72" t="s">
        <v>3309</v>
      </c>
      <c r="D35" s="33" t="s">
        <v>642</v>
      </c>
      <c r="E35" s="33" t="str">
        <f>RIGHT(บันทึกนำเข้าDrawing[[#This Row],[Drawing No]],1)</f>
        <v>0</v>
      </c>
      <c r="F35" s="73" t="s">
        <v>5427</v>
      </c>
      <c r="G35" s="118" t="s">
        <v>4029</v>
      </c>
      <c r="H35" s="74">
        <v>43132</v>
      </c>
      <c r="I35" s="29" t="str">
        <f>CONCATENATE(บันทึกนำเข้าDrawing[[#This Row],[Part No]],"+",บันทึกนำเข้าDrawing[[#This Row],[Drawing No]])</f>
        <v>2B24-251-00+DR-TW-2B24-251-00-00</v>
      </c>
    </row>
    <row r="36" spans="1:9">
      <c r="A36" s="33">
        <v>35</v>
      </c>
      <c r="B36" s="71">
        <v>43127</v>
      </c>
      <c r="C36" s="72" t="s">
        <v>3309</v>
      </c>
      <c r="D36" s="33" t="s">
        <v>643</v>
      </c>
      <c r="E36" s="33" t="str">
        <f>RIGHT(บันทึกนำเข้าDrawing[[#This Row],[Drawing No]],1)</f>
        <v>0</v>
      </c>
      <c r="F36" s="73" t="s">
        <v>5428</v>
      </c>
      <c r="G36" s="118" t="s">
        <v>4029</v>
      </c>
      <c r="H36" s="74">
        <v>43132</v>
      </c>
      <c r="I36" s="29" t="str">
        <f>CONCATENATE(บันทึกนำเข้าDrawing[[#This Row],[Part No]],"+",บันทึกนำเข้าDrawing[[#This Row],[Drawing No]])</f>
        <v>2B24-252-00+DR-TW-2B24-251-00-00</v>
      </c>
    </row>
    <row r="37" spans="1:9">
      <c r="A37" s="33">
        <v>36</v>
      </c>
      <c r="B37" s="71">
        <v>43144</v>
      </c>
      <c r="C37" s="72" t="s">
        <v>5456</v>
      </c>
      <c r="D37" s="33" t="s">
        <v>1167</v>
      </c>
      <c r="E37" s="33" t="str">
        <f>RIGHT(บันทึกนำเข้าDrawing[[#This Row],[Drawing No]],1)</f>
        <v>0</v>
      </c>
      <c r="F37" s="73" t="s">
        <v>2986</v>
      </c>
      <c r="G37" s="118" t="s">
        <v>4027</v>
      </c>
      <c r="H37" s="74">
        <v>45012</v>
      </c>
      <c r="I37" s="29" t="str">
        <f>CONCATENATE(บันทึกนำเข้าDrawing[[#This Row],[Part No]],"+",บันทึกนำเข้าDrawing[[#This Row],[Drawing No]])</f>
        <v>2B26-174-00+DR-TW-2B26-174-00-00</v>
      </c>
    </row>
    <row r="38" spans="1:9">
      <c r="A38" s="33">
        <v>37</v>
      </c>
      <c r="B38" s="71">
        <v>43168</v>
      </c>
      <c r="C38" s="72" t="s">
        <v>3642</v>
      </c>
      <c r="D38" s="33" t="s">
        <v>954</v>
      </c>
      <c r="E38" s="33" t="str">
        <f>RIGHT(บันทึกนำเข้าDrawing[[#This Row],[Drawing No]],1)</f>
        <v>0</v>
      </c>
      <c r="F38" s="10" t="s">
        <v>4864</v>
      </c>
      <c r="G38" s="118" t="s">
        <v>4027</v>
      </c>
      <c r="H38" s="74">
        <v>43433</v>
      </c>
      <c r="I38" s="29" t="str">
        <f>CONCATENATE(บันทึกนำเข้าDrawing[[#This Row],[Part No]],"+",บันทึกนำเข้าDrawing[[#This Row],[Drawing No]])</f>
        <v>2B25-226-01+DR-TW-2B25-226-01-00</v>
      </c>
    </row>
    <row r="39" spans="1:9">
      <c r="A39" s="33">
        <v>38</v>
      </c>
      <c r="B39" s="71">
        <v>43169</v>
      </c>
      <c r="C39" s="72" t="s">
        <v>3661</v>
      </c>
      <c r="D39" s="33" t="s">
        <v>899</v>
      </c>
      <c r="E39" s="33" t="str">
        <f>RIGHT(บันทึกนำเข้าDrawing[[#This Row],[Drawing No]],1)</f>
        <v>8</v>
      </c>
      <c r="F39" s="73" t="s">
        <v>4843</v>
      </c>
      <c r="G39" s="118" t="s">
        <v>4027</v>
      </c>
      <c r="H39" s="74">
        <v>43336</v>
      </c>
      <c r="I39" s="29" t="str">
        <f>CONCATENATE(บันทึกนำเข้าDrawing[[#This Row],[Part No]],"+",บันทึกนำเข้าDrawing[[#This Row],[Drawing No]])</f>
        <v>2B25-167-03+DR-TW-2B25-022-05-08</v>
      </c>
    </row>
    <row r="40" spans="1:9">
      <c r="A40" s="33">
        <v>39</v>
      </c>
      <c r="B40" s="71">
        <v>43169</v>
      </c>
      <c r="C40" s="72" t="s">
        <v>3661</v>
      </c>
      <c r="D40" s="33" t="s">
        <v>915</v>
      </c>
      <c r="E40" s="33" t="str">
        <f>RIGHT(บันทึกนำเข้าDrawing[[#This Row],[Drawing No]],1)</f>
        <v>8</v>
      </c>
      <c r="F40" s="73" t="s">
        <v>3025</v>
      </c>
      <c r="G40" s="118" t="s">
        <v>4027</v>
      </c>
      <c r="H40" s="74">
        <v>43171</v>
      </c>
      <c r="I40" s="29" t="str">
        <f>CONCATENATE(บันทึกนำเข้าDrawing[[#This Row],[Part No]],"+",บันทึกนำเข้าDrawing[[#This Row],[Drawing No]])</f>
        <v>2B25-179-03+DR-TW-2B25-022-05-08</v>
      </c>
    </row>
    <row r="41" spans="1:9">
      <c r="A41" s="33">
        <v>40</v>
      </c>
      <c r="B41" s="71">
        <v>43169</v>
      </c>
      <c r="C41" s="72" t="s">
        <v>3661</v>
      </c>
      <c r="D41" s="33" t="s">
        <v>4845</v>
      </c>
      <c r="E41" s="33" t="str">
        <f>RIGHT(บันทึกนำเข้าDrawing[[#This Row],[Drawing No]],1)</f>
        <v>8</v>
      </c>
      <c r="F41" s="73" t="s">
        <v>4844</v>
      </c>
      <c r="G41" s="118" t="s">
        <v>4027</v>
      </c>
      <c r="H41" s="74">
        <v>44767</v>
      </c>
      <c r="I41" s="29" t="str">
        <f>CONCATENATE(บันทึกนำเข้าDrawing[[#This Row],[Part No]],"+",บันทึกนำเข้าDrawing[[#This Row],[Drawing No]])</f>
        <v>2B91-144-02+DR-TW-2B25-022-05-08</v>
      </c>
    </row>
    <row r="42" spans="1:9">
      <c r="A42" s="33">
        <v>41</v>
      </c>
      <c r="B42" s="71">
        <v>43169</v>
      </c>
      <c r="C42" s="72" t="s">
        <v>3661</v>
      </c>
      <c r="D42" s="33" t="s">
        <v>2253</v>
      </c>
      <c r="E42" s="33" t="str">
        <f>RIGHT(บันทึกนำเข้าDrawing[[#This Row],[Drawing No]],1)</f>
        <v>8</v>
      </c>
      <c r="F42" s="10" t="s">
        <v>4850</v>
      </c>
      <c r="G42" s="118" t="s">
        <v>4027</v>
      </c>
      <c r="H42" s="74">
        <v>44776</v>
      </c>
      <c r="I42" s="29" t="str">
        <f>CONCATENATE(บันทึกนำเข้าDrawing[[#This Row],[Part No]],"+",บันทึกนำเข้าDrawing[[#This Row],[Drawing No]])</f>
        <v>2B91-032-02+DR-TW-2B25-022-05-08</v>
      </c>
    </row>
    <row r="43" spans="1:9">
      <c r="A43" s="33">
        <v>42</v>
      </c>
      <c r="B43" s="71">
        <v>43169</v>
      </c>
      <c r="C43" s="72" t="s">
        <v>3661</v>
      </c>
      <c r="D43" s="33" t="s">
        <v>2268</v>
      </c>
      <c r="E43" s="33" t="str">
        <f>RIGHT(บันทึกนำเข้าDrawing[[#This Row],[Drawing No]],1)</f>
        <v>8</v>
      </c>
      <c r="F43" s="10" t="s">
        <v>4869</v>
      </c>
      <c r="G43" s="118" t="s">
        <v>4027</v>
      </c>
      <c r="H43" s="74"/>
      <c r="I43" s="29" t="str">
        <f>CONCATENATE(บันทึกนำเข้าDrawing[[#This Row],[Part No]],"+",บันทึกนำเข้าDrawing[[#This Row],[Drawing No]])</f>
        <v>2B91-084-03+DR-TW-2B25-022-05-08</v>
      </c>
    </row>
    <row r="44" spans="1:9">
      <c r="A44" s="33">
        <v>43</v>
      </c>
      <c r="B44" s="71">
        <v>43169</v>
      </c>
      <c r="C44" s="72" t="s">
        <v>3661</v>
      </c>
      <c r="D44" s="33" t="s">
        <v>2260</v>
      </c>
      <c r="E44" s="33" t="str">
        <f>RIGHT(บันทึกนำเข้าDrawing[[#This Row],[Drawing No]],1)</f>
        <v>8</v>
      </c>
      <c r="F44" s="10" t="s">
        <v>4872</v>
      </c>
      <c r="G44" s="118" t="s">
        <v>4027</v>
      </c>
      <c r="H44" s="74"/>
      <c r="I44" s="29" t="str">
        <f>CONCATENATE(บันทึกนำเข้าDrawing[[#This Row],[Part No]],"+",บันทึกนำเข้าDrawing[[#This Row],[Drawing No]])</f>
        <v>2B91-068-04+DR-TW-2B25-022-05-08</v>
      </c>
    </row>
    <row r="45" spans="1:9">
      <c r="A45" s="33">
        <v>44</v>
      </c>
      <c r="B45" s="71">
        <v>43169</v>
      </c>
      <c r="C45" s="72" t="s">
        <v>3661</v>
      </c>
      <c r="D45" s="33" t="s">
        <v>2259</v>
      </c>
      <c r="E45" s="33" t="str">
        <f>RIGHT(บันทึกนำเข้าDrawing[[#This Row],[Drawing No]],1)</f>
        <v>8</v>
      </c>
      <c r="F45" s="73" t="s">
        <v>4933</v>
      </c>
      <c r="G45" s="118" t="s">
        <v>4027</v>
      </c>
      <c r="H45" s="74"/>
      <c r="I45" s="29" t="str">
        <f>CONCATENATE(บันทึกนำเข้าDrawing[[#This Row],[Part No]],"+",บันทึกนำเข้าDrawing[[#This Row],[Drawing No]])</f>
        <v>2B91-066-03+DR-TW-2B25-022-05-08</v>
      </c>
    </row>
    <row r="46" spans="1:9">
      <c r="A46" s="33">
        <v>45</v>
      </c>
      <c r="B46" s="71">
        <v>43169</v>
      </c>
      <c r="C46" s="72" t="s">
        <v>3661</v>
      </c>
      <c r="D46" s="33" t="s">
        <v>2249</v>
      </c>
      <c r="E46" s="33" t="str">
        <f>RIGHT(บันทึกนำเข้าDrawing[[#This Row],[Drawing No]],1)</f>
        <v>8</v>
      </c>
      <c r="F46" s="73" t="s">
        <v>5053</v>
      </c>
      <c r="G46" s="118" t="s">
        <v>4027</v>
      </c>
      <c r="H46" s="74">
        <v>45012</v>
      </c>
      <c r="I46" s="29" t="str">
        <f>CONCATENATE(บันทึกนำเข้าDrawing[[#This Row],[Part No]],"+",บันทึกนำเข้าDrawing[[#This Row],[Drawing No]])</f>
        <v>2B91-022-02+DR-TW-2B25-022-05-08</v>
      </c>
    </row>
    <row r="47" spans="1:9">
      <c r="A47" s="33">
        <v>46</v>
      </c>
      <c r="B47" s="71">
        <v>43169</v>
      </c>
      <c r="C47" s="72" t="s">
        <v>3661</v>
      </c>
      <c r="D47" s="33" t="s">
        <v>2279</v>
      </c>
      <c r="E47" s="33" t="str">
        <f>RIGHT(บันทึกนำเข้าDrawing[[#This Row],[Drawing No]],1)</f>
        <v>8</v>
      </c>
      <c r="F47" s="73" t="s">
        <v>2967</v>
      </c>
      <c r="G47" s="118" t="s">
        <v>4027</v>
      </c>
      <c r="H47" s="74"/>
      <c r="I47" s="29" t="str">
        <f>CONCATENATE(บันทึกนำเข้าDrawing[[#This Row],[Part No]],"+",บันทึกนำเข้าDrawing[[#This Row],[Drawing No]])</f>
        <v>2B91-141-02+DR-TW-2B25-022-05-08</v>
      </c>
    </row>
    <row r="48" spans="1:9">
      <c r="A48" s="33">
        <v>47</v>
      </c>
      <c r="B48" s="71">
        <v>43169</v>
      </c>
      <c r="C48" s="72" t="s">
        <v>3661</v>
      </c>
      <c r="D48" s="33" t="s">
        <v>2265</v>
      </c>
      <c r="E48" s="33" t="str">
        <f>RIGHT(บันทึกนำเข้าDrawing[[#This Row],[Drawing No]],1)</f>
        <v>8</v>
      </c>
      <c r="F48" s="73" t="s">
        <v>5451</v>
      </c>
      <c r="G48" s="118" t="s">
        <v>4027</v>
      </c>
      <c r="H48" s="74">
        <v>45012</v>
      </c>
      <c r="I48" s="29" t="str">
        <f>CONCATENATE(บันทึกนำเข้าDrawing[[#This Row],[Part No]],"+",บันทึกนำเข้าDrawing[[#This Row],[Drawing No]])</f>
        <v>2B91-080-02+DR-TW-2B25-022-05-08</v>
      </c>
    </row>
    <row r="49" spans="1:9">
      <c r="A49" s="33">
        <v>48</v>
      </c>
      <c r="B49" s="71">
        <v>43169</v>
      </c>
      <c r="C49" s="72" t="s">
        <v>3661</v>
      </c>
      <c r="D49" s="33" t="s">
        <v>2266</v>
      </c>
      <c r="E49" s="33" t="str">
        <f>RIGHT(บันทึกนำเข้าDrawing[[#This Row],[Drawing No]],1)</f>
        <v>8</v>
      </c>
      <c r="F49" s="73" t="s">
        <v>5453</v>
      </c>
      <c r="G49" s="118" t="s">
        <v>4027</v>
      </c>
      <c r="H49" s="74">
        <v>45012</v>
      </c>
      <c r="I49" s="29" t="str">
        <f>CONCATENATE(บันทึกนำเข้าDrawing[[#This Row],[Part No]],"+",บันทึกนำเข้าDrawing[[#This Row],[Drawing No]])</f>
        <v>2B91-081-02+DR-TW-2B25-022-05-08</v>
      </c>
    </row>
    <row r="50" spans="1:9">
      <c r="A50" s="33">
        <v>49</v>
      </c>
      <c r="B50" s="71">
        <v>43169</v>
      </c>
      <c r="C50" s="72" t="s">
        <v>3661</v>
      </c>
      <c r="D50" s="33" t="s">
        <v>2286</v>
      </c>
      <c r="E50" s="33" t="str">
        <f>RIGHT(บันทึกนำเข้าDrawing[[#This Row],[Drawing No]],1)</f>
        <v>8</v>
      </c>
      <c r="F50" s="73" t="s">
        <v>5670</v>
      </c>
      <c r="G50" s="118" t="s">
        <v>4027</v>
      </c>
      <c r="H50" s="74">
        <v>45159</v>
      </c>
      <c r="I50" s="29" t="str">
        <f>CONCATENATE(บันทึกนำเข้าDrawing[[#This Row],[Part No]],"+",บันทึกนำเข้าDrawing[[#This Row],[Drawing No]])</f>
        <v>2B91-189-02+DR-TW-2B25-022-05-08</v>
      </c>
    </row>
    <row r="51" spans="1:9">
      <c r="A51" s="33">
        <v>50</v>
      </c>
      <c r="B51" s="71">
        <v>43210</v>
      </c>
      <c r="C51" s="72" t="s">
        <v>4764</v>
      </c>
      <c r="D51" s="87" t="s">
        <v>1415</v>
      </c>
      <c r="E51" s="33" t="str">
        <f>RIGHT(บันทึกนำเข้าDrawing[[#This Row],[Drawing No]],1)</f>
        <v>1</v>
      </c>
      <c r="F51" s="73" t="s">
        <v>4763</v>
      </c>
      <c r="G51" s="118" t="s">
        <v>4027</v>
      </c>
      <c r="H51" s="74">
        <v>43223</v>
      </c>
      <c r="I51" s="29" t="str">
        <f>CONCATENATE(บันทึกนำเข้าDrawing[[#This Row],[Part No]],"+",บันทึกนำเข้าDrawing[[#This Row],[Drawing No]])</f>
        <v>2B27-162-00+DR-TW-2B27-162-00-01</v>
      </c>
    </row>
    <row r="52" spans="1:9">
      <c r="A52" s="33">
        <v>51</v>
      </c>
      <c r="B52" s="71">
        <v>43210</v>
      </c>
      <c r="C52" s="72" t="s">
        <v>3327</v>
      </c>
      <c r="D52" s="33" t="s">
        <v>1413</v>
      </c>
      <c r="E52" s="33" t="str">
        <f>RIGHT(บันทึกนำเข้าDrawing[[#This Row],[Drawing No]],1)</f>
        <v>1</v>
      </c>
      <c r="F52" s="73" t="s">
        <v>1414</v>
      </c>
      <c r="G52" s="118" t="s">
        <v>4027</v>
      </c>
      <c r="H52" s="74" t="s">
        <v>4766</v>
      </c>
      <c r="I52" s="29" t="str">
        <f>CONCATENATE(บันทึกนำเข้าDrawing[[#This Row],[Part No]],"+",บันทึกนำเข้าDrawing[[#This Row],[Drawing No]])</f>
        <v>2B27-161-00+DR-TW-2B27-161-00-01</v>
      </c>
    </row>
    <row r="53" spans="1:9">
      <c r="A53" s="33">
        <v>52</v>
      </c>
      <c r="B53" s="71">
        <v>43218</v>
      </c>
      <c r="C53" s="72" t="s">
        <v>5457</v>
      </c>
      <c r="D53" s="33" t="s">
        <v>821</v>
      </c>
      <c r="E53" s="33" t="str">
        <f>RIGHT(บันทึกนำเข้าDrawing[[#This Row],[Drawing No]],1)</f>
        <v>2</v>
      </c>
      <c r="F53" s="73" t="s">
        <v>5458</v>
      </c>
      <c r="G53" s="118" t="s">
        <v>4027</v>
      </c>
      <c r="H53" s="74">
        <v>43423</v>
      </c>
      <c r="I53" s="29" t="str">
        <f>CONCATENATE(บันทึกนำเข้าDrawing[[#This Row],[Part No]],"+",บันทึกนำเข้าDrawing[[#This Row],[Drawing No]])</f>
        <v>2B25-099-01+DR-TW-2B25-099-01-02</v>
      </c>
    </row>
    <row r="54" spans="1:9">
      <c r="A54" s="33">
        <v>53</v>
      </c>
      <c r="B54" s="71">
        <v>43253</v>
      </c>
      <c r="C54" s="72" t="s">
        <v>5429</v>
      </c>
      <c r="D54" s="33" t="s">
        <v>1157</v>
      </c>
      <c r="E54" s="33" t="str">
        <f>RIGHT(บันทึกนำเข้าDrawing[[#This Row],[Drawing No]],1)</f>
        <v>1</v>
      </c>
      <c r="F54" s="73" t="s">
        <v>5430</v>
      </c>
      <c r="G54" s="118" t="s">
        <v>4027</v>
      </c>
      <c r="H54" s="74">
        <v>44120</v>
      </c>
      <c r="I54" s="29" t="str">
        <f>CONCATENATE(บันทึกนำเข้าDrawing[[#This Row],[Part No]],"+",บันทึกนำเข้าDrawing[[#This Row],[Drawing No]])</f>
        <v>2B26-160-01+DR-TW-2B26-160-01-01</v>
      </c>
    </row>
    <row r="55" spans="1:9">
      <c r="A55" s="33">
        <v>54</v>
      </c>
      <c r="B55" s="71">
        <v>43259</v>
      </c>
      <c r="C55" s="72" t="s">
        <v>5628</v>
      </c>
      <c r="D55" s="33" t="s">
        <v>669</v>
      </c>
      <c r="E55" s="33" t="str">
        <f>RIGHT(บันทึกนำเข้าDrawing[[#This Row],[Drawing No]],1)</f>
        <v>0</v>
      </c>
      <c r="F55" s="73" t="s">
        <v>5629</v>
      </c>
      <c r="G55" s="118" t="s">
        <v>4027</v>
      </c>
      <c r="H55" s="74">
        <v>45103</v>
      </c>
      <c r="I55" s="29" t="str">
        <f>CONCATENATE(บันทึกนำเข้าDrawing[[#This Row],[Part No]],"+",บันทึกนำเข้าDrawing[[#This Row],[Drawing No]])</f>
        <v>2B25-004-04+DR-TW-2B25-021-08-00</v>
      </c>
    </row>
    <row r="56" spans="1:9">
      <c r="A56" s="33">
        <v>55</v>
      </c>
      <c r="B56" s="71">
        <v>43260</v>
      </c>
      <c r="C56" s="72" t="s">
        <v>3729</v>
      </c>
      <c r="D56" s="33" t="s">
        <v>1398</v>
      </c>
      <c r="E56" s="33" t="str">
        <f>RIGHT(บันทึกนำเข้าDrawing[[#This Row],[Drawing No]],1)</f>
        <v>0</v>
      </c>
      <c r="F56" s="73" t="s">
        <v>3191</v>
      </c>
      <c r="G56" s="118" t="s">
        <v>4029</v>
      </c>
      <c r="H56" s="74">
        <v>43501</v>
      </c>
      <c r="I56" s="29" t="str">
        <f>CONCATENATE(บันทึกนำเข้าDrawing[[#This Row],[Part No]],"+",บันทึกนำเข้าDrawing[[#This Row],[Drawing No]])</f>
        <v>2B27-127-01+DR-TW-2B27-127-01-00</v>
      </c>
    </row>
    <row r="57" spans="1:9">
      <c r="A57" s="33">
        <v>56</v>
      </c>
      <c r="B57" s="71">
        <v>43260</v>
      </c>
      <c r="C57" s="72" t="s">
        <v>5628</v>
      </c>
      <c r="D57" s="33" t="s">
        <v>696</v>
      </c>
      <c r="E57" s="33" t="str">
        <f>RIGHT(บันทึกนำเข้าDrawing[[#This Row],[Drawing No]],1)</f>
        <v>0</v>
      </c>
      <c r="F57" s="73" t="s">
        <v>5455</v>
      </c>
      <c r="G57" s="118" t="s">
        <v>4027</v>
      </c>
      <c r="H57" s="74">
        <v>45012</v>
      </c>
      <c r="I57" s="29" t="str">
        <f>CONCATENATE(บันทึกนำเข้าDrawing[[#This Row],[Part No]],"+",บันทึกนำเข้าDrawing[[#This Row],[Drawing No]])</f>
        <v>2B25-020-07+DR-TW-2B25-021-08-00</v>
      </c>
    </row>
    <row r="58" spans="1:9">
      <c r="A58" s="33">
        <v>57</v>
      </c>
      <c r="B58" s="71">
        <v>43265</v>
      </c>
      <c r="C58" s="72" t="s">
        <v>3657</v>
      </c>
      <c r="D58" s="33" t="s">
        <v>855</v>
      </c>
      <c r="E58" s="33" t="str">
        <f>RIGHT(บันทึกนำเข้าDrawing[[#This Row],[Drawing No]],1)</f>
        <v>0</v>
      </c>
      <c r="F58" s="73" t="s">
        <v>2441</v>
      </c>
      <c r="G58" s="118" t="s">
        <v>4027</v>
      </c>
      <c r="H58" s="74">
        <v>44587</v>
      </c>
      <c r="I58" s="29" t="str">
        <f>CONCATENATE(บันทึกนำเข้าDrawing[[#This Row],[Part No]],"+",บันทึกนำเข้าDrawing[[#This Row],[Drawing No]])</f>
        <v>2B25-134-00+DR-TW-2B25-134-00-00</v>
      </c>
    </row>
    <row r="59" spans="1:9">
      <c r="A59" s="33">
        <v>514</v>
      </c>
      <c r="B59" s="71">
        <v>44733</v>
      </c>
      <c r="C59" s="86" t="s">
        <v>3308</v>
      </c>
      <c r="D59" s="33" t="s">
        <v>657</v>
      </c>
      <c r="E59" s="33" t="str">
        <f>RIGHT(บันทึกนำเข้าDrawing[[#This Row],[Drawing No]],1)</f>
        <v>0</v>
      </c>
      <c r="F59" s="10" t="s">
        <v>3164</v>
      </c>
      <c r="G59" s="118" t="s">
        <v>4029</v>
      </c>
      <c r="H59" s="74">
        <v>43409</v>
      </c>
      <c r="I59" s="29" t="str">
        <f>CONCATENATE(บันทึกนำเข้าDrawing[[#This Row],[Part No]],"+",บันทึกนำเข้าDrawing[[#This Row],[Drawing No]])</f>
        <v>2B24D075-00+DR-TW-2B24D085-00-00</v>
      </c>
    </row>
    <row r="60" spans="1:9">
      <c r="A60" s="33">
        <v>58</v>
      </c>
      <c r="B60" s="71">
        <v>43409</v>
      </c>
      <c r="C60" s="72" t="s">
        <v>3308</v>
      </c>
      <c r="D60" s="33" t="s">
        <v>658</v>
      </c>
      <c r="E60" s="33" t="str">
        <f>RIGHT(บันทึกนำเข้าDrawing[[#This Row],[Drawing No]],1)</f>
        <v>0</v>
      </c>
      <c r="F60" s="73" t="s">
        <v>3165</v>
      </c>
      <c r="G60" s="118" t="s">
        <v>4029</v>
      </c>
      <c r="H60" s="74">
        <v>44469</v>
      </c>
      <c r="I60" s="29" t="str">
        <f>CONCATENATE(บันทึกนำเข้าDrawing[[#This Row],[Part No]],"+",บันทึกนำเข้าDrawing[[#This Row],[Drawing No]])</f>
        <v>2B24D085-00+DR-TW-2B24D085-00-00</v>
      </c>
    </row>
    <row r="61" spans="1:9">
      <c r="A61" s="33">
        <v>59</v>
      </c>
      <c r="B61" s="71">
        <v>43409</v>
      </c>
      <c r="C61" s="72" t="s">
        <v>3308</v>
      </c>
      <c r="D61" s="33" t="s">
        <v>659</v>
      </c>
      <c r="E61" s="33" t="str">
        <f>RIGHT(บันทึกนำเข้าDrawing[[#This Row],[Drawing No]],1)</f>
        <v>0</v>
      </c>
      <c r="F61" s="73" t="s">
        <v>4765</v>
      </c>
      <c r="G61" s="118" t="s">
        <v>4029</v>
      </c>
      <c r="H61" s="74">
        <v>44469</v>
      </c>
      <c r="I61" s="29" t="str">
        <f>CONCATENATE(บันทึกนำเข้าDrawing[[#This Row],[Part No]],"+",บันทึกนำเข้าDrawing[[#This Row],[Drawing No]])</f>
        <v>2B24D100-00+DR-TW-2B24D085-00-00</v>
      </c>
    </row>
    <row r="62" spans="1:9">
      <c r="A62" s="33">
        <v>61</v>
      </c>
      <c r="B62" s="71">
        <v>43471</v>
      </c>
      <c r="C62" s="72" t="s">
        <v>3752</v>
      </c>
      <c r="D62" s="33" t="s">
        <v>624</v>
      </c>
      <c r="E62" s="33" t="str">
        <f>RIGHT(บันทึกนำเข้าDrawing[[#This Row],[Drawing No]],1)</f>
        <v>1</v>
      </c>
      <c r="F62" s="73" t="s">
        <v>5436</v>
      </c>
      <c r="G62" s="118" t="s">
        <v>4027</v>
      </c>
      <c r="H62" s="74">
        <v>43600</v>
      </c>
      <c r="I62" s="29" t="str">
        <f>CONCATENATE(บันทึกนำเข้าDrawing[[#This Row],[Part No]],"+",บันทึกนำเข้าDrawing[[#This Row],[Drawing No]])</f>
        <v>2B24-220-03-R+DR-TW-2B24-220-03-R-01</v>
      </c>
    </row>
    <row r="63" spans="1:9">
      <c r="A63" s="33">
        <v>62</v>
      </c>
      <c r="B63" s="71">
        <v>43500</v>
      </c>
      <c r="C63" s="72" t="s">
        <v>3747</v>
      </c>
      <c r="D63" s="33" t="s">
        <v>1412</v>
      </c>
      <c r="E63" s="33" t="str">
        <f>RIGHT(บันทึกนำเข้าDrawing[[#This Row],[Drawing No]],1)</f>
        <v>0</v>
      </c>
      <c r="F63" s="73" t="s">
        <v>5151</v>
      </c>
      <c r="G63" s="118" t="s">
        <v>4027</v>
      </c>
      <c r="H63" s="74">
        <v>44964</v>
      </c>
      <c r="I63" s="29" t="str">
        <f>CONCATENATE(บันทึกนำเข้าDrawing[[#This Row],[Part No]],"+",บันทึกนำเข้าDrawing[[#This Row],[Drawing No]])</f>
        <v>2B27-152-00+DR-TW-2B27-152-00-00</v>
      </c>
    </row>
    <row r="64" spans="1:9">
      <c r="B64" s="71">
        <v>42948</v>
      </c>
      <c r="C64" s="72" t="s">
        <v>6024</v>
      </c>
      <c r="D64" s="33" t="s">
        <v>1427</v>
      </c>
      <c r="E64" s="33" t="str">
        <f>RIGHT(บันทึกนำเข้าDrawing[[#This Row],[Drawing No]],1)</f>
        <v>2</v>
      </c>
      <c r="F64" s="73" t="s">
        <v>2848</v>
      </c>
      <c r="G64" s="118" t="s">
        <v>4027</v>
      </c>
      <c r="H64" s="74">
        <v>45320</v>
      </c>
      <c r="I64" s="29" t="str">
        <f>CONCATENATE(บันทึกนำเข้าDrawing[[#This Row],[Part No]],"+",บันทึกนำเข้าDrawing[[#This Row],[Drawing No]])</f>
        <v>2B27-301-00+DR-TW-2B27-301-00-02</v>
      </c>
    </row>
    <row r="65" spans="1:9">
      <c r="A65" s="33">
        <v>64</v>
      </c>
      <c r="B65" s="71">
        <v>43550</v>
      </c>
      <c r="C65" s="72" t="s">
        <v>3337</v>
      </c>
      <c r="D65" s="33" t="s">
        <v>993</v>
      </c>
      <c r="E65" s="33" t="str">
        <f>RIGHT(บันทึกนำเข้าDrawing[[#This Row],[Drawing No]],1)</f>
        <v>0</v>
      </c>
      <c r="F65" s="73" t="s">
        <v>2508</v>
      </c>
      <c r="G65" s="118" t="s">
        <v>4029</v>
      </c>
      <c r="H65" s="74">
        <v>43427</v>
      </c>
      <c r="I65" s="29" t="str">
        <f>CONCATENATE(บันทึกนำเข้าDrawing[[#This Row],[Part No]],"+",บันทึกนำเข้าDrawing[[#This Row],[Drawing No]])</f>
        <v>2B25-284-00+DR-TW-2B25-284-00-00</v>
      </c>
    </row>
    <row r="66" spans="1:9">
      <c r="A66" s="33">
        <v>65</v>
      </c>
      <c r="B66" s="71">
        <v>43617</v>
      </c>
      <c r="C66" s="72" t="s">
        <v>3588</v>
      </c>
      <c r="D66" s="33" t="s">
        <v>558</v>
      </c>
      <c r="E66" s="33" t="str">
        <f>RIGHT(บันทึกนำเข้าDrawing[[#This Row],[Drawing No]],1)</f>
        <v>1</v>
      </c>
      <c r="F66" s="73" t="s">
        <v>4932</v>
      </c>
      <c r="G66" s="118" t="s">
        <v>4029</v>
      </c>
      <c r="H66" s="74">
        <v>43519</v>
      </c>
      <c r="I66" s="29" t="str">
        <f>CONCATENATE(บันทึกนำเข้าDrawing[[#This Row],[Part No]],"+",บันทึกนำเข้าDrawing[[#This Row],[Drawing No]])</f>
        <v>2B24-075B02-R+DR-TW-2B24-060-01-R-01</v>
      </c>
    </row>
    <row r="67" spans="1:9">
      <c r="A67" s="33">
        <v>66</v>
      </c>
      <c r="B67" s="71">
        <v>43755</v>
      </c>
      <c r="C67" s="72" t="s">
        <v>3304</v>
      </c>
      <c r="D67" s="33" t="s">
        <v>1015</v>
      </c>
      <c r="E67" s="33" t="str">
        <f>RIGHT(บันทึกนำเข้าDrawing[[#This Row],[Drawing No]],1)</f>
        <v>0</v>
      </c>
      <c r="F67" s="73" t="s">
        <v>2515</v>
      </c>
      <c r="G67" s="118" t="s">
        <v>4027</v>
      </c>
      <c r="H67" s="74">
        <v>43759</v>
      </c>
      <c r="I67" s="29" t="str">
        <f>CONCATENATE(บันทึกนำเข้าDrawing[[#This Row],[Part No]],"+",บันทึกนำเข้าDrawing[[#This Row],[Drawing No]])</f>
        <v>2B26-002-0A+DR-TW-2B26-002-0A-00</v>
      </c>
    </row>
    <row r="68" spans="1:9">
      <c r="A68" s="33">
        <v>67</v>
      </c>
      <c r="B68" s="71">
        <v>43760</v>
      </c>
      <c r="C68" s="72" t="s">
        <v>3646</v>
      </c>
      <c r="D68" s="33" t="s">
        <v>987</v>
      </c>
      <c r="E68" s="33" t="str">
        <f>RIGHT(บันทึกนำเข้าDrawing[[#This Row],[Drawing No]],1)</f>
        <v>0</v>
      </c>
      <c r="F68" s="73" t="s">
        <v>2504</v>
      </c>
      <c r="G68" s="118" t="s">
        <v>4029</v>
      </c>
      <c r="H68" s="74">
        <v>43813</v>
      </c>
      <c r="I68" s="29" t="str">
        <f>CONCATENATE(บันทึกนำเข้าDrawing[[#This Row],[Part No]],"+",บันทึกนำเข้าDrawing[[#This Row],[Drawing No]])</f>
        <v>2B25-265-00+DR-TW-2B25-265-00-00</v>
      </c>
    </row>
    <row r="69" spans="1:9">
      <c r="A69" s="33">
        <v>68</v>
      </c>
      <c r="B69" s="71">
        <v>43785</v>
      </c>
      <c r="C69" s="86" t="s">
        <v>3644</v>
      </c>
      <c r="D69" s="33" t="s">
        <v>980</v>
      </c>
      <c r="E69" s="33" t="str">
        <f>RIGHT(บันทึกนำเข้าDrawing[[#This Row],[Drawing No]],1)</f>
        <v>0</v>
      </c>
      <c r="F69" s="73" t="s">
        <v>4820</v>
      </c>
      <c r="G69" s="118" t="s">
        <v>4027</v>
      </c>
      <c r="H69" s="74">
        <v>44050</v>
      </c>
      <c r="I69" s="29" t="str">
        <f>CONCATENATE(บันทึกนำเข้าDrawing[[#This Row],[Part No]],"+",บันทึกนำเข้าDrawing[[#This Row],[Drawing No]])</f>
        <v>2B25-261-02+DR-TW-2B25-261-02-00</v>
      </c>
    </row>
    <row r="70" spans="1:9">
      <c r="A70" s="33">
        <v>69</v>
      </c>
      <c r="B70" s="71">
        <v>43792</v>
      </c>
      <c r="C70" s="72" t="s">
        <v>4767</v>
      </c>
      <c r="D70" s="33" t="s">
        <v>1749</v>
      </c>
      <c r="E70" s="33" t="str">
        <f>RIGHT(บันทึกนำเข้าDrawing[[#This Row],[Drawing No]],1)</f>
        <v>1</v>
      </c>
      <c r="F70" s="73" t="s">
        <v>2680</v>
      </c>
      <c r="G70" s="118" t="s">
        <v>4027</v>
      </c>
      <c r="H70" s="74">
        <v>45066</v>
      </c>
      <c r="I70" s="29" t="str">
        <f>CONCATENATE(บันทึกนำเข้าDrawing[[#This Row],[Part No]],"+",บันทึกนำเข้าDrawing[[#This Row],[Drawing No]])</f>
        <v>2B29-270-01+DR-TW-2B29-270-01-01</v>
      </c>
    </row>
    <row r="71" spans="1:9">
      <c r="A71" s="33">
        <v>70</v>
      </c>
      <c r="B71" s="99">
        <v>43801</v>
      </c>
      <c r="C71" s="82" t="s">
        <v>3329</v>
      </c>
      <c r="D71" s="33" t="s">
        <v>986</v>
      </c>
      <c r="E71" s="33" t="str">
        <f>RIGHT(บันทึกนำเข้าDrawing[[#This Row],[Drawing No]],1)</f>
        <v>0</v>
      </c>
      <c r="F71" s="79" t="s">
        <v>2503</v>
      </c>
      <c r="G71" s="118" t="s">
        <v>4029</v>
      </c>
      <c r="H71" s="77">
        <v>43802</v>
      </c>
      <c r="I71" s="29" t="str">
        <f>CONCATENATE(บันทึกนำเข้าDrawing[[#This Row],[Part No]],"+",บันทึกนำเข้าDrawing[[#This Row],[Drawing No]])</f>
        <v>2B25-264-00+DR-TW-2B25-264-00-00</v>
      </c>
    </row>
    <row r="72" spans="1:9">
      <c r="A72" s="33">
        <v>71</v>
      </c>
      <c r="B72" s="71">
        <v>43801</v>
      </c>
      <c r="C72" s="72" t="s">
        <v>3640</v>
      </c>
      <c r="D72" s="33" t="s">
        <v>687</v>
      </c>
      <c r="E72" s="33" t="str">
        <f>RIGHT(บันทึกนำเข้าDrawing[[#This Row],[Drawing No]],1)</f>
        <v>1</v>
      </c>
      <c r="F72" s="73" t="s">
        <v>4926</v>
      </c>
      <c r="G72" s="118" t="s">
        <v>4029</v>
      </c>
      <c r="H72" s="74">
        <v>43804</v>
      </c>
      <c r="I72" s="29" t="str">
        <f>CONCATENATE(บันทึกนำเข้าDrawing[[#This Row],[Part No]],"+",บันทึกนำเข้าDrawing[[#This Row],[Drawing No]])</f>
        <v>2B25-012-05+DR-TW-2B25-012-05-01</v>
      </c>
    </row>
    <row r="73" spans="1:9">
      <c r="A73" s="33">
        <v>72</v>
      </c>
      <c r="B73" s="71">
        <v>43808</v>
      </c>
      <c r="C73" s="72" t="s">
        <v>4925</v>
      </c>
      <c r="D73" s="33" t="s">
        <v>1190</v>
      </c>
      <c r="E73" s="33" t="str">
        <f>RIGHT(บันทึกนำเข้าDrawing[[#This Row],[Drawing No]],1)</f>
        <v>0</v>
      </c>
      <c r="F73" s="73" t="s">
        <v>2573</v>
      </c>
      <c r="G73" s="118" t="s">
        <v>4027</v>
      </c>
      <c r="H73" s="74">
        <v>43809</v>
      </c>
      <c r="I73" s="29" t="str">
        <f>CONCATENATE(บันทึกนำเข้าDrawing[[#This Row],[Part No]],"+",บันทึกนำเข้าDrawing[[#This Row],[Drawing No]])</f>
        <v>2B26-208-02+DR-TW-2B26-208-02-00</v>
      </c>
    </row>
    <row r="74" spans="1:9">
      <c r="A74" s="33">
        <v>73</v>
      </c>
      <c r="B74" s="71">
        <v>43818</v>
      </c>
      <c r="C74" s="72" t="s">
        <v>3335</v>
      </c>
      <c r="D74" s="33" t="s">
        <v>1203</v>
      </c>
      <c r="E74" s="33" t="str">
        <f>RIGHT(บันทึกนำเข้าDrawing[[#This Row],[Drawing No]],1)</f>
        <v>2</v>
      </c>
      <c r="F74" s="73" t="s">
        <v>4840</v>
      </c>
      <c r="G74" s="118" t="s">
        <v>4029</v>
      </c>
      <c r="H74" s="74">
        <v>43817</v>
      </c>
      <c r="I74" s="29" t="str">
        <f>CONCATENATE(บันทึกนำเข้าDrawing[[#This Row],[Part No]],"+",บันทึกนำเข้าDrawing[[#This Row],[Drawing No]])</f>
        <v>2B26-218-03+DR-TW-2B26-218-03-02</v>
      </c>
    </row>
    <row r="75" spans="1:9">
      <c r="A75" s="33">
        <v>74</v>
      </c>
      <c r="B75" s="71">
        <v>43832</v>
      </c>
      <c r="C75" s="72" t="s">
        <v>5470</v>
      </c>
      <c r="D75" s="33" t="s">
        <v>930</v>
      </c>
      <c r="E75" s="33" t="str">
        <f>RIGHT(บันทึกนำเข้าDrawing[[#This Row],[Drawing No]],1)</f>
        <v>0</v>
      </c>
      <c r="F75" s="73" t="s">
        <v>5542</v>
      </c>
      <c r="G75" s="118" t="s">
        <v>4027</v>
      </c>
      <c r="H75" s="74">
        <v>45040</v>
      </c>
      <c r="I75" s="29" t="str">
        <f>CONCATENATE(บันทึกนำเข้าDrawing[[#This Row],[Part No]],"+",บันทึกนำเข้าDrawing[[#This Row],[Drawing No]])</f>
        <v>2B25-198-00+DR-TW-2B25-198-00-00</v>
      </c>
    </row>
    <row r="76" spans="1:9">
      <c r="A76" s="33">
        <v>75</v>
      </c>
      <c r="B76" s="71">
        <v>43834</v>
      </c>
      <c r="C76" s="86" t="s">
        <v>3311</v>
      </c>
      <c r="D76" s="33" t="s">
        <v>20</v>
      </c>
      <c r="E76" s="33" t="str">
        <f>RIGHT(บันทึกนำเข้าDrawing[[#This Row],[Drawing No]],1)</f>
        <v>0</v>
      </c>
      <c r="F76" s="73" t="s">
        <v>3134</v>
      </c>
      <c r="G76" s="118" t="s">
        <v>4029</v>
      </c>
      <c r="H76" s="74">
        <v>44059</v>
      </c>
      <c r="I76" s="29" t="str">
        <f>CONCATENATE(บันทึกนำเข้าDrawing[[#This Row],[Part No]],"+",บันทึกนำเข้าDrawing[[#This Row],[Drawing No]])</f>
        <v>2B26-062-04+DR-TW-2B26-062-04-00</v>
      </c>
    </row>
    <row r="77" spans="1:9">
      <c r="A77" s="33">
        <v>76</v>
      </c>
      <c r="B77" s="71">
        <v>43844</v>
      </c>
      <c r="C77" s="86" t="s">
        <v>4811</v>
      </c>
      <c r="D77" s="33" t="s">
        <v>1069</v>
      </c>
      <c r="E77" s="33" t="str">
        <f>RIGHT(บันทึกนำเข้าDrawing[[#This Row],[Drawing No]],1)</f>
        <v>0</v>
      </c>
      <c r="F77" s="73" t="s">
        <v>3136</v>
      </c>
      <c r="G77" s="118" t="s">
        <v>4029</v>
      </c>
      <c r="H77" s="74">
        <v>44321</v>
      </c>
      <c r="I77" s="29" t="str">
        <f>CONCATENATE(บันทึกนำเข้าDrawing[[#This Row],[Part No]],"+",บันทึกนำเข้าDrawing[[#This Row],[Drawing No]])</f>
        <v>2B26-063-04+DR-TW-2B26-063-04-00</v>
      </c>
    </row>
    <row r="78" spans="1:9">
      <c r="A78" s="33">
        <v>77</v>
      </c>
      <c r="B78" s="71">
        <v>43871</v>
      </c>
      <c r="C78" s="72" t="s">
        <v>5213</v>
      </c>
      <c r="D78" s="33" t="s">
        <v>3770</v>
      </c>
      <c r="E78" s="33" t="str">
        <f>RIGHT(บันทึกนำเข้าDrawing[[#This Row],[Drawing No]],1)</f>
        <v>1</v>
      </c>
      <c r="F78" s="73" t="s">
        <v>3771</v>
      </c>
      <c r="G78" s="118" t="s">
        <v>4027</v>
      </c>
      <c r="H78" s="74">
        <v>44982</v>
      </c>
      <c r="I78" s="29" t="str">
        <f>CONCATENATE(บันทึกนำเข้าDrawing[[#This Row],[Part No]],"+",บันทึกนำเข้าDrawing[[#This Row],[Drawing No]])</f>
        <v>2B27-081-00+DR-TW-2B27-081-00-01</v>
      </c>
    </row>
    <row r="79" spans="1:9">
      <c r="A79" s="33">
        <v>78</v>
      </c>
      <c r="B79" s="74">
        <v>43872</v>
      </c>
      <c r="C79" s="75" t="s">
        <v>4031</v>
      </c>
      <c r="D79" s="33" t="s">
        <v>4109</v>
      </c>
      <c r="E79" s="33" t="str">
        <f>RIGHT(บันทึกนำเข้าDrawing[[#This Row],[Drawing No]],1)</f>
        <v>0</v>
      </c>
      <c r="F79" s="73" t="s">
        <v>3773</v>
      </c>
      <c r="G79" s="118" t="s">
        <v>3772</v>
      </c>
      <c r="H79" s="74"/>
      <c r="I79" s="29" t="str">
        <f>CONCATENATE(บันทึกนำเข้าDrawing[[#This Row],[Part No]],"+",บันทึกนำเข้าDrawing[[#This Row],[Drawing No]])</f>
        <v>2B25-354-00+DR-TW-2B25-354-00-00</v>
      </c>
    </row>
    <row r="80" spans="1:9">
      <c r="A80" s="33">
        <v>79</v>
      </c>
      <c r="B80" s="74">
        <v>43873</v>
      </c>
      <c r="C80" s="75" t="s">
        <v>4032</v>
      </c>
      <c r="D80" s="33" t="s">
        <v>4110</v>
      </c>
      <c r="E80" s="33" t="str">
        <f>RIGHT(บันทึกนำเข้าDrawing[[#This Row],[Drawing No]],1)</f>
        <v>0</v>
      </c>
      <c r="F80" s="76" t="s">
        <v>3774</v>
      </c>
      <c r="G80" s="119" t="s">
        <v>4027</v>
      </c>
      <c r="H80" s="74">
        <v>44245</v>
      </c>
      <c r="I80" s="29" t="str">
        <f>CONCATENATE(บันทึกนำเข้าDrawing[[#This Row],[Part No]],"+",บันทึกนำเข้าDrawing[[#This Row],[Drawing No]])</f>
        <v>2B98M696-02+DR-TW-2B98M696-02-00</v>
      </c>
    </row>
    <row r="81" spans="1:9">
      <c r="A81" s="33">
        <v>80</v>
      </c>
      <c r="B81" s="71">
        <v>43875</v>
      </c>
      <c r="C81" s="72" t="s">
        <v>3664</v>
      </c>
      <c r="D81" s="33" t="s">
        <v>2263</v>
      </c>
      <c r="E81" s="33" t="str">
        <f>RIGHT(บันทึกนำเข้าDrawing[[#This Row],[Drawing No]],1)</f>
        <v>0</v>
      </c>
      <c r="F81" s="73" t="s">
        <v>5589</v>
      </c>
      <c r="G81" s="118" t="s">
        <v>4027</v>
      </c>
      <c r="H81" s="74">
        <v>45077</v>
      </c>
      <c r="I81" s="29" t="str">
        <f>CONCATENATE(บันทึกนำเข้าDrawing[[#This Row],[Part No]],"+",บันทึกนำเข้าDrawing[[#This Row],[Drawing No]])</f>
        <v>2B91-076-00-R+DR-TW-2B91-076-00-R-00</v>
      </c>
    </row>
    <row r="82" spans="1:9">
      <c r="A82" s="33">
        <v>81</v>
      </c>
      <c r="B82" s="74">
        <v>43876</v>
      </c>
      <c r="C82" s="75" t="s">
        <v>4033</v>
      </c>
      <c r="D82" s="33" t="s">
        <v>4111</v>
      </c>
      <c r="E82" s="33" t="str">
        <f>RIGHT(บันทึกนำเข้าDrawing[[#This Row],[Drawing No]],1)</f>
        <v>0</v>
      </c>
      <c r="F82" s="76" t="s">
        <v>4000</v>
      </c>
      <c r="G82" s="118" t="s">
        <v>4029</v>
      </c>
      <c r="H82" s="74"/>
      <c r="I82" s="29" t="str">
        <f>CONCATENATE(บันทึกนำเข้าDrawing[[#This Row],[Part No]],"+",บันทึกนำเข้าDrawing[[#This Row],[Drawing No]])</f>
        <v>2B48-508-00+DR-TW-2B48-508-00-00</v>
      </c>
    </row>
    <row r="83" spans="1:9">
      <c r="A83" s="33">
        <v>82</v>
      </c>
      <c r="B83" s="74">
        <v>43882</v>
      </c>
      <c r="C83" s="75" t="s">
        <v>4034</v>
      </c>
      <c r="D83" s="33" t="s">
        <v>4112</v>
      </c>
      <c r="E83" s="33" t="str">
        <f>RIGHT(บันทึกนำเข้าDrawing[[#This Row],[Drawing No]],1)</f>
        <v>0</v>
      </c>
      <c r="F83" s="76" t="s">
        <v>3776</v>
      </c>
      <c r="G83" s="118" t="s">
        <v>4029</v>
      </c>
      <c r="H83" s="74"/>
      <c r="I83" s="29" t="str">
        <f>CONCATENATE(บันทึกนำเข้าDrawing[[#This Row],[Part No]],"+",บันทึกนำเข้าDrawing[[#This Row],[Drawing No]])</f>
        <v>2B53-400-00+DR-TW-2B53-400-00-00</v>
      </c>
    </row>
    <row r="84" spans="1:9">
      <c r="A84" s="33">
        <v>83</v>
      </c>
      <c r="B84" s="74">
        <v>43885</v>
      </c>
      <c r="C84" s="75" t="s">
        <v>4035</v>
      </c>
      <c r="D84" s="1" t="s">
        <v>4113</v>
      </c>
      <c r="E84" s="33" t="str">
        <f>RIGHT(บันทึกนำเข้าDrawing[[#This Row],[Drawing No]],1)</f>
        <v>0</v>
      </c>
      <c r="F84" s="76" t="s">
        <v>3777</v>
      </c>
      <c r="G84" s="118" t="s">
        <v>3772</v>
      </c>
      <c r="H84" s="74"/>
      <c r="I84" s="29" t="str">
        <f>CONCATENATE(บันทึกนำเข้าDrawing[[#This Row],[Part No]],"+",บันทึกนำเข้าDrawing[[#This Row],[Drawing No]])</f>
        <v>2B25-230-00-R+DR-TW-2B25-230-00-R-00</v>
      </c>
    </row>
    <row r="85" spans="1:9">
      <c r="A85" s="33">
        <v>84</v>
      </c>
      <c r="B85" s="74">
        <v>43888</v>
      </c>
      <c r="C85" s="75" t="s">
        <v>3322</v>
      </c>
      <c r="D85" s="33" t="s">
        <v>2151</v>
      </c>
      <c r="E85" s="33" t="str">
        <f>RIGHT(บันทึกนำเข้าDrawing[[#This Row],[Drawing No]],1)</f>
        <v>0</v>
      </c>
      <c r="F85" s="76" t="s">
        <v>4008</v>
      </c>
      <c r="G85" s="118" t="s">
        <v>4029</v>
      </c>
      <c r="H85" s="74"/>
      <c r="I85" s="29" t="str">
        <f>CONCATENATE(บันทึกนำเข้าDrawing[[#This Row],[Part No]],"+",บันทึกนำเข้าDrawing[[#This Row],[Drawing No]])</f>
        <v>2B51-215-01+DR-TW-2B51-215-01-00</v>
      </c>
    </row>
    <row r="86" spans="1:9">
      <c r="A86" s="33">
        <v>85</v>
      </c>
      <c r="B86" s="74">
        <v>43888</v>
      </c>
      <c r="C86" s="75" t="s">
        <v>3748</v>
      </c>
      <c r="D86" s="33" t="s">
        <v>4114</v>
      </c>
      <c r="E86" s="33" t="str">
        <f>RIGHT(บันทึกนำเข้าDrawing[[#This Row],[Drawing No]],1)</f>
        <v>0</v>
      </c>
      <c r="F86" s="76" t="s">
        <v>3778</v>
      </c>
      <c r="G86" s="118" t="s">
        <v>4029</v>
      </c>
      <c r="H86" s="74"/>
      <c r="I86" s="29" t="str">
        <f>CONCATENATE(บันทึกนำเข้าDrawing[[#This Row],[Part No]],"+",บันทึกนำเข้าDrawing[[#This Row],[Drawing No]])</f>
        <v>2B52-253-04+DR-TW-2B52-253-04-00</v>
      </c>
    </row>
    <row r="87" spans="1:9">
      <c r="A87" s="33">
        <v>86</v>
      </c>
      <c r="B87" s="74">
        <v>43888</v>
      </c>
      <c r="C87" s="75" t="s">
        <v>4036</v>
      </c>
      <c r="D87" s="33" t="s">
        <v>2160</v>
      </c>
      <c r="E87" s="33" t="str">
        <f>RIGHT(บันทึกนำเข้าDrawing[[#This Row],[Drawing No]],1)</f>
        <v>0</v>
      </c>
      <c r="F87" s="76" t="s">
        <v>3776</v>
      </c>
      <c r="G87" s="118" t="s">
        <v>4029</v>
      </c>
      <c r="H87" s="74"/>
      <c r="I87" s="29" t="str">
        <f>CONCATENATE(บันทึกนำเข้าDrawing[[#This Row],[Part No]],"+",บันทึกนำเข้าDrawing[[#This Row],[Drawing No]])</f>
        <v>2B53-400-01+DR-TW-2B53-400-01-00</v>
      </c>
    </row>
    <row r="88" spans="1:9">
      <c r="A88" s="33">
        <v>87</v>
      </c>
      <c r="B88" s="71">
        <v>43888</v>
      </c>
      <c r="C88" s="72" t="s">
        <v>3748</v>
      </c>
      <c r="D88" s="33" t="s">
        <v>2159</v>
      </c>
      <c r="E88" s="33" t="str">
        <f>RIGHT(บันทึกนำเข้าDrawing[[#This Row],[Drawing No]],1)</f>
        <v>0</v>
      </c>
      <c r="F88" s="73" t="s">
        <v>3270</v>
      </c>
      <c r="G88" s="118" t="s">
        <v>4029</v>
      </c>
      <c r="H88" s="74">
        <v>45013</v>
      </c>
      <c r="I88" s="29" t="str">
        <f>CONCATENATE(บันทึกนำเข้าDrawing[[#This Row],[Part No]],"+",บันทึกนำเข้าDrawing[[#This Row],[Drawing No]])</f>
        <v>2B52-283-01+DR-TW-2B52-253-04-00</v>
      </c>
    </row>
    <row r="89" spans="1:9">
      <c r="A89" s="33">
        <v>88</v>
      </c>
      <c r="B89" s="74">
        <v>43895</v>
      </c>
      <c r="C89" s="75" t="s">
        <v>3656</v>
      </c>
      <c r="D89" s="33" t="s">
        <v>854</v>
      </c>
      <c r="E89" s="33" t="str">
        <f>RIGHT(บันทึกนำเข้าDrawing[[#This Row],[Drawing No]],1)</f>
        <v>0</v>
      </c>
      <c r="F89" s="73" t="s">
        <v>3781</v>
      </c>
      <c r="G89" s="118" t="s">
        <v>4027</v>
      </c>
      <c r="H89" s="74">
        <v>44084</v>
      </c>
      <c r="I89" s="29" t="str">
        <f>CONCATENATE(บันทึกนำเข้าDrawing[[#This Row],[Part No]],"+",บันทึกนำเข้าDrawing[[#This Row],[Drawing No]])</f>
        <v>2B25-132-01+DR-TW-2B25-132-01-00</v>
      </c>
    </row>
    <row r="90" spans="1:9">
      <c r="A90" s="33">
        <v>89</v>
      </c>
      <c r="B90" s="77">
        <v>43904</v>
      </c>
      <c r="C90" s="78" t="s">
        <v>4037</v>
      </c>
      <c r="D90" s="33" t="s">
        <v>4111</v>
      </c>
      <c r="E90" s="33" t="str">
        <f>RIGHT(บันทึกนำเข้าDrawing[[#This Row],[Drawing No]],1)</f>
        <v>1</v>
      </c>
      <c r="F90" s="79" t="s">
        <v>4006</v>
      </c>
      <c r="G90" s="118" t="s">
        <v>4027</v>
      </c>
      <c r="H90" s="77">
        <v>44257</v>
      </c>
      <c r="I90" s="29" t="str">
        <f>CONCATENATE(บันทึกนำเข้าDrawing[[#This Row],[Part No]],"+",บันทึกนำเข้าDrawing[[#This Row],[Drawing No]])</f>
        <v>2B48-508-00+DR-TW-2B48-508-00-01</v>
      </c>
    </row>
    <row r="91" spans="1:9">
      <c r="A91" s="33">
        <v>90</v>
      </c>
      <c r="B91" s="74">
        <v>43906</v>
      </c>
      <c r="C91" s="75" t="s">
        <v>4038</v>
      </c>
      <c r="D91" s="33" t="s">
        <v>4115</v>
      </c>
      <c r="E91" s="33" t="str">
        <f>RIGHT(บันทึกนำเข้าDrawing[[#This Row],[Drawing No]],1)</f>
        <v>3</v>
      </c>
      <c r="F91" s="73" t="s">
        <v>3782</v>
      </c>
      <c r="G91" s="118" t="s">
        <v>3779</v>
      </c>
      <c r="H91" s="74"/>
      <c r="I91" s="29" t="str">
        <f>CONCATENATE(บันทึกนำเข้าDrawing[[#This Row],[Part No]],"+",บันทึกนำเข้าDrawing[[#This Row],[Drawing No]])</f>
        <v>2B27-100-02+DR-TW-2B27-100-02-03</v>
      </c>
    </row>
    <row r="92" spans="1:9">
      <c r="A92" s="33">
        <v>91</v>
      </c>
      <c r="B92" s="74">
        <v>43909</v>
      </c>
      <c r="C92" s="75" t="s">
        <v>4039</v>
      </c>
      <c r="D92" s="33" t="s">
        <v>460</v>
      </c>
      <c r="E92" s="33" t="str">
        <f>RIGHT(บันทึกนำเข้าDrawing[[#This Row],[Drawing No]],1)</f>
        <v>0</v>
      </c>
      <c r="F92" s="73" t="s">
        <v>2334</v>
      </c>
      <c r="G92" s="118" t="s">
        <v>4027</v>
      </c>
      <c r="H92" s="74">
        <v>44222</v>
      </c>
      <c r="I92" s="29" t="str">
        <f>CONCATENATE(บันทึกนำเข้าDrawing[[#This Row],[Part No]],"+",บันทึกนำเข้าDrawing[[#This Row],[Drawing No]])</f>
        <v>2B04A120-01-R+DR-TW-2B04A120-01-R-00</v>
      </c>
    </row>
    <row r="93" spans="1:9">
      <c r="A93" s="33">
        <v>92</v>
      </c>
      <c r="B93" s="74">
        <v>43909</v>
      </c>
      <c r="C93" s="75" t="s">
        <v>4018</v>
      </c>
      <c r="D93" s="33" t="s">
        <v>2162</v>
      </c>
      <c r="E93" s="33" t="str">
        <f>RIGHT(บันทึกนำเข้าDrawing[[#This Row],[Drawing No]],1)</f>
        <v>0</v>
      </c>
      <c r="F93" s="73" t="s">
        <v>4019</v>
      </c>
      <c r="G93" s="118" t="s">
        <v>4029</v>
      </c>
      <c r="H93" s="74"/>
      <c r="I93" s="29" t="str">
        <f>CONCATENATE(บันทึกนำเข้าDrawing[[#This Row],[Part No]],"+",บันทึกนำเข้าDrawing[[#This Row],[Drawing No]])</f>
        <v>2B54-095-00+DR-TW-2B54-095-00-00</v>
      </c>
    </row>
    <row r="94" spans="1:9">
      <c r="A94" s="33">
        <v>93</v>
      </c>
      <c r="B94" s="74">
        <v>43909</v>
      </c>
      <c r="C94" s="75" t="s">
        <v>3596</v>
      </c>
      <c r="D94" s="33" t="s">
        <v>2166</v>
      </c>
      <c r="E94" s="33" t="str">
        <f>RIGHT(บันทึกนำเข้าDrawing[[#This Row],[Drawing No]],1)</f>
        <v>0</v>
      </c>
      <c r="F94" s="73" t="s">
        <v>5041</v>
      </c>
      <c r="G94" s="118" t="s">
        <v>3772</v>
      </c>
      <c r="H94" s="74"/>
      <c r="I94" s="29" t="str">
        <f>CONCATENATE(บันทึกนำเข้าDrawing[[#This Row],[Part No]],"+",บันทึกนำเข้าDrawing[[#This Row],[Drawing No]])</f>
        <v>2B55-095-00+DR-TW-2B55-095-00-00</v>
      </c>
    </row>
    <row r="95" spans="1:9">
      <c r="A95" s="33">
        <v>94</v>
      </c>
      <c r="B95" s="74">
        <v>43909</v>
      </c>
      <c r="C95" s="75" t="s">
        <v>3326</v>
      </c>
      <c r="D95" s="33" t="s">
        <v>2288</v>
      </c>
      <c r="E95" s="33" t="str">
        <f>RIGHT(บันทึกนำเข้าDrawing[[#This Row],[Drawing No]],1)</f>
        <v>0</v>
      </c>
      <c r="F95" s="73" t="s">
        <v>4026</v>
      </c>
      <c r="G95" s="118" t="s">
        <v>4029</v>
      </c>
      <c r="H95" s="74"/>
      <c r="I95" s="29" t="str">
        <f>CONCATENATE(บันทึกนำเข้าDrawing[[#This Row],[Part No]],"+",บันทึกนำเข้าDrawing[[#This Row],[Drawing No]])</f>
        <v>2B91-194-01+DR-TW-2B91-194-01-00</v>
      </c>
    </row>
    <row r="96" spans="1:9">
      <c r="A96" s="33">
        <v>95</v>
      </c>
      <c r="B96" s="74">
        <v>43909</v>
      </c>
      <c r="C96" s="72" t="s">
        <v>3596</v>
      </c>
      <c r="D96" s="33" t="s">
        <v>5039</v>
      </c>
      <c r="E96" s="33" t="str">
        <f>RIGHT(บันทึกนำเข้าDrawing[[#This Row],[Drawing No]],1)</f>
        <v>0</v>
      </c>
      <c r="F96" s="73" t="s">
        <v>5040</v>
      </c>
      <c r="G96" s="118" t="s">
        <v>4027</v>
      </c>
      <c r="H96" s="74">
        <v>44973</v>
      </c>
      <c r="I96" s="29" t="str">
        <f>CONCATENATE(บันทึกนำเข้าDrawing[[#This Row],[Part No]],"+",บันทึกนำเข้าDrawing[[#This Row],[Drawing No]])</f>
        <v>2B55-170-00+DR-TW-2B55-095-00-00</v>
      </c>
    </row>
    <row r="97" spans="1:9">
      <c r="A97" s="33">
        <v>96</v>
      </c>
      <c r="B97" s="74">
        <v>43909</v>
      </c>
      <c r="C97" s="72" t="s">
        <v>4039</v>
      </c>
      <c r="D97" s="33" t="s">
        <v>464</v>
      </c>
      <c r="E97" s="33" t="str">
        <f>RIGHT(บันทึกนำเข้าDrawing[[#This Row],[Drawing No]],1)</f>
        <v>0</v>
      </c>
      <c r="F97" s="73" t="s">
        <v>5459</v>
      </c>
      <c r="G97" s="118" t="s">
        <v>4027</v>
      </c>
      <c r="H97" s="74">
        <v>45012</v>
      </c>
      <c r="I97" s="29" t="str">
        <f>CONCATENATE(บันทึกนำเข้าDrawing[[#This Row],[Part No]],"+",บันทึกนำเข้าDrawing[[#This Row],[Drawing No]])</f>
        <v>2B04A140-01-R+DR-TW-2B04A120-01-R-00</v>
      </c>
    </row>
    <row r="98" spans="1:9">
      <c r="A98" s="33">
        <v>97</v>
      </c>
      <c r="B98" s="74">
        <v>43909</v>
      </c>
      <c r="C98" s="72" t="s">
        <v>4039</v>
      </c>
      <c r="D98" s="33" t="s">
        <v>463</v>
      </c>
      <c r="E98" s="33" t="str">
        <f>RIGHT(บันทึกนำเข้าDrawing[[#This Row],[Drawing No]],1)</f>
        <v>0</v>
      </c>
      <c r="F98" s="73" t="s">
        <v>5561</v>
      </c>
      <c r="G98" s="118" t="s">
        <v>4027</v>
      </c>
      <c r="H98" s="74">
        <v>45012</v>
      </c>
      <c r="I98" s="29" t="str">
        <f>CONCATENATE(บันทึกนำเข้าDrawing[[#This Row],[Part No]],"+",บันทึกนำเข้าDrawing[[#This Row],[Drawing No]])</f>
        <v>2B04A135-01-R+DR-TW-2B04A120-01-R-00</v>
      </c>
    </row>
    <row r="99" spans="1:9">
      <c r="A99" s="33">
        <v>98</v>
      </c>
      <c r="B99" s="74">
        <v>43909</v>
      </c>
      <c r="C99" s="72" t="s">
        <v>4039</v>
      </c>
      <c r="D99" s="33" t="s">
        <v>461</v>
      </c>
      <c r="E99" s="33" t="str">
        <f>RIGHT(บันทึกนำเข้าDrawing[[#This Row],[Drawing No]],1)</f>
        <v>0</v>
      </c>
      <c r="F99" s="73" t="s">
        <v>5581</v>
      </c>
      <c r="G99" s="118" t="s">
        <v>4027</v>
      </c>
      <c r="H99" s="74">
        <v>45012</v>
      </c>
      <c r="I99" s="29" t="str">
        <f>CONCATENATE(บันทึกนำเข้าDrawing[[#This Row],[Part No]],"+",บันทึกนำเข้าDrawing[[#This Row],[Drawing No]])</f>
        <v>2B04A125-01-R+DR-TW-2B04A120-01-R-00</v>
      </c>
    </row>
    <row r="100" spans="1:9">
      <c r="A100" s="33">
        <v>99</v>
      </c>
      <c r="B100" s="74">
        <v>43909</v>
      </c>
      <c r="C100" s="72" t="s">
        <v>3596</v>
      </c>
      <c r="D100" s="33" t="s">
        <v>5625</v>
      </c>
      <c r="E100" s="33" t="str">
        <f>RIGHT(บันทึกนำเข้าDrawing[[#This Row],[Drawing No]],1)</f>
        <v>0</v>
      </c>
      <c r="F100" s="73" t="s">
        <v>5626</v>
      </c>
      <c r="G100" s="118" t="s">
        <v>4027</v>
      </c>
      <c r="H100" s="74">
        <v>45103</v>
      </c>
      <c r="I100" s="29" t="str">
        <f>CONCATENATE(บันทึกนำเข้าDrawing[[#This Row],[Part No]],"+",บันทึกนำเข้าDrawing[[#This Row],[Drawing No]])</f>
        <v>2B55-185-00+DR-TW-2B55-095-00-00</v>
      </c>
    </row>
    <row r="101" spans="1:9">
      <c r="A101" s="33">
        <v>100</v>
      </c>
      <c r="B101" s="74">
        <v>43916</v>
      </c>
      <c r="C101" s="75" t="s">
        <v>3728</v>
      </c>
      <c r="D101" s="33" t="s">
        <v>607</v>
      </c>
      <c r="E101" s="33" t="str">
        <f>RIGHT(บันทึกนำเข้าDrawing[[#This Row],[Drawing No]],1)</f>
        <v>0</v>
      </c>
      <c r="F101" s="73" t="s">
        <v>4797</v>
      </c>
      <c r="G101" s="118" t="s">
        <v>4027</v>
      </c>
      <c r="H101" s="74">
        <v>43937</v>
      </c>
      <c r="I101" s="29" t="str">
        <f>CONCATENATE(บันทึกนำเข้าDrawing[[#This Row],[Part No]],"+",บันทึกนำเข้าDrawing[[#This Row],[Drawing No]])</f>
        <v>2B24-211-09+DR-TW-2B24-211-09-00</v>
      </c>
    </row>
    <row r="102" spans="1:9">
      <c r="A102" s="33">
        <v>101</v>
      </c>
      <c r="B102" s="74">
        <v>43916</v>
      </c>
      <c r="C102" s="75" t="s">
        <v>4040</v>
      </c>
      <c r="D102" s="33" t="s">
        <v>2160</v>
      </c>
      <c r="E102" s="33" t="str">
        <f>RIGHT(บันทึกนำเข้าDrawing[[#This Row],[Drawing No]],1)</f>
        <v>1</v>
      </c>
      <c r="F102" s="73" t="s">
        <v>4017</v>
      </c>
      <c r="G102" s="118" t="s">
        <v>4029</v>
      </c>
      <c r="H102" s="74"/>
      <c r="I102" s="29" t="str">
        <f>CONCATENATE(บันทึกนำเข้าDrawing[[#This Row],[Part No]],"+",บันทึกนำเข้าDrawing[[#This Row],[Drawing No]])</f>
        <v>2B53-400-01+DR-TW-2B53-400-01-01</v>
      </c>
    </row>
    <row r="103" spans="1:9">
      <c r="A103" s="33">
        <v>102</v>
      </c>
      <c r="B103" s="77">
        <v>43916</v>
      </c>
      <c r="C103" s="78" t="s">
        <v>3595</v>
      </c>
      <c r="D103" s="33" t="s">
        <v>2162</v>
      </c>
      <c r="E103" s="33" t="str">
        <f>RIGHT(บันทึกนำเข้าDrawing[[#This Row],[Drawing No]],1)</f>
        <v>1</v>
      </c>
      <c r="F103" s="79" t="s">
        <v>4019</v>
      </c>
      <c r="G103" s="118" t="s">
        <v>4027</v>
      </c>
      <c r="H103" s="74">
        <v>43929</v>
      </c>
      <c r="I103" s="29" t="str">
        <f>CONCATENATE(บันทึกนำเข้าDrawing[[#This Row],[Part No]],"+",บันทึกนำเข้าDrawing[[#This Row],[Drawing No]])</f>
        <v>2B54-095-00+DR-TW-2B54-095-00-01</v>
      </c>
    </row>
    <row r="104" spans="1:9">
      <c r="A104" s="33">
        <v>103</v>
      </c>
      <c r="B104" s="74">
        <v>43916</v>
      </c>
      <c r="C104" s="75" t="s">
        <v>3728</v>
      </c>
      <c r="D104" s="33" t="s">
        <v>615</v>
      </c>
      <c r="E104" s="33" t="str">
        <f>RIGHT(บันทึกนำเข้าDrawing[[#This Row],[Drawing No]],1)</f>
        <v>0</v>
      </c>
      <c r="F104" s="73" t="s">
        <v>4798</v>
      </c>
      <c r="G104" s="118" t="s">
        <v>4027</v>
      </c>
      <c r="H104" s="74">
        <v>43570</v>
      </c>
      <c r="I104" s="29" t="str">
        <f>CONCATENATE(บันทึกนำเข้าDrawing[[#This Row],[Part No]],"+",บันทึกนำเข้าDrawing[[#This Row],[Drawing No]])</f>
        <v>2B24-213-01+DR-TW-2B24-211-09-00</v>
      </c>
    </row>
    <row r="105" spans="1:9">
      <c r="A105" s="33">
        <v>104</v>
      </c>
      <c r="B105" s="74">
        <v>43916</v>
      </c>
      <c r="C105" s="75" t="s">
        <v>3728</v>
      </c>
      <c r="D105" s="33" t="s">
        <v>613</v>
      </c>
      <c r="E105" s="33" t="str">
        <f>RIGHT(บันทึกนำเข้าDrawing[[#This Row],[Drawing No]],1)</f>
        <v>0</v>
      </c>
      <c r="F105" s="73" t="s">
        <v>4799</v>
      </c>
      <c r="G105" s="118" t="s">
        <v>4027</v>
      </c>
      <c r="H105" s="74">
        <v>43928</v>
      </c>
      <c r="I105" s="29" t="str">
        <f>CONCATENATE(บันทึกนำเข้าDrawing[[#This Row],[Part No]],"+",บันทึกนำเข้าDrawing[[#This Row],[Drawing No]])</f>
        <v>2B24-212-09+DR-TW-2B24-211-09-00</v>
      </c>
    </row>
    <row r="106" spans="1:9">
      <c r="A106" s="33">
        <v>105</v>
      </c>
      <c r="B106" s="74">
        <v>43916</v>
      </c>
      <c r="C106" s="75" t="s">
        <v>3728</v>
      </c>
      <c r="D106" s="33" t="s">
        <v>620</v>
      </c>
      <c r="E106" s="33" t="str">
        <f>RIGHT(บันทึกนำเข้าDrawing[[#This Row],[Drawing No]],1)</f>
        <v>0</v>
      </c>
      <c r="F106" s="73" t="s">
        <v>4800</v>
      </c>
      <c r="G106" s="118" t="s">
        <v>4027</v>
      </c>
      <c r="H106" s="74">
        <v>44110</v>
      </c>
      <c r="I106" s="29" t="str">
        <f>CONCATENATE(บันทึกนำเข้าDrawing[[#This Row],[Part No]],"+",บันทึกนำเข้าDrawing[[#This Row],[Drawing No]])</f>
        <v>2B24-219-01+DR-TW-2B24-211-09-00</v>
      </c>
    </row>
    <row r="107" spans="1:9">
      <c r="A107" s="33">
        <v>106</v>
      </c>
      <c r="B107" s="74">
        <v>43920</v>
      </c>
      <c r="C107" s="75" t="s">
        <v>3786</v>
      </c>
      <c r="D107" s="33" t="s">
        <v>1087</v>
      </c>
      <c r="E107" s="33" t="str">
        <f>RIGHT(บันทึกนำเข้าDrawing[[#This Row],[Drawing No]],1)</f>
        <v>0</v>
      </c>
      <c r="F107" s="73" t="s">
        <v>3787</v>
      </c>
      <c r="G107" s="118" t="s">
        <v>4029</v>
      </c>
      <c r="H107" s="74"/>
      <c r="I107" s="29" t="str">
        <f>CONCATENATE(บันทึกนำเข้าDrawing[[#This Row],[Part No]],"+",บันทึกนำเข้าDrawing[[#This Row],[Drawing No]])</f>
        <v>2B26-081-01+DR-TW-2B26-081-01-00</v>
      </c>
    </row>
    <row r="108" spans="1:9">
      <c r="A108" s="33">
        <v>107</v>
      </c>
      <c r="B108" s="74">
        <v>43920</v>
      </c>
      <c r="C108" s="75" t="s">
        <v>3790</v>
      </c>
      <c r="D108" s="33" t="s">
        <v>1089</v>
      </c>
      <c r="E108" s="33" t="str">
        <f>RIGHT(บันทึกนำเข้าDrawing[[#This Row],[Drawing No]],1)</f>
        <v>0</v>
      </c>
      <c r="F108" s="73" t="s">
        <v>3791</v>
      </c>
      <c r="G108" s="118" t="s">
        <v>4029</v>
      </c>
      <c r="H108" s="74"/>
      <c r="I108" s="29" t="str">
        <f>CONCATENATE(บันทึกนำเข้าDrawing[[#This Row],[Part No]],"+",บันทึกนำเข้าDrawing[[#This Row],[Drawing No]])</f>
        <v>2B26-082-01+DR-TW-2B26-082-01-00</v>
      </c>
    </row>
    <row r="109" spans="1:9">
      <c r="A109" s="33">
        <v>108</v>
      </c>
      <c r="B109" s="74">
        <v>43920</v>
      </c>
      <c r="C109" s="75" t="s">
        <v>3823</v>
      </c>
      <c r="D109" s="33" t="s">
        <v>1151</v>
      </c>
      <c r="E109" s="33" t="str">
        <f>RIGHT(บันทึกนำเข้าDrawing[[#This Row],[Drawing No]],1)</f>
        <v>0</v>
      </c>
      <c r="F109" s="73" t="s">
        <v>3813</v>
      </c>
      <c r="G109" s="118" t="s">
        <v>4029</v>
      </c>
      <c r="H109" s="74"/>
      <c r="I109" s="29" t="str">
        <f>CONCATENATE(บันทึกนำเข้าDrawing[[#This Row],[Part No]],"+",บันทึกนำเข้าDrawing[[#This Row],[Drawing No]])</f>
        <v>2B26-142-05+DR-TW-2B26-142-05-00</v>
      </c>
    </row>
    <row r="110" spans="1:9">
      <c r="A110" s="33">
        <v>109</v>
      </c>
      <c r="B110" s="74">
        <v>43920</v>
      </c>
      <c r="C110" s="75" t="s">
        <v>3331</v>
      </c>
      <c r="D110" s="33" t="s">
        <v>1335</v>
      </c>
      <c r="E110" s="33" t="str">
        <f>RIGHT(บันทึกนำเข้าDrawing[[#This Row],[Drawing No]],1)</f>
        <v>0</v>
      </c>
      <c r="F110" s="73" t="s">
        <v>3794</v>
      </c>
      <c r="G110" s="118" t="s">
        <v>4029</v>
      </c>
      <c r="H110" s="74">
        <v>43927</v>
      </c>
      <c r="I110" s="29" t="str">
        <f>CONCATENATE(บันทึกนำเข้าDrawing[[#This Row],[Part No]],"+",บันทึกนำเข้าDrawing[[#This Row],[Drawing No]])</f>
        <v>2B26-280-04+DR-TW-2B26-280-04-00</v>
      </c>
    </row>
    <row r="111" spans="1:9">
      <c r="A111" s="33">
        <v>110</v>
      </c>
      <c r="B111" s="74">
        <v>43921</v>
      </c>
      <c r="C111" s="75" t="s">
        <v>4041</v>
      </c>
      <c r="D111" s="33" t="s">
        <v>2288</v>
      </c>
      <c r="E111" s="33" t="str">
        <f>RIGHT(บันทึกนำเข้าDrawing[[#This Row],[Drawing No]],1)</f>
        <v>1</v>
      </c>
      <c r="F111" s="73" t="s">
        <v>4026</v>
      </c>
      <c r="G111" s="118" t="s">
        <v>4027</v>
      </c>
      <c r="H111" s="74">
        <v>43911</v>
      </c>
      <c r="I111" s="29" t="str">
        <f>CONCATENATE(บันทึกนำเข้าDrawing[[#This Row],[Part No]],"+",บันทึกนำเข้าDrawing[[#This Row],[Drawing No]])</f>
        <v>2B91-194-01+DR-TW-2B91-194-01-01</v>
      </c>
    </row>
    <row r="112" spans="1:9">
      <c r="A112" s="33">
        <v>111</v>
      </c>
      <c r="B112" s="74">
        <v>43924</v>
      </c>
      <c r="C112" s="75" t="s">
        <v>3733</v>
      </c>
      <c r="D112" s="33" t="s">
        <v>1042</v>
      </c>
      <c r="E112" s="33" t="str">
        <f>RIGHT(บันทึกนำเข้าDrawing[[#This Row],[Drawing No]],1)</f>
        <v>0</v>
      </c>
      <c r="F112" s="73" t="s">
        <v>3803</v>
      </c>
      <c r="G112" s="118" t="s">
        <v>4027</v>
      </c>
      <c r="H112" s="74">
        <v>43973</v>
      </c>
      <c r="I112" s="29" t="str">
        <f>CONCATENATE(บันทึกนำเข้าDrawing[[#This Row],[Part No]],"+",บันทึกนำเข้าDrawing[[#This Row],[Drawing No]])</f>
        <v>2B26-045-04+DR-TW-2B26-045-04-00</v>
      </c>
    </row>
    <row r="113" spans="1:9">
      <c r="A113" s="33">
        <v>112</v>
      </c>
      <c r="B113" s="74">
        <v>43924</v>
      </c>
      <c r="C113" s="75" t="s">
        <v>3804</v>
      </c>
      <c r="D113" s="33" t="s">
        <v>1045</v>
      </c>
      <c r="E113" s="33" t="str">
        <f>RIGHT(บันทึกนำเข้าDrawing[[#This Row],[Drawing No]],1)</f>
        <v>0</v>
      </c>
      <c r="F113" s="73" t="s">
        <v>3805</v>
      </c>
      <c r="G113" s="118" t="s">
        <v>3772</v>
      </c>
      <c r="H113" s="74"/>
      <c r="I113" s="29" t="str">
        <f>CONCATENATE(บันทึกนำเข้าDrawing[[#This Row],[Part No]],"+",บันทึกนำเข้าDrawing[[#This Row],[Drawing No]])</f>
        <v>2B26-046-04+DR-TW-2B26-046-04-00</v>
      </c>
    </row>
    <row r="114" spans="1:9">
      <c r="A114" s="33">
        <v>113</v>
      </c>
      <c r="B114" s="74">
        <v>43924</v>
      </c>
      <c r="C114" s="75" t="s">
        <v>3788</v>
      </c>
      <c r="D114" s="33" t="s">
        <v>1087</v>
      </c>
      <c r="E114" s="33" t="str">
        <f>RIGHT(บันทึกนำเข้าDrawing[[#This Row],[Drawing No]],1)</f>
        <v>1</v>
      </c>
      <c r="F114" s="73" t="s">
        <v>3789</v>
      </c>
      <c r="G114" s="118" t="s">
        <v>4029</v>
      </c>
      <c r="H114" s="74">
        <v>43949</v>
      </c>
      <c r="I114" s="29" t="str">
        <f>CONCATENATE(บันทึกนำเข้าDrawing[[#This Row],[Part No]],"+",บันทึกนำเข้าDrawing[[#This Row],[Drawing No]])</f>
        <v>2B26-081-01+DR-TW-2B26-081-01-01</v>
      </c>
    </row>
    <row r="115" spans="1:9">
      <c r="A115" s="33">
        <v>114</v>
      </c>
      <c r="B115" s="74">
        <v>43924</v>
      </c>
      <c r="C115" s="75" t="s">
        <v>3336</v>
      </c>
      <c r="D115" s="33" t="s">
        <v>1089</v>
      </c>
      <c r="E115" s="33" t="str">
        <f>RIGHT(บันทึกนำเข้าDrawing[[#This Row],[Drawing No]],1)</f>
        <v>1</v>
      </c>
      <c r="F115" s="73" t="s">
        <v>3792</v>
      </c>
      <c r="G115" s="118" t="s">
        <v>4029</v>
      </c>
      <c r="H115" s="74">
        <v>43949</v>
      </c>
      <c r="I115" s="29" t="str">
        <f>CONCATENATE(บันทึกนำเข้าDrawing[[#This Row],[Part No]],"+",บันทึกนำเข้าDrawing[[#This Row],[Drawing No]])</f>
        <v>2B26-082-01+DR-TW-2B26-082-01-01</v>
      </c>
    </row>
    <row r="116" spans="1:9">
      <c r="A116" s="33">
        <v>115</v>
      </c>
      <c r="B116" s="74">
        <v>43924</v>
      </c>
      <c r="C116" s="75" t="s">
        <v>3795</v>
      </c>
      <c r="D116" s="33" t="s">
        <v>1102</v>
      </c>
      <c r="E116" s="33" t="str">
        <f>RIGHT(บันทึกนำเข้าDrawing[[#This Row],[Drawing No]],1)</f>
        <v>0</v>
      </c>
      <c r="F116" s="73" t="s">
        <v>3796</v>
      </c>
      <c r="G116" s="118" t="s">
        <v>4029</v>
      </c>
      <c r="H116" s="74"/>
      <c r="I116" s="29" t="str">
        <f>CONCATENATE(บันทึกนำเข้าDrawing[[#This Row],[Part No]],"+",บันทึกนำเข้าDrawing[[#This Row],[Drawing No]])</f>
        <v>2B26-110-0F+DR-TW-2B26-110-0F-00</v>
      </c>
    </row>
    <row r="117" spans="1:9">
      <c r="A117" s="33">
        <v>116</v>
      </c>
      <c r="B117" s="74">
        <v>43924</v>
      </c>
      <c r="C117" s="75" t="s">
        <v>3806</v>
      </c>
      <c r="D117" s="33" t="s">
        <v>1112</v>
      </c>
      <c r="E117" s="33" t="str">
        <f>RIGHT(บันทึกนำเข้าDrawing[[#This Row],[Drawing No]],1)</f>
        <v>0</v>
      </c>
      <c r="F117" s="73" t="s">
        <v>3807</v>
      </c>
      <c r="G117" s="118" t="s">
        <v>4029</v>
      </c>
      <c r="H117" s="74"/>
      <c r="I117" s="29" t="str">
        <f>CONCATENATE(บันทึกนำเข้าDrawing[[#This Row],[Part No]],"+",บันทึกนำเข้าDrawing[[#This Row],[Drawing No]])</f>
        <v>2B26-118-04+DR-TW-2B26-118-04-00</v>
      </c>
    </row>
    <row r="118" spans="1:9">
      <c r="A118" s="33">
        <v>117</v>
      </c>
      <c r="B118" s="77">
        <v>43924</v>
      </c>
      <c r="C118" s="78" t="s">
        <v>3736</v>
      </c>
      <c r="D118" s="33" t="s">
        <v>1197</v>
      </c>
      <c r="E118" s="33" t="str">
        <f>RIGHT(บันทึกนำเข้าDrawing[[#This Row],[Drawing No]],1)</f>
        <v>0</v>
      </c>
      <c r="F118" s="79" t="s">
        <v>3814</v>
      </c>
      <c r="G118" s="118" t="s">
        <v>4029</v>
      </c>
      <c r="H118" s="74">
        <v>43978</v>
      </c>
      <c r="I118" s="29" t="str">
        <f>CONCATENATE(บันทึกนำเข้าDrawing[[#This Row],[Part No]],"+",บันทึกนำเข้าDrawing[[#This Row],[Drawing No]])</f>
        <v>2B26-215-07+DR-TW-2B26-215-07-00</v>
      </c>
    </row>
    <row r="119" spans="1:9">
      <c r="A119" s="33">
        <v>118</v>
      </c>
      <c r="B119" s="74">
        <v>43924</v>
      </c>
      <c r="C119" s="75" t="s">
        <v>3815</v>
      </c>
      <c r="D119" s="33" t="s">
        <v>1219</v>
      </c>
      <c r="E119" s="33" t="str">
        <f>RIGHT(บันทึกนำเข้าDrawing[[#This Row],[Drawing No]],1)</f>
        <v>1</v>
      </c>
      <c r="F119" s="73" t="s">
        <v>3816</v>
      </c>
      <c r="G119" s="118" t="s">
        <v>4029</v>
      </c>
      <c r="H119" s="74">
        <v>44112</v>
      </c>
      <c r="I119" s="29" t="str">
        <f>CONCATENATE(บันทึกนำเข้าDrawing[[#This Row],[Part No]],"+",บันทึกนำเข้าDrawing[[#This Row],[Drawing No]])</f>
        <v>2B26-228-01+DR-TW-2B26-228-01-01</v>
      </c>
    </row>
    <row r="120" spans="1:9">
      <c r="A120" s="33">
        <v>119</v>
      </c>
      <c r="B120" s="74">
        <v>43924</v>
      </c>
      <c r="C120" s="75" t="s">
        <v>3719</v>
      </c>
      <c r="D120" s="33" t="s">
        <v>1221</v>
      </c>
      <c r="E120" s="33" t="str">
        <f>RIGHT(บันทึกนำเข้าDrawing[[#This Row],[Drawing No]],1)</f>
        <v>0</v>
      </c>
      <c r="F120" s="73" t="s">
        <v>3817</v>
      </c>
      <c r="G120" s="118" t="s">
        <v>4029</v>
      </c>
      <c r="H120" s="74">
        <v>44096</v>
      </c>
      <c r="I120" s="29" t="str">
        <f>CONCATENATE(บันทึกนำเข้าDrawing[[#This Row],[Part No]],"+",บันทึกนำเข้าDrawing[[#This Row],[Drawing No]])</f>
        <v>2B26-229-02+DR-TW-2B26-229-02-00</v>
      </c>
    </row>
    <row r="121" spans="1:9">
      <c r="A121" s="33">
        <v>120</v>
      </c>
      <c r="B121" s="74">
        <v>43924</v>
      </c>
      <c r="C121" s="75" t="s">
        <v>3333</v>
      </c>
      <c r="D121" s="33" t="s">
        <v>1236</v>
      </c>
      <c r="E121" s="33" t="str">
        <f>RIGHT(บันทึกนำเข้าDrawing[[#This Row],[Drawing No]],1)</f>
        <v>0</v>
      </c>
      <c r="F121" s="73" t="s">
        <v>3797</v>
      </c>
      <c r="G121" s="118" t="s">
        <v>4029</v>
      </c>
      <c r="H121" s="74">
        <v>43966</v>
      </c>
      <c r="I121" s="29" t="str">
        <f>CONCATENATE(บันทึกนำเข้าDrawing[[#This Row],[Part No]],"+",บันทึกนำเข้าDrawing[[#This Row],[Drawing No]])</f>
        <v>2B26-234-04+DR-TW-2B26-234-04-00</v>
      </c>
    </row>
    <row r="122" spans="1:9">
      <c r="A122" s="33">
        <v>121</v>
      </c>
      <c r="B122" s="74">
        <v>43924</v>
      </c>
      <c r="C122" s="75" t="s">
        <v>3857</v>
      </c>
      <c r="D122" s="33" t="s">
        <v>1242</v>
      </c>
      <c r="E122" s="33" t="str">
        <f>RIGHT(บันทึกนำเข้าDrawing[[#This Row],[Drawing No]],1)</f>
        <v>0</v>
      </c>
      <c r="F122" s="73" t="s">
        <v>3858</v>
      </c>
      <c r="G122" s="118" t="s">
        <v>4029</v>
      </c>
      <c r="H122" s="74"/>
      <c r="I122" s="29" t="str">
        <f>CONCATENATE(บันทึกนำเข้าDrawing[[#This Row],[Part No]],"+",บันทึกนำเข้าDrawing[[#This Row],[Drawing No]])</f>
        <v>2B26-235-03+DR-TW-2B26-235-03-00</v>
      </c>
    </row>
    <row r="123" spans="1:9">
      <c r="A123" s="33">
        <v>122</v>
      </c>
      <c r="B123" s="74">
        <v>43924</v>
      </c>
      <c r="C123" s="75" t="s">
        <v>3798</v>
      </c>
      <c r="D123" s="33" t="s">
        <v>3799</v>
      </c>
      <c r="E123" s="33" t="str">
        <f>RIGHT(บันทึกนำเข้าDrawing[[#This Row],[Drawing No]],1)</f>
        <v>0</v>
      </c>
      <c r="F123" s="73" t="s">
        <v>3800</v>
      </c>
      <c r="G123" s="118" t="s">
        <v>4027</v>
      </c>
      <c r="H123" s="74"/>
      <c r="I123" s="29" t="str">
        <f>CONCATENATE(บันทึกนำเข้าDrawing[[#This Row],[Part No]],"+",บันทึกนำเข้าDrawing[[#This Row],[Drawing No]])</f>
        <v>2B26-236-01+DR-TW-2B26-236-01-00</v>
      </c>
    </row>
    <row r="124" spans="1:9">
      <c r="A124" s="33">
        <v>123</v>
      </c>
      <c r="B124" s="74">
        <v>43924</v>
      </c>
      <c r="C124" s="75" t="s">
        <v>3332</v>
      </c>
      <c r="D124" s="33" t="s">
        <v>1257</v>
      </c>
      <c r="E124" s="33" t="str">
        <f>RIGHT(บันทึกนำเข้าDrawing[[#This Row],[Drawing No]],1)</f>
        <v>0</v>
      </c>
      <c r="F124" s="73" t="s">
        <v>3801</v>
      </c>
      <c r="G124" s="118" t="s">
        <v>4029</v>
      </c>
      <c r="H124" s="74">
        <v>43945</v>
      </c>
      <c r="I124" s="29" t="str">
        <f>CONCATENATE(บันทึกนำเข้าDrawing[[#This Row],[Part No]],"+",บันทึกนำเข้าDrawing[[#This Row],[Drawing No]])</f>
        <v>2B26-244-03+DR-TW-2B26-244-03-00</v>
      </c>
    </row>
    <row r="125" spans="1:9">
      <c r="A125" s="33">
        <v>124</v>
      </c>
      <c r="B125" s="74">
        <v>43924</v>
      </c>
      <c r="C125" s="78" t="s">
        <v>3818</v>
      </c>
      <c r="D125" s="33" t="s">
        <v>1337</v>
      </c>
      <c r="E125" s="33" t="str">
        <f>RIGHT(บันทึกนำเข้าDrawing[[#This Row],[Drawing No]],1)</f>
        <v>0</v>
      </c>
      <c r="F125" s="79" t="s">
        <v>3819</v>
      </c>
      <c r="G125" s="118" t="s">
        <v>3779</v>
      </c>
      <c r="H125" s="74"/>
      <c r="I125" s="29" t="str">
        <f>CONCATENATE(บันทึกนำเข้าDrawing[[#This Row],[Part No]],"+",บันทึกนำเข้าDrawing[[#This Row],[Drawing No]])</f>
        <v>2B26-281-02+DR-TW-2B26-281-02-00</v>
      </c>
    </row>
    <row r="126" spans="1:9">
      <c r="A126" s="33">
        <v>125</v>
      </c>
      <c r="B126" s="74">
        <v>43924</v>
      </c>
      <c r="C126" s="75" t="s">
        <v>3802</v>
      </c>
      <c r="D126" s="4" t="s">
        <v>523</v>
      </c>
      <c r="E126" s="33" t="str">
        <f>RIGHT(บันทึกนำเข้าDrawing[[#This Row],[Drawing No]],1)</f>
        <v>2</v>
      </c>
      <c r="F126" s="11" t="s">
        <v>524</v>
      </c>
      <c r="G126" s="118" t="s">
        <v>4027</v>
      </c>
      <c r="H126" s="74" t="s">
        <v>4744</v>
      </c>
      <c r="I126" s="29" t="str">
        <f>CONCATENATE(บันทึกนำเข้าDrawing[[#This Row],[Part No]],"+",บันทึกนำเข้าDrawing[[#This Row],[Drawing No]])</f>
        <v>2B19D145-02+DR-TW-2B19D140-02-02</v>
      </c>
    </row>
    <row r="127" spans="1:9">
      <c r="A127" s="33">
        <v>126</v>
      </c>
      <c r="B127" s="74">
        <v>43924</v>
      </c>
      <c r="C127" s="75" t="s">
        <v>3802</v>
      </c>
      <c r="D127" s="4" t="s">
        <v>526</v>
      </c>
      <c r="E127" s="33" t="str">
        <f>RIGHT(บันทึกนำเข้าDrawing[[#This Row],[Drawing No]],1)</f>
        <v>2</v>
      </c>
      <c r="F127" s="11" t="s">
        <v>4753</v>
      </c>
      <c r="G127" s="118" t="s">
        <v>4027</v>
      </c>
      <c r="H127" s="74" t="s">
        <v>4744</v>
      </c>
      <c r="I127" s="29" t="str">
        <f>CONCATENATE(บันทึกนำเข้าDrawing[[#This Row],[Part No]],"+",บันทึกนำเข้าDrawing[[#This Row],[Drawing No]])</f>
        <v>2B19D155-02+DR-TW-2B19D140-02-02</v>
      </c>
    </row>
    <row r="128" spans="1:9">
      <c r="A128" s="33">
        <v>127</v>
      </c>
      <c r="B128" s="74">
        <v>43924</v>
      </c>
      <c r="C128" s="75" t="s">
        <v>3802</v>
      </c>
      <c r="D128" s="4" t="s">
        <v>529</v>
      </c>
      <c r="E128" s="33" t="str">
        <f>RIGHT(บันทึกนำเข้าDrawing[[#This Row],[Drawing No]],1)</f>
        <v>2</v>
      </c>
      <c r="F128" s="11" t="s">
        <v>4754</v>
      </c>
      <c r="G128" s="118" t="s">
        <v>4027</v>
      </c>
      <c r="H128" s="74" t="s">
        <v>4744</v>
      </c>
      <c r="I128" s="29" t="str">
        <f>CONCATENATE(บันทึกนำเข้าDrawing[[#This Row],[Part No]],"+",บันทึกนำเข้าDrawing[[#This Row],[Drawing No]])</f>
        <v>2B19D160-02+DR-TW-2B19D140-02-02</v>
      </c>
    </row>
    <row r="129" spans="1:9">
      <c r="A129" s="33">
        <v>128</v>
      </c>
      <c r="B129" s="74">
        <v>43924</v>
      </c>
      <c r="C129" s="75" t="s">
        <v>3802</v>
      </c>
      <c r="D129" s="4" t="s">
        <v>3712</v>
      </c>
      <c r="E129" s="33" t="str">
        <f>RIGHT(บันทึกนำเข้าDrawing[[#This Row],[Drawing No]],1)</f>
        <v>2</v>
      </c>
      <c r="F129" s="11" t="s">
        <v>4755</v>
      </c>
      <c r="G129" s="118" t="s">
        <v>4027</v>
      </c>
      <c r="H129" s="74" t="s">
        <v>4744</v>
      </c>
      <c r="I129" s="29" t="str">
        <f>CONCATENATE(บันทึกนำเข้าDrawing[[#This Row],[Part No]],"+",บันทึกนำเข้าDrawing[[#This Row],[Drawing No]])</f>
        <v>2B19D165-02+DR-TW-2B19D140-02-02</v>
      </c>
    </row>
    <row r="130" spans="1:9">
      <c r="A130" s="33">
        <v>129</v>
      </c>
      <c r="B130" s="77">
        <v>43924</v>
      </c>
      <c r="C130" s="78" t="s">
        <v>3802</v>
      </c>
      <c r="D130" s="4" t="s">
        <v>532</v>
      </c>
      <c r="E130" s="33" t="str">
        <f>RIGHT(บันทึกนำเข้าDrawing[[#This Row],[Drawing No]],1)</f>
        <v>2</v>
      </c>
      <c r="F130" s="107" t="s">
        <v>533</v>
      </c>
      <c r="G130" s="118" t="s">
        <v>4027</v>
      </c>
      <c r="H130" s="74" t="s">
        <v>4744</v>
      </c>
      <c r="I130" s="29" t="str">
        <f>CONCATENATE(บันทึกนำเข้าDrawing[[#This Row],[Part No]],"+",บันทึกนำเข้าDrawing[[#This Row],[Drawing No]])</f>
        <v>2B19D170-02+DR-TW-2B19D140-02-02</v>
      </c>
    </row>
    <row r="131" spans="1:9">
      <c r="A131" s="33">
        <v>130</v>
      </c>
      <c r="B131" s="74">
        <v>43924</v>
      </c>
      <c r="C131" s="75" t="s">
        <v>3802</v>
      </c>
      <c r="D131" s="4" t="s">
        <v>537</v>
      </c>
      <c r="E131" s="33" t="str">
        <f>RIGHT(บันทึกนำเข้าDrawing[[#This Row],[Drawing No]],1)</f>
        <v>2</v>
      </c>
      <c r="F131" s="11" t="s">
        <v>4756</v>
      </c>
      <c r="G131" s="118" t="s">
        <v>4027</v>
      </c>
      <c r="H131" s="74" t="s">
        <v>4744</v>
      </c>
      <c r="I131" s="29" t="str">
        <f>CONCATENATE(บันทึกนำเข้าDrawing[[#This Row],[Part No]],"+",บันทึกนำเข้าDrawing[[#This Row],[Drawing No]])</f>
        <v>2B19D180-02+DR-TW-2B19D140-02-02</v>
      </c>
    </row>
    <row r="132" spans="1:9">
      <c r="A132" s="33">
        <v>131</v>
      </c>
      <c r="B132" s="74">
        <v>43930</v>
      </c>
      <c r="C132" s="75" t="s">
        <v>3820</v>
      </c>
      <c r="D132" s="33" t="s">
        <v>1019</v>
      </c>
      <c r="E132" s="33" t="str">
        <f>RIGHT(บันทึกนำเข้าDrawing[[#This Row],[Drawing No]],1)</f>
        <v>0</v>
      </c>
      <c r="F132" s="73" t="s">
        <v>3821</v>
      </c>
      <c r="G132" s="118" t="s">
        <v>4029</v>
      </c>
      <c r="H132" s="74"/>
      <c r="I132" s="29" t="str">
        <f>CONCATENATE(บันทึกนำเข้าDrawing[[#This Row],[Part No]],"+",บันทึกนำเข้าDrawing[[#This Row],[Drawing No]])</f>
        <v>2B26-003-03+DR-TW-2B26-003-03-00</v>
      </c>
    </row>
    <row r="133" spans="1:9">
      <c r="A133" s="33">
        <v>132</v>
      </c>
      <c r="B133" s="74">
        <v>43930</v>
      </c>
      <c r="C133" s="75" t="s">
        <v>3611</v>
      </c>
      <c r="D133" s="33" t="s">
        <v>1029</v>
      </c>
      <c r="E133" s="33" t="str">
        <f>RIGHT(บันทึกนำเข้าDrawing[[#This Row],[Drawing No]],1)</f>
        <v>0</v>
      </c>
      <c r="F133" s="73" t="s">
        <v>3822</v>
      </c>
      <c r="G133" s="118" t="s">
        <v>4029</v>
      </c>
      <c r="H133" s="74">
        <v>44069</v>
      </c>
      <c r="I133" s="29" t="str">
        <f>CONCATENATE(บันทึกนำเข้าDrawing[[#This Row],[Part No]],"+",บันทึกนำเข้าDrawing[[#This Row],[Drawing No]])</f>
        <v>2B26-009-02+DR-TW-2B26-009-02-00</v>
      </c>
    </row>
    <row r="134" spans="1:9">
      <c r="A134" s="33">
        <v>133</v>
      </c>
      <c r="B134" s="74">
        <v>43930</v>
      </c>
      <c r="C134" s="75" t="s">
        <v>3783</v>
      </c>
      <c r="D134" s="33" t="s">
        <v>1038</v>
      </c>
      <c r="E134" s="33" t="str">
        <f>RIGHT(บันทึกนำเข้าDrawing[[#This Row],[Drawing No]],1)</f>
        <v>0</v>
      </c>
      <c r="F134" s="73" t="s">
        <v>3784</v>
      </c>
      <c r="G134" s="118" t="s">
        <v>4029</v>
      </c>
      <c r="H134" s="74"/>
      <c r="I134" s="29" t="str">
        <f>CONCATENATE(บันทึกนำเข้าDrawing[[#This Row],[Part No]],"+",บันทึกนำเข้าDrawing[[#This Row],[Drawing No]])</f>
        <v>2B26-043-08+DR-TW-2B26-043-08-00</v>
      </c>
    </row>
    <row r="135" spans="1:9">
      <c r="A135" s="33">
        <v>134</v>
      </c>
      <c r="B135" s="74">
        <v>43930</v>
      </c>
      <c r="C135" s="75" t="s">
        <v>3824</v>
      </c>
      <c r="D135" s="33" t="s">
        <v>1055</v>
      </c>
      <c r="E135" s="33" t="str">
        <f>RIGHT(บันทึกนำเข้าDrawing[[#This Row],[Drawing No]],1)</f>
        <v>0</v>
      </c>
      <c r="F135" s="73" t="s">
        <v>3825</v>
      </c>
      <c r="G135" s="118" t="s">
        <v>4029</v>
      </c>
      <c r="H135" s="74"/>
      <c r="I135" s="29" t="str">
        <f>CONCATENATE(บันทึกนำเข้าDrawing[[#This Row],[Part No]],"+",บันทึกนำเข้าDrawing[[#This Row],[Drawing No]])</f>
        <v>2B26-051-03+DR-TW-2B26-051-03-00</v>
      </c>
    </row>
    <row r="136" spans="1:9">
      <c r="A136" s="33">
        <v>135</v>
      </c>
      <c r="B136" s="74">
        <v>43930</v>
      </c>
      <c r="C136" s="75" t="s">
        <v>3627</v>
      </c>
      <c r="D136" s="33" t="s">
        <v>1060</v>
      </c>
      <c r="E136" s="33" t="str">
        <f>RIGHT(บันทึกนำเข้าDrawing[[#This Row],[Drawing No]],1)</f>
        <v>0</v>
      </c>
      <c r="F136" s="73" t="s">
        <v>3826</v>
      </c>
      <c r="G136" s="118" t="s">
        <v>4027</v>
      </c>
      <c r="H136" s="74">
        <v>44060</v>
      </c>
      <c r="I136" s="29" t="str">
        <f>CONCATENATE(บันทึกนำเข้าDrawing[[#This Row],[Part No]],"+",บันทึกนำเข้าDrawing[[#This Row],[Drawing No]])</f>
        <v>2B26-052-02+DR-TW-2B26-052-02-00</v>
      </c>
    </row>
    <row r="137" spans="1:9">
      <c r="A137" s="33">
        <v>136</v>
      </c>
      <c r="B137" s="74">
        <v>43930</v>
      </c>
      <c r="C137" s="75" t="s">
        <v>3827</v>
      </c>
      <c r="D137" s="33" t="s">
        <v>3828</v>
      </c>
      <c r="E137" s="33" t="str">
        <f>RIGHT(บันทึกนำเข้าDrawing[[#This Row],[Drawing No]],1)</f>
        <v>0</v>
      </c>
      <c r="F137" s="73" t="s">
        <v>3829</v>
      </c>
      <c r="G137" s="118" t="s">
        <v>4029</v>
      </c>
      <c r="H137" s="74"/>
      <c r="I137" s="29" t="str">
        <f>CONCATENATE(บันทึกนำเข้าDrawing[[#This Row],[Part No]],"+",บันทึกนำเข้าDrawing[[#This Row],[Drawing No]])</f>
        <v>2B26-055-02+DR-TW-2B26-055-02-00</v>
      </c>
    </row>
    <row r="138" spans="1:9">
      <c r="A138" s="33">
        <v>137</v>
      </c>
      <c r="B138" s="74">
        <v>43930</v>
      </c>
      <c r="C138" s="75" t="s">
        <v>3307</v>
      </c>
      <c r="D138" s="33" t="s">
        <v>1125</v>
      </c>
      <c r="E138" s="33" t="str">
        <f>RIGHT(บันทึกนำเข้าDrawing[[#This Row],[Drawing No]],1)</f>
        <v>0</v>
      </c>
      <c r="F138" s="73" t="s">
        <v>3830</v>
      </c>
      <c r="G138" s="118" t="s">
        <v>4029</v>
      </c>
      <c r="H138" s="74"/>
      <c r="I138" s="29" t="str">
        <f>CONCATENATE(บันทึกนำเข้าDrawing[[#This Row],[Part No]],"+",บันทึกนำเข้าDrawing[[#This Row],[Drawing No]])</f>
        <v>2B26-122-06+DR-TW-2B26-122-06-00</v>
      </c>
    </row>
    <row r="139" spans="1:9">
      <c r="A139" s="33">
        <v>138</v>
      </c>
      <c r="B139" s="74">
        <v>43930</v>
      </c>
      <c r="C139" s="75" t="s">
        <v>3831</v>
      </c>
      <c r="D139" s="33" t="s">
        <v>3832</v>
      </c>
      <c r="E139" s="33" t="str">
        <f>RIGHT(บันทึกนำเข้าDrawing[[#This Row],[Drawing No]],1)</f>
        <v>0</v>
      </c>
      <c r="F139" s="73" t="s">
        <v>3833</v>
      </c>
      <c r="G139" s="118" t="s">
        <v>4029</v>
      </c>
      <c r="H139" s="74"/>
      <c r="I139" s="29" t="str">
        <f>CONCATENATE(บันทึกนำเข้าDrawing[[#This Row],[Part No]],"+",บันทึกนำเข้าDrawing[[#This Row],[Drawing No]])</f>
        <v>2B26-126-0I+DR-TW-2B26-126-0I-00</v>
      </c>
    </row>
    <row r="140" spans="1:9">
      <c r="A140" s="33">
        <v>139</v>
      </c>
      <c r="B140" s="74">
        <v>43930</v>
      </c>
      <c r="C140" s="75" t="s">
        <v>3834</v>
      </c>
      <c r="D140" s="33" t="s">
        <v>1146</v>
      </c>
      <c r="E140" s="33" t="str">
        <f>RIGHT(บันทึกนำเข้าDrawing[[#This Row],[Drawing No]],1)</f>
        <v>0</v>
      </c>
      <c r="F140" s="73" t="s">
        <v>3833</v>
      </c>
      <c r="G140" s="118" t="s">
        <v>4029</v>
      </c>
      <c r="H140" s="74"/>
      <c r="I140" s="29" t="str">
        <f>CONCATENATE(บันทึกนำเข้าDrawing[[#This Row],[Part No]],"+",บันทึกนำเข้าDrawing[[#This Row],[Drawing No]])</f>
        <v>2B26-132-01+DR-TW-2B26-132-01-00</v>
      </c>
    </row>
    <row r="141" spans="1:9">
      <c r="A141" s="33">
        <v>140</v>
      </c>
      <c r="B141" s="74">
        <v>43930</v>
      </c>
      <c r="C141" s="75" t="s">
        <v>3734</v>
      </c>
      <c r="D141" s="33" t="s">
        <v>1242</v>
      </c>
      <c r="E141" s="33" t="str">
        <f>RIGHT(บันทึกนำเข้าDrawing[[#This Row],[Drawing No]],1)</f>
        <v>1</v>
      </c>
      <c r="F141" s="73" t="s">
        <v>3858</v>
      </c>
      <c r="G141" s="118" t="s">
        <v>4029</v>
      </c>
      <c r="H141" s="74">
        <v>43937</v>
      </c>
      <c r="I141" s="29" t="str">
        <f>CONCATENATE(บันทึกนำเข้าDrawing[[#This Row],[Part No]],"+",บันทึกนำเข้าDrawing[[#This Row],[Drawing No]])</f>
        <v>2B26-235-03+DR-TW-2B26-235-03-01</v>
      </c>
    </row>
    <row r="142" spans="1:9">
      <c r="A142" s="33">
        <v>141</v>
      </c>
      <c r="B142" s="74">
        <v>43930</v>
      </c>
      <c r="C142" s="75" t="s">
        <v>3836</v>
      </c>
      <c r="D142" s="33" t="s">
        <v>3837</v>
      </c>
      <c r="E142" s="33" t="str">
        <f>RIGHT(บันทึกนำเข้าDrawing[[#This Row],[Drawing No]],1)</f>
        <v>0</v>
      </c>
      <c r="F142" s="73" t="s">
        <v>3838</v>
      </c>
      <c r="G142" s="118" t="s">
        <v>3779</v>
      </c>
      <c r="H142" s="74"/>
      <c r="I142" s="29" t="str">
        <f>CONCATENATE(บันทึกนำเข้าDrawing[[#This Row],[Part No]],"+",บันทึกนำเข้าDrawing[[#This Row],[Drawing No]])</f>
        <v>2B26-262-03+DR-TW-2B26-262-03-00</v>
      </c>
    </row>
    <row r="143" spans="1:9">
      <c r="A143" s="33">
        <v>142</v>
      </c>
      <c r="B143" s="74">
        <v>43931</v>
      </c>
      <c r="C143" s="75" t="s">
        <v>3839</v>
      </c>
      <c r="D143" s="33" t="s">
        <v>3840</v>
      </c>
      <c r="E143" s="33" t="str">
        <f>RIGHT(บันทึกนำเข้าDrawing[[#This Row],[Drawing No]],1)</f>
        <v>0</v>
      </c>
      <c r="F143" s="73" t="s">
        <v>3841</v>
      </c>
      <c r="G143" s="118" t="s">
        <v>4029</v>
      </c>
      <c r="H143" s="74"/>
      <c r="I143" s="29" t="str">
        <f>CONCATENATE(บันทึกนำเข้าDrawing[[#This Row],[Part No]],"+",บันทึกนำเข้าDrawing[[#This Row],[Drawing No]])</f>
        <v>2B26-123-06+DR-TW-2B26-123-06-00</v>
      </c>
    </row>
    <row r="144" spans="1:9">
      <c r="A144" s="33">
        <v>143</v>
      </c>
      <c r="B144" s="74">
        <v>43931</v>
      </c>
      <c r="C144" s="75" t="s">
        <v>3842</v>
      </c>
      <c r="D144" s="33" t="s">
        <v>3843</v>
      </c>
      <c r="E144" s="33" t="str">
        <f>RIGHT(บันทึกนำเข้าDrawing[[#This Row],[Drawing No]],1)</f>
        <v>0</v>
      </c>
      <c r="F144" s="73" t="s">
        <v>3841</v>
      </c>
      <c r="G144" s="118" t="s">
        <v>4029</v>
      </c>
      <c r="H144" s="74"/>
      <c r="I144" s="29" t="str">
        <f>CONCATENATE(บันทึกนำเข้าDrawing[[#This Row],[Part No]],"+",บันทึกนำเข้าDrawing[[#This Row],[Drawing No]])</f>
        <v>2B26-130-03+DR-TW-2B26-130-03-00</v>
      </c>
    </row>
    <row r="145" spans="1:9">
      <c r="A145" s="33">
        <v>144</v>
      </c>
      <c r="B145" s="71">
        <v>43931</v>
      </c>
      <c r="C145" s="86" t="s">
        <v>3721</v>
      </c>
      <c r="D145" s="33" t="s">
        <v>1070</v>
      </c>
      <c r="E145" s="33" t="str">
        <f>RIGHT(บันทึกนำเข้าDrawing[[#This Row],[Drawing No]],1)</f>
        <v>0</v>
      </c>
      <c r="F145" s="10" t="s">
        <v>4847</v>
      </c>
      <c r="G145" s="118" t="s">
        <v>4029</v>
      </c>
      <c r="H145" s="74">
        <v>43931</v>
      </c>
      <c r="I145" s="29" t="str">
        <f>CONCATENATE(บันทึกนำเข้าDrawing[[#This Row],[Part No]],"+",บันทึกนำเข้าDrawing[[#This Row],[Drawing No]])</f>
        <v>2B26-064-03+DR-TW-2B26-064-03-00</v>
      </c>
    </row>
    <row r="146" spans="1:9">
      <c r="A146" s="33">
        <v>145</v>
      </c>
      <c r="B146" s="74">
        <v>43935</v>
      </c>
      <c r="C146" s="75" t="s">
        <v>4042</v>
      </c>
      <c r="D146" s="33" t="s">
        <v>1729</v>
      </c>
      <c r="E146" s="33" t="str">
        <f>RIGHT(บันทึกนำเข้าDrawing[[#This Row],[Drawing No]],1)</f>
        <v>0</v>
      </c>
      <c r="F146" s="73" t="s">
        <v>3844</v>
      </c>
      <c r="G146" s="118" t="s">
        <v>3772</v>
      </c>
      <c r="H146" s="74"/>
      <c r="I146" s="29" t="str">
        <f>CONCATENATE(บันทึกนำเข้าDrawing[[#This Row],[Part No]],"+",บันทึกนำเข้าDrawing[[#This Row],[Drawing No]])</f>
        <v>2B29-129-03+DR-TW-2B29-129-03-00</v>
      </c>
    </row>
    <row r="147" spans="1:9">
      <c r="A147" s="33">
        <v>146</v>
      </c>
      <c r="B147" s="74">
        <v>43935</v>
      </c>
      <c r="C147" s="75" t="s">
        <v>4043</v>
      </c>
      <c r="D147" s="33" t="s">
        <v>1732</v>
      </c>
      <c r="E147" s="33" t="str">
        <f>RIGHT(บันทึกนำเข้าDrawing[[#This Row],[Drawing No]],1)</f>
        <v>0</v>
      </c>
      <c r="F147" s="73" t="s">
        <v>3845</v>
      </c>
      <c r="G147" s="118" t="s">
        <v>3772</v>
      </c>
      <c r="H147" s="74"/>
      <c r="I147" s="29" t="str">
        <f>CONCATENATE(บันทึกนำเข้าDrawing[[#This Row],[Part No]],"+",บันทึกนำเข้าDrawing[[#This Row],[Drawing No]])</f>
        <v>2B29-143-02+DR-TW-2B29-143-02-00</v>
      </c>
    </row>
    <row r="148" spans="1:9">
      <c r="A148" s="33">
        <v>147</v>
      </c>
      <c r="B148" s="74">
        <v>43935</v>
      </c>
      <c r="C148" s="75" t="s">
        <v>4044</v>
      </c>
      <c r="D148" s="33" t="s">
        <v>1733</v>
      </c>
      <c r="E148" s="33" t="str">
        <f>RIGHT(บันทึกนำเข้าDrawing[[#This Row],[Drawing No]],1)</f>
        <v>0</v>
      </c>
      <c r="F148" s="73" t="s">
        <v>3846</v>
      </c>
      <c r="G148" s="118" t="s">
        <v>3772</v>
      </c>
      <c r="H148" s="74"/>
      <c r="I148" s="29" t="str">
        <f>CONCATENATE(บันทึกนำเข้าDrawing[[#This Row],[Part No]],"+",บันทึกนำเข้าDrawing[[#This Row],[Drawing No]])</f>
        <v>2B29-146-02+DR-TW-2B29-146-02-00</v>
      </c>
    </row>
    <row r="149" spans="1:9">
      <c r="A149" s="33">
        <v>148</v>
      </c>
      <c r="B149" s="74">
        <v>43935</v>
      </c>
      <c r="C149" s="75" t="s">
        <v>4045</v>
      </c>
      <c r="D149" s="33" t="s">
        <v>1760</v>
      </c>
      <c r="E149" s="33" t="str">
        <f>RIGHT(บันทึกนำเข้าDrawing[[#This Row],[Drawing No]],1)</f>
        <v>0</v>
      </c>
      <c r="F149" s="73" t="s">
        <v>3847</v>
      </c>
      <c r="G149" s="118" t="s">
        <v>3772</v>
      </c>
      <c r="H149" s="74"/>
      <c r="I149" s="29" t="str">
        <f>CONCATENATE(บันทึกนำเข้าDrawing[[#This Row],[Part No]],"+",บันทึกนำเข้าDrawing[[#This Row],[Drawing No]])</f>
        <v>2B29-340-02+DR-TW-2B29-340-02-00</v>
      </c>
    </row>
    <row r="150" spans="1:9">
      <c r="A150" s="33">
        <v>149</v>
      </c>
      <c r="B150" s="77">
        <v>43935</v>
      </c>
      <c r="C150" s="78" t="s">
        <v>4046</v>
      </c>
      <c r="D150" s="33" t="s">
        <v>1761</v>
      </c>
      <c r="E150" s="33" t="str">
        <f>RIGHT(บันทึกนำเข้าDrawing[[#This Row],[Drawing No]],1)</f>
        <v>0</v>
      </c>
      <c r="F150" s="79" t="s">
        <v>3848</v>
      </c>
      <c r="G150" s="118" t="s">
        <v>3772</v>
      </c>
      <c r="H150" s="77"/>
      <c r="I150" s="29" t="str">
        <f>CONCATENATE(บันทึกนำเข้าDrawing[[#This Row],[Part No]],"+",บันทึกนำเข้าDrawing[[#This Row],[Drawing No]])</f>
        <v>2B29-341-01+DR-TW-2B29-341-01-00</v>
      </c>
    </row>
    <row r="151" spans="1:9">
      <c r="A151" s="33">
        <v>150</v>
      </c>
      <c r="B151" s="74">
        <v>43935</v>
      </c>
      <c r="C151" s="75" t="s">
        <v>4047</v>
      </c>
      <c r="D151" s="33" t="s">
        <v>1762</v>
      </c>
      <c r="E151" s="33" t="str">
        <f>RIGHT(บันทึกนำเข้าDrawing[[#This Row],[Drawing No]],1)</f>
        <v>0</v>
      </c>
      <c r="F151" s="73" t="s">
        <v>3849</v>
      </c>
      <c r="G151" s="118" t="s">
        <v>3772</v>
      </c>
      <c r="H151" s="74"/>
      <c r="I151" s="29" t="str">
        <f>CONCATENATE(บันทึกนำเข้าDrawing[[#This Row],[Part No]],"+",บันทึกนำเข้าDrawing[[#This Row],[Drawing No]])</f>
        <v>2B29-342-01+DR-TW-2B29-342-01-00</v>
      </c>
    </row>
    <row r="152" spans="1:9">
      <c r="A152" s="33">
        <v>151</v>
      </c>
      <c r="B152" s="74">
        <v>43935</v>
      </c>
      <c r="C152" s="75" t="s">
        <v>4048</v>
      </c>
      <c r="D152" s="33" t="s">
        <v>1763</v>
      </c>
      <c r="E152" s="33" t="str">
        <f>RIGHT(บันทึกนำเข้าDrawing[[#This Row],[Drawing No]],1)</f>
        <v>0</v>
      </c>
      <c r="F152" s="73" t="s">
        <v>3850</v>
      </c>
      <c r="G152" s="118" t="s">
        <v>3772</v>
      </c>
      <c r="H152" s="74"/>
      <c r="I152" s="29" t="str">
        <f>CONCATENATE(บันทึกนำเข้าDrawing[[#This Row],[Part No]],"+",บันทึกนำเข้าDrawing[[#This Row],[Drawing No]])</f>
        <v>2B29-343-02+DR-TW-2B29-343-02-00</v>
      </c>
    </row>
    <row r="153" spans="1:9">
      <c r="A153" s="33">
        <v>152</v>
      </c>
      <c r="B153" s="74">
        <v>43935</v>
      </c>
      <c r="C153" s="75" t="s">
        <v>4049</v>
      </c>
      <c r="D153" s="33" t="s">
        <v>1764</v>
      </c>
      <c r="E153" s="33" t="str">
        <f>RIGHT(บันทึกนำเข้าDrawing[[#This Row],[Drawing No]],1)</f>
        <v>0</v>
      </c>
      <c r="F153" s="73" t="s">
        <v>3851</v>
      </c>
      <c r="G153" s="118" t="s">
        <v>3772</v>
      </c>
      <c r="H153" s="74"/>
      <c r="I153" s="29" t="str">
        <f>CONCATENATE(บันทึกนำเข้าDrawing[[#This Row],[Part No]],"+",บันทึกนำเข้าDrawing[[#This Row],[Drawing No]])</f>
        <v>2B29-344-02+DR-TW-2B29-344-02-00</v>
      </c>
    </row>
    <row r="154" spans="1:9">
      <c r="A154" s="33">
        <v>153</v>
      </c>
      <c r="B154" s="74">
        <v>43943</v>
      </c>
      <c r="C154" s="75" t="s">
        <v>3852</v>
      </c>
      <c r="D154" s="33" t="s">
        <v>1292</v>
      </c>
      <c r="E154" s="33" t="str">
        <f>RIGHT(บันทึกนำเข้าDrawing[[#This Row],[Drawing No]],1)</f>
        <v>0</v>
      </c>
      <c r="F154" s="73" t="s">
        <v>3853</v>
      </c>
      <c r="G154" s="118" t="s">
        <v>4027</v>
      </c>
      <c r="H154" s="74">
        <v>43944</v>
      </c>
      <c r="I154" s="29" t="str">
        <f>CONCATENATE(บันทึกนำเข้าDrawing[[#This Row],[Part No]],"+",บันทึกนำเข้าDrawing[[#This Row],[Drawing No]])</f>
        <v>2B26-257-02+DR-TW-2B26-257-02-00</v>
      </c>
    </row>
    <row r="155" spans="1:9">
      <c r="A155" s="33">
        <v>154</v>
      </c>
      <c r="B155" s="74">
        <v>43948</v>
      </c>
      <c r="C155" s="75" t="s">
        <v>3854</v>
      </c>
      <c r="D155" s="33" t="s">
        <v>1056</v>
      </c>
      <c r="E155" s="33" t="str">
        <f>RIGHT(บันทึกนำเข้าDrawing[[#This Row],[Drawing No]],1)</f>
        <v>0</v>
      </c>
      <c r="F155" s="73" t="s">
        <v>3855</v>
      </c>
      <c r="G155" s="118" t="s">
        <v>4029</v>
      </c>
      <c r="H155" s="74"/>
      <c r="I155" s="29" t="str">
        <f>CONCATENATE(บันทึกนำเข้าDrawing[[#This Row],[Part No]],"+",บันทึกนำเข้าDrawing[[#This Row],[Drawing No]])</f>
        <v>2B26-051-04+DR-TW-2B26-051-04-00</v>
      </c>
    </row>
    <row r="156" spans="1:9">
      <c r="A156" s="33">
        <v>155</v>
      </c>
      <c r="B156" s="74">
        <v>43948</v>
      </c>
      <c r="C156" s="75" t="s">
        <v>3856</v>
      </c>
      <c r="D156" s="33" t="s">
        <v>1064</v>
      </c>
      <c r="E156" s="33" t="str">
        <f>RIGHT(บันทึกนำเข้าDrawing[[#This Row],[Drawing No]],1)</f>
        <v>0</v>
      </c>
      <c r="F156" s="73" t="s">
        <v>3829</v>
      </c>
      <c r="G156" s="118" t="s">
        <v>4029</v>
      </c>
      <c r="H156" s="74"/>
      <c r="I156" s="29" t="str">
        <f>CONCATENATE(บันทึกนำเข้าDrawing[[#This Row],[Part No]],"+",บันทึกนำเข้าDrawing[[#This Row],[Drawing No]])</f>
        <v>2B26-055-03+DR-TW-2B26-055-03-00</v>
      </c>
    </row>
    <row r="157" spans="1:9">
      <c r="A157" s="33">
        <v>156</v>
      </c>
      <c r="B157" s="74">
        <v>43948</v>
      </c>
      <c r="C157" s="75" t="s">
        <v>3614</v>
      </c>
      <c r="D157" s="33" t="s">
        <v>1137</v>
      </c>
      <c r="E157" s="33" t="str">
        <f>RIGHT(บันทึกนำเข้าDrawing[[#This Row],[Drawing No]],1)</f>
        <v>0</v>
      </c>
      <c r="F157" s="73" t="s">
        <v>3810</v>
      </c>
      <c r="G157" s="118" t="s">
        <v>4029</v>
      </c>
      <c r="H157" s="74"/>
      <c r="I157" s="29" t="str">
        <f>CONCATENATE(บันทึกนำเข้าDrawing[[#This Row],[Part No]],"+",บันทึกนำเข้าDrawing[[#This Row],[Drawing No]])</f>
        <v>2B26-126-0J+DR-TW-2B26-126-0J-00</v>
      </c>
    </row>
    <row r="158" spans="1:9">
      <c r="A158" s="33">
        <v>157</v>
      </c>
      <c r="B158" s="77">
        <v>43948</v>
      </c>
      <c r="C158" s="78" t="s">
        <v>3876</v>
      </c>
      <c r="D158" s="33" t="s">
        <v>1278</v>
      </c>
      <c r="E158" s="33" t="str">
        <f>RIGHT(บันทึกนำเข้าDrawing[[#This Row],[Drawing No]],1)</f>
        <v>0</v>
      </c>
      <c r="F158" s="79" t="s">
        <v>3877</v>
      </c>
      <c r="G158" s="118" t="s">
        <v>4029</v>
      </c>
      <c r="H158" s="77"/>
      <c r="I158" s="29" t="str">
        <f>CONCATENATE(บันทึกนำเข้าDrawing[[#This Row],[Part No]],"+",บันทึกนำเข้าDrawing[[#This Row],[Drawing No]])</f>
        <v>2B26-252-00+DR-TW-2B26-252-00-00</v>
      </c>
    </row>
    <row r="159" spans="1:9">
      <c r="A159" s="33">
        <v>158</v>
      </c>
      <c r="B159" s="74">
        <v>43948</v>
      </c>
      <c r="C159" s="75" t="s">
        <v>3859</v>
      </c>
      <c r="D159" s="33" t="s">
        <v>1328</v>
      </c>
      <c r="E159" s="33" t="str">
        <f>RIGHT(บันทึกนำเข้าDrawing[[#This Row],[Drawing No]],1)</f>
        <v>0</v>
      </c>
      <c r="F159" s="73" t="s">
        <v>4159</v>
      </c>
      <c r="G159" s="118" t="s">
        <v>4029</v>
      </c>
      <c r="H159" s="74"/>
      <c r="I159" s="29" t="str">
        <f>CONCATENATE(บันทึกนำเข้าDrawing[[#This Row],[Part No]],"+",บันทึกนำเข้าDrawing[[#This Row],[Drawing No]])</f>
        <v>2B26-276-00+DR-TW-2B26-276-00-00</v>
      </c>
    </row>
    <row r="160" spans="1:9">
      <c r="A160" s="33">
        <v>159</v>
      </c>
      <c r="B160" s="71">
        <v>43948</v>
      </c>
      <c r="C160" s="72" t="s">
        <v>3717</v>
      </c>
      <c r="D160" s="33" t="s">
        <v>1219</v>
      </c>
      <c r="E160" s="33" t="str">
        <f>RIGHT(บันทึกนำเข้าDrawing[[#This Row],[Drawing No]],1)</f>
        <v>0</v>
      </c>
      <c r="F160" s="10" t="s">
        <v>4855</v>
      </c>
      <c r="G160" s="118" t="s">
        <v>4029</v>
      </c>
      <c r="H160" s="74">
        <v>44112</v>
      </c>
      <c r="I160" s="29" t="str">
        <f>CONCATENATE(บันทึกนำเข้าDrawing[[#This Row],[Part No]],"+",บันทึกนำเข้าDrawing[[#This Row],[Drawing No]])</f>
        <v>2B26-228-01+DR-TW-2B26-228-01-00</v>
      </c>
    </row>
    <row r="161" spans="1:9">
      <c r="A161" s="33">
        <v>160</v>
      </c>
      <c r="B161" s="74">
        <v>43950</v>
      </c>
      <c r="C161" s="75" t="s">
        <v>3860</v>
      </c>
      <c r="D161" s="33" t="s">
        <v>3861</v>
      </c>
      <c r="E161" s="33" t="str">
        <f>RIGHT(บันทึกนำเข้าDrawing[[#This Row],[Drawing No]],1)</f>
        <v>0</v>
      </c>
      <c r="F161" s="73" t="s">
        <v>3862</v>
      </c>
      <c r="G161" s="118" t="s">
        <v>4029</v>
      </c>
      <c r="H161" s="74"/>
      <c r="I161" s="29" t="str">
        <f>CONCATENATE(บันทึกนำเข้าDrawing[[#This Row],[Part No]],"+",บันทึกนำเข้าDrawing[[#This Row],[Drawing No]])</f>
        <v>2B26-048-02+DR-TW-2B26-048-02-00</v>
      </c>
    </row>
    <row r="162" spans="1:9">
      <c r="A162" s="33">
        <v>161</v>
      </c>
      <c r="B162" s="74">
        <v>43950</v>
      </c>
      <c r="C162" s="75" t="s">
        <v>3863</v>
      </c>
      <c r="D162" s="33" t="s">
        <v>3864</v>
      </c>
      <c r="E162" s="33" t="str">
        <f>RIGHT(บันทึกนำเข้าDrawing[[#This Row],[Drawing No]],1)</f>
        <v>0</v>
      </c>
      <c r="F162" s="73" t="s">
        <v>3865</v>
      </c>
      <c r="G162" s="118" t="s">
        <v>4027</v>
      </c>
      <c r="H162" s="74">
        <v>45437</v>
      </c>
      <c r="I162" s="29" t="str">
        <f>CONCATENATE(บันทึกนำเข้าDrawing[[#This Row],[Part No]],"+",บันทึกนำเข้าDrawing[[#This Row],[Drawing No]])</f>
        <v>2B26-049-07+DR-TW-2B26-049-07-00</v>
      </c>
    </row>
    <row r="163" spans="1:9">
      <c r="A163" s="33">
        <v>162</v>
      </c>
      <c r="B163" s="74">
        <v>43950</v>
      </c>
      <c r="C163" s="75" t="s">
        <v>3867</v>
      </c>
      <c r="D163" s="33" t="s">
        <v>3868</v>
      </c>
      <c r="E163" s="33" t="str">
        <f>RIGHT(บันทึกนำเข้าDrawing[[#This Row],[Drawing No]],1)</f>
        <v>0</v>
      </c>
      <c r="F163" s="73" t="s">
        <v>3869</v>
      </c>
      <c r="G163" s="118" t="s">
        <v>4029</v>
      </c>
      <c r="H163" s="74"/>
      <c r="I163" s="29" t="str">
        <f>CONCATENATE(บันทึกนำเข้าDrawing[[#This Row],[Part No]],"+",บันทึกนำเข้าDrawing[[#This Row],[Drawing No]])</f>
        <v>2B26-050-05+DR-TW-2B26-050-05-00</v>
      </c>
    </row>
    <row r="164" spans="1:9">
      <c r="A164" s="33">
        <v>163</v>
      </c>
      <c r="B164" s="74">
        <v>43950</v>
      </c>
      <c r="C164" s="75" t="s">
        <v>4050</v>
      </c>
      <c r="D164" s="33" t="s">
        <v>4116</v>
      </c>
      <c r="E164" s="33" t="str">
        <f>RIGHT(บันทึกนำเข้าDrawing[[#This Row],[Drawing No]],1)</f>
        <v>0</v>
      </c>
      <c r="F164" s="73" t="s">
        <v>3866</v>
      </c>
      <c r="G164" s="118" t="s">
        <v>4029</v>
      </c>
      <c r="H164" s="74"/>
      <c r="I164" s="29" t="str">
        <f>CONCATENATE(บันทึกนำเข้าDrawing[[#This Row],[Part No]],"+",บันทึกนำเข้าDrawing[[#This Row],[Drawing No]])</f>
        <v>2B69M009-00+DR-TW-2B69M009-00-00</v>
      </c>
    </row>
    <row r="165" spans="1:9">
      <c r="A165" s="33">
        <v>164</v>
      </c>
      <c r="B165" s="74">
        <v>43958</v>
      </c>
      <c r="C165" s="75" t="s">
        <v>3621</v>
      </c>
      <c r="D165" s="33" t="s">
        <v>1020</v>
      </c>
      <c r="E165" s="33" t="str">
        <f>RIGHT(บันทึกนำเข้าDrawing[[#This Row],[Drawing No]],1)</f>
        <v>0</v>
      </c>
      <c r="F165" s="73" t="s">
        <v>3870</v>
      </c>
      <c r="G165" s="118" t="s">
        <v>4027</v>
      </c>
      <c r="H165" s="74">
        <v>43955</v>
      </c>
      <c r="I165" s="29" t="str">
        <f>CONCATENATE(บันทึกนำเข้าDrawing[[#This Row],[Part No]],"+",บันทึกนำเข้าDrawing[[#This Row],[Drawing No]])</f>
        <v>2B26-003-04+DR-TW-2B26-003-04-00</v>
      </c>
    </row>
    <row r="166" spans="1:9">
      <c r="A166" s="33">
        <v>165</v>
      </c>
      <c r="B166" s="74">
        <v>43958</v>
      </c>
      <c r="C166" s="75" t="s">
        <v>3328</v>
      </c>
      <c r="D166" s="33" t="s">
        <v>1126</v>
      </c>
      <c r="E166" s="33" t="str">
        <f>RIGHT(บันทึกนำเข้าDrawing[[#This Row],[Drawing No]],1)</f>
        <v>0</v>
      </c>
      <c r="F166" s="73" t="s">
        <v>3871</v>
      </c>
      <c r="G166" s="118" t="s">
        <v>4029</v>
      </c>
      <c r="H166" s="74">
        <v>43951</v>
      </c>
      <c r="I166" s="29" t="str">
        <f>CONCATENATE(บันทึกนำเข้าDrawing[[#This Row],[Part No]],"+",บันทึกนำเข้าDrawing[[#This Row],[Drawing No]])</f>
        <v>2B26-122-07+DR-TW-2B26-122-07-00</v>
      </c>
    </row>
    <row r="167" spans="1:9">
      <c r="A167" s="33">
        <v>166</v>
      </c>
      <c r="B167" s="74">
        <v>43958</v>
      </c>
      <c r="C167" s="75" t="s">
        <v>3714</v>
      </c>
      <c r="D167" s="33" t="s">
        <v>1129</v>
      </c>
      <c r="E167" s="33" t="str">
        <f>RIGHT(บันทึกนำเข้าDrawing[[#This Row],[Drawing No]],1)</f>
        <v>0</v>
      </c>
      <c r="F167" s="73" t="s">
        <v>3873</v>
      </c>
      <c r="G167" s="118" t="s">
        <v>4029</v>
      </c>
      <c r="H167" s="74">
        <v>44258</v>
      </c>
      <c r="I167" s="29" t="str">
        <f>CONCATENATE(บันทึกนำเข้าDrawing[[#This Row],[Part No]],"+",บันทึกนำเข้าDrawing[[#This Row],[Drawing No]])</f>
        <v>2B26-124-03+DR-TW-2B26-124-03-00</v>
      </c>
    </row>
    <row r="168" spans="1:9">
      <c r="A168" s="33">
        <v>167</v>
      </c>
      <c r="B168" s="74">
        <v>43958</v>
      </c>
      <c r="C168" s="75" t="s">
        <v>3874</v>
      </c>
      <c r="D168" s="33" t="s">
        <v>1144</v>
      </c>
      <c r="E168" s="33" t="str">
        <f>RIGHT(บันทึกนำเข้าDrawing[[#This Row],[Drawing No]],1)</f>
        <v>0</v>
      </c>
      <c r="F168" s="73" t="s">
        <v>3875</v>
      </c>
      <c r="G168" s="118" t="s">
        <v>4029</v>
      </c>
      <c r="H168" s="74"/>
      <c r="I168" s="29" t="str">
        <f>CONCATENATE(บันทึกนำเข้าDrawing[[#This Row],[Part No]],"+",บันทึกนำเข้าDrawing[[#This Row],[Drawing No]])</f>
        <v>2B26-130-04+DR-TW-2B26-130-04-00</v>
      </c>
    </row>
    <row r="169" spans="1:9">
      <c r="A169" s="33">
        <v>168</v>
      </c>
      <c r="B169" s="74">
        <v>43958</v>
      </c>
      <c r="C169" s="75" t="s">
        <v>3812</v>
      </c>
      <c r="D169" s="33" t="s">
        <v>1151</v>
      </c>
      <c r="E169" s="33" t="str">
        <f>RIGHT(บันทึกนำเข้าDrawing[[#This Row],[Drawing No]],1)</f>
        <v>1</v>
      </c>
      <c r="F169" s="73" t="s">
        <v>3813</v>
      </c>
      <c r="G169" s="118" t="s">
        <v>4029</v>
      </c>
      <c r="H169" s="74"/>
      <c r="I169" s="29" t="str">
        <f>CONCATENATE(บันทึกนำเข้าDrawing[[#This Row],[Part No]],"+",บันทึกนำเข้าDrawing[[#This Row],[Drawing No]])</f>
        <v>2B26-142-05+DR-TW-2B26-142-05-01</v>
      </c>
    </row>
    <row r="170" spans="1:9">
      <c r="A170" s="33">
        <v>169</v>
      </c>
      <c r="B170" s="74">
        <v>43958</v>
      </c>
      <c r="C170" s="75" t="s">
        <v>3878</v>
      </c>
      <c r="D170" s="33" t="s">
        <v>3879</v>
      </c>
      <c r="E170" s="33" t="str">
        <f>RIGHT(บันทึกนำเข้าDrawing[[#This Row],[Drawing No]],1)</f>
        <v>0</v>
      </c>
      <c r="F170" s="73" t="s">
        <v>3880</v>
      </c>
      <c r="G170" s="118" t="s">
        <v>4027</v>
      </c>
      <c r="H170" s="74">
        <v>45264</v>
      </c>
      <c r="I170" s="29" t="str">
        <f>CONCATENATE(บันทึกนำเข้าDrawing[[#This Row],[Part No]],"+",บันทึกนำเข้าDrawing[[#This Row],[Drawing No]])</f>
        <v>2B26-262-04+DR-TW-2B26-262-04-00</v>
      </c>
    </row>
    <row r="171" spans="1:9">
      <c r="A171" s="33">
        <v>170</v>
      </c>
      <c r="B171" s="74">
        <v>43958</v>
      </c>
      <c r="C171" s="75" t="s">
        <v>3881</v>
      </c>
      <c r="D171" s="33" t="s">
        <v>1320</v>
      </c>
      <c r="E171" s="33" t="str">
        <f>RIGHT(บันทึกนำเข้าDrawing[[#This Row],[Drawing No]],1)</f>
        <v>0</v>
      </c>
      <c r="F171" s="73" t="s">
        <v>3882</v>
      </c>
      <c r="G171" s="118" t="s">
        <v>4029</v>
      </c>
      <c r="H171" s="74">
        <v>43978</v>
      </c>
      <c r="I171" s="29" t="str">
        <f>CONCATENATE(บันทึกนำเข้าDrawing[[#This Row],[Part No]],"+",บันทึกนำเข้าDrawing[[#This Row],[Drawing No]])</f>
        <v>2B26-272-06+DR-TW-2B26-272-06-00</v>
      </c>
    </row>
    <row r="172" spans="1:9">
      <c r="A172" s="33">
        <v>171</v>
      </c>
      <c r="B172" s="71">
        <v>43964</v>
      </c>
      <c r="C172" s="72" t="s">
        <v>4039</v>
      </c>
      <c r="D172" s="33" t="s">
        <v>462</v>
      </c>
      <c r="E172" s="33" t="str">
        <f>RIGHT(บันทึกนำเข้าDrawing[[#This Row],[Drawing No]],1)</f>
        <v>0</v>
      </c>
      <c r="F172" s="73" t="s">
        <v>4927</v>
      </c>
      <c r="G172" s="118" t="s">
        <v>4027</v>
      </c>
      <c r="H172" s="74">
        <v>43964</v>
      </c>
      <c r="I172" s="29" t="str">
        <f>CONCATENATE(บันทึกนำเข้าDrawing[[#This Row],[Part No]],"+",บันทึกนำเข้าDrawing[[#This Row],[Drawing No]])</f>
        <v>2B04A130-01-R+DR-TW-2B04A120-01-R-00</v>
      </c>
    </row>
    <row r="173" spans="1:9">
      <c r="A173" s="33">
        <v>172</v>
      </c>
      <c r="B173" s="74">
        <v>43965</v>
      </c>
      <c r="C173" s="75" t="s">
        <v>4051</v>
      </c>
      <c r="D173" s="33" t="s">
        <v>4117</v>
      </c>
      <c r="E173" s="33" t="str">
        <f>RIGHT(บันทึกนำเข้าDrawing[[#This Row],[Drawing No]],1)</f>
        <v>0</v>
      </c>
      <c r="F173" s="73" t="s">
        <v>3883</v>
      </c>
      <c r="G173" s="118" t="s">
        <v>4029</v>
      </c>
      <c r="H173" s="74">
        <v>43994</v>
      </c>
      <c r="I173" s="29" t="str">
        <f>CONCATENATE(บันทึกนำเข้าDrawing[[#This Row],[Part No]],"+",บันทึกนำเข้าDrawing[[#This Row],[Drawing No]])</f>
        <v>2B98M674-01+DR-TW-2B98M674-01-00</v>
      </c>
    </row>
    <row r="174" spans="1:9">
      <c r="A174" s="33">
        <v>173</v>
      </c>
      <c r="B174" s="74">
        <v>43972</v>
      </c>
      <c r="C174" s="75" t="s">
        <v>4052</v>
      </c>
      <c r="D174" s="33" t="s">
        <v>759</v>
      </c>
      <c r="E174" s="33" t="str">
        <f>RIGHT(บันทึกนำเข้าDrawing[[#This Row],[Drawing No]],1)</f>
        <v>0</v>
      </c>
      <c r="F174" s="73" t="s">
        <v>3884</v>
      </c>
      <c r="G174" s="118" t="s">
        <v>4027</v>
      </c>
      <c r="H174" s="74">
        <v>43967</v>
      </c>
      <c r="I174" s="29" t="str">
        <f>CONCATENATE(บันทึกนำเข้าDrawing[[#This Row],[Part No]],"+",บันทึกนำเข้าDrawing[[#This Row],[Drawing No]])</f>
        <v>2B25-058-01+DR-TW-2B25-058-01-00</v>
      </c>
    </row>
    <row r="175" spans="1:9">
      <c r="A175" s="33">
        <v>174</v>
      </c>
      <c r="B175" s="74">
        <v>43972</v>
      </c>
      <c r="C175" s="75" t="s">
        <v>3811</v>
      </c>
      <c r="D175" s="33" t="s">
        <v>1137</v>
      </c>
      <c r="E175" s="33" t="str">
        <f>RIGHT(บันทึกนำเข้าDrawing[[#This Row],[Drawing No]],1)</f>
        <v>1</v>
      </c>
      <c r="F175" s="73" t="s">
        <v>3810</v>
      </c>
      <c r="G175" s="118" t="s">
        <v>4029</v>
      </c>
      <c r="H175" s="74">
        <v>43963</v>
      </c>
      <c r="I175" s="29" t="str">
        <f>CONCATENATE(บันทึกนำเข้าDrawing[[#This Row],[Part No]],"+",บันทึกนำเข้าDrawing[[#This Row],[Drawing No]])</f>
        <v>2B26-126-0J+DR-TW-2B26-126-0J-01</v>
      </c>
    </row>
    <row r="176" spans="1:9">
      <c r="A176" s="33">
        <v>175</v>
      </c>
      <c r="B176" s="74">
        <v>43972</v>
      </c>
      <c r="C176" s="75" t="s">
        <v>3321</v>
      </c>
      <c r="D176" s="33" t="s">
        <v>1230</v>
      </c>
      <c r="E176" s="33" t="str">
        <f>RIGHT(บันทึกนำเข้าDrawing[[#This Row],[Drawing No]],1)</f>
        <v>0</v>
      </c>
      <c r="F176" s="73" t="s">
        <v>3887</v>
      </c>
      <c r="G176" s="118" t="s">
        <v>4029</v>
      </c>
      <c r="H176" s="74">
        <v>43978</v>
      </c>
      <c r="I176" s="29" t="str">
        <f>CONCATENATE(บันทึกนำเข้าDrawing[[#This Row],[Part No]],"+",บันทึกนำเข้าDrawing[[#This Row],[Drawing No]])</f>
        <v>2B26-231-04+DR-TW-2B26-231-04-00</v>
      </c>
    </row>
    <row r="177" spans="1:9">
      <c r="A177" s="33">
        <v>176</v>
      </c>
      <c r="B177" s="74">
        <v>43972</v>
      </c>
      <c r="C177" s="75" t="s">
        <v>3727</v>
      </c>
      <c r="D177" s="33" t="s">
        <v>1327</v>
      </c>
      <c r="E177" s="33" t="str">
        <f>RIGHT(บันทึกนำเข้าDrawing[[#This Row],[Drawing No]],1)</f>
        <v>0</v>
      </c>
      <c r="F177" s="73" t="s">
        <v>3889</v>
      </c>
      <c r="G177" s="118" t="s">
        <v>4029</v>
      </c>
      <c r="H177" s="74">
        <v>43983</v>
      </c>
      <c r="I177" s="29" t="str">
        <f>CONCATENATE(บันทึกนำเข้าDrawing[[#This Row],[Part No]],"+",บันทึกนำเข้าDrawing[[#This Row],[Drawing No]])</f>
        <v>2B26-274-05+DR-TW-2B26-274-05-00</v>
      </c>
    </row>
    <row r="178" spans="1:9">
      <c r="B178" s="99">
        <v>42948</v>
      </c>
      <c r="C178" s="82" t="s">
        <v>6024</v>
      </c>
      <c r="D178" s="33" t="s">
        <v>1428</v>
      </c>
      <c r="E178" s="33" t="str">
        <f>RIGHT(บันทึกนำเข้าDrawing[[#This Row],[Drawing No]],1)</f>
        <v>2</v>
      </c>
      <c r="F178" s="79" t="s">
        <v>2641</v>
      </c>
      <c r="G178" s="118" t="s">
        <v>4027</v>
      </c>
      <c r="H178" s="74">
        <v>45320</v>
      </c>
      <c r="I178" s="29" t="str">
        <f>CONCATENATE(บันทึกนำเข้าDrawing[[#This Row],[Part No]],"+",บันทึกนำเข้าDrawing[[#This Row],[Drawing No]])</f>
        <v>2B27-302-00+DR-TW-2B27-301-00-02</v>
      </c>
    </row>
    <row r="179" spans="1:9">
      <c r="A179" s="33">
        <v>178</v>
      </c>
      <c r="B179" s="74">
        <v>43976</v>
      </c>
      <c r="C179" s="75" t="s">
        <v>4054</v>
      </c>
      <c r="D179" s="33" t="s">
        <v>4118</v>
      </c>
      <c r="E179" s="33" t="str">
        <f>RIGHT(บันทึกนำเข้าDrawing[[#This Row],[Drawing No]],1)</f>
        <v>0</v>
      </c>
      <c r="F179" s="73" t="s">
        <v>3890</v>
      </c>
      <c r="G179" s="118" t="s">
        <v>4029</v>
      </c>
      <c r="H179" s="74"/>
      <c r="I179" s="29" t="str">
        <f>CONCATENATE(บันทึกนำเข้าDrawing[[#This Row],[Part No]],"+",บันทึกนำเข้าDrawing[[#This Row],[Drawing No]])</f>
        <v>2B24-225-04+DR-TW-2B24-225-04-00</v>
      </c>
    </row>
    <row r="180" spans="1:9">
      <c r="A180" s="33">
        <v>179</v>
      </c>
      <c r="B180" s="74">
        <v>43976</v>
      </c>
      <c r="C180" s="75" t="s">
        <v>4055</v>
      </c>
      <c r="D180" s="33" t="s">
        <v>4119</v>
      </c>
      <c r="E180" s="33" t="str">
        <f>RIGHT(บันทึกนำเข้าDrawing[[#This Row],[Drawing No]],1)</f>
        <v>0</v>
      </c>
      <c r="F180" s="73" t="s">
        <v>3891</v>
      </c>
      <c r="G180" s="118" t="s">
        <v>4029</v>
      </c>
      <c r="H180" s="74"/>
      <c r="I180" s="29" t="str">
        <f>CONCATENATE(บันทึกนำเข้าDrawing[[#This Row],[Part No]],"+",บันทึกนำเข้าDrawing[[#This Row],[Drawing No]])</f>
        <v>2B24-229-03+DR-TW-2B24-229-03-00</v>
      </c>
    </row>
    <row r="181" spans="1:9">
      <c r="A181" s="33">
        <v>180</v>
      </c>
      <c r="B181" s="74">
        <v>43976</v>
      </c>
      <c r="C181" s="75" t="s">
        <v>3892</v>
      </c>
      <c r="D181" s="33" t="s">
        <v>1297</v>
      </c>
      <c r="E181" s="33" t="str">
        <f>RIGHT(บันทึกนำเข้าDrawing[[#This Row],[Drawing No]],1)</f>
        <v>0</v>
      </c>
      <c r="F181" s="73" t="s">
        <v>3893</v>
      </c>
      <c r="G181" s="118" t="s">
        <v>4029</v>
      </c>
      <c r="H181" s="74">
        <v>43978</v>
      </c>
      <c r="I181" s="29" t="str">
        <f>CONCATENATE(บันทึกนำเข้าDrawing[[#This Row],[Part No]],"+",บันทึกนำเข้าDrawing[[#This Row],[Drawing No]])</f>
        <v>2B26-260-01+DR-TW-2B26-260-01-00</v>
      </c>
    </row>
    <row r="182" spans="1:9">
      <c r="A182" s="33">
        <v>181</v>
      </c>
      <c r="B182" s="74">
        <v>43980</v>
      </c>
      <c r="C182" s="75" t="s">
        <v>3895</v>
      </c>
      <c r="D182" s="33" t="s">
        <v>1205</v>
      </c>
      <c r="E182" s="33" t="str">
        <f>RIGHT(บันทึกนำเข้าDrawing[[#This Row],[Drawing No]],1)</f>
        <v>0</v>
      </c>
      <c r="F182" s="73" t="s">
        <v>3896</v>
      </c>
      <c r="G182" s="118" t="s">
        <v>4029</v>
      </c>
      <c r="H182" s="74">
        <v>43986</v>
      </c>
      <c r="I182" s="29" t="str">
        <f>CONCATENATE(บันทึกนำเข้าDrawing[[#This Row],[Part No]],"+",บันทึกนำเข้าDrawing[[#This Row],[Drawing No]])</f>
        <v>2B26-219-03+DR-TW-2B26-219-03-00</v>
      </c>
    </row>
    <row r="183" spans="1:9">
      <c r="A183" s="33">
        <v>182</v>
      </c>
      <c r="B183" s="74">
        <v>43980</v>
      </c>
      <c r="C183" s="75" t="s">
        <v>4057</v>
      </c>
      <c r="D183" s="33" t="s">
        <v>4120</v>
      </c>
      <c r="E183" s="33" t="str">
        <f>RIGHT(บันทึกนำเข้าDrawing[[#This Row],[Drawing No]],1)</f>
        <v>0</v>
      </c>
      <c r="F183" s="73" t="s">
        <v>3897</v>
      </c>
      <c r="G183" s="118" t="s">
        <v>4029</v>
      </c>
      <c r="H183" s="74"/>
      <c r="I183" s="29" t="str">
        <f>CONCATENATE(บันทึกนำเข้าDrawing[[#This Row],[Part No]],"+",บันทึกนำเข้าDrawing[[#This Row],[Drawing No]])</f>
        <v>2B48-253-00+DR-TW-2B48-253-00-00</v>
      </c>
    </row>
    <row r="184" spans="1:9">
      <c r="A184" s="33">
        <v>183</v>
      </c>
      <c r="B184" s="74">
        <v>43994</v>
      </c>
      <c r="C184" s="75" t="s">
        <v>4060</v>
      </c>
      <c r="D184" s="33" t="s">
        <v>4123</v>
      </c>
      <c r="E184" s="33" t="str">
        <f>RIGHT(บันทึกนำเข้าDrawing[[#This Row],[Drawing No]],1)</f>
        <v>0</v>
      </c>
      <c r="F184" s="73" t="s">
        <v>3901</v>
      </c>
      <c r="G184" s="118" t="s">
        <v>4029</v>
      </c>
      <c r="H184" s="74"/>
      <c r="I184" s="29" t="str">
        <f>CONCATENATE(บันทึกนำเข้าDrawing[[#This Row],[Part No]],"+",บันทึกนำเข้าDrawing[[#This Row],[Drawing No]])</f>
        <v>2B24-300-00+DR-TW-2B24-300-00-00</v>
      </c>
    </row>
    <row r="185" spans="1:9">
      <c r="A185" s="33">
        <v>184</v>
      </c>
      <c r="B185" s="74">
        <v>43994</v>
      </c>
      <c r="C185" s="75" t="s">
        <v>4058</v>
      </c>
      <c r="D185" s="33" t="s">
        <v>4121</v>
      </c>
      <c r="E185" s="33" t="str">
        <f>RIGHT(บันทึกนำเข้าDrawing[[#This Row],[Drawing No]],1)</f>
        <v>0</v>
      </c>
      <c r="F185" s="73" t="s">
        <v>3899</v>
      </c>
      <c r="G185" s="118" t="s">
        <v>4029</v>
      </c>
      <c r="H185" s="74"/>
      <c r="I185" s="29" t="str">
        <f>CONCATENATE(บันทึกนำเข้าDrawing[[#This Row],[Part No]],"+",บันทึกนำเข้าDrawing[[#This Row],[Drawing No]])</f>
        <v>2B25-125-04+DR-TW-2B25-125-04-00</v>
      </c>
    </row>
    <row r="186" spans="1:9">
      <c r="A186" s="33">
        <v>185</v>
      </c>
      <c r="B186" s="74">
        <v>43994</v>
      </c>
      <c r="C186" s="75" t="s">
        <v>4059</v>
      </c>
      <c r="D186" s="33" t="s">
        <v>4122</v>
      </c>
      <c r="E186" s="33" t="str">
        <f>RIGHT(บันทึกนำเข้าDrawing[[#This Row],[Drawing No]],1)</f>
        <v>0</v>
      </c>
      <c r="F186" s="73" t="s">
        <v>3900</v>
      </c>
      <c r="G186" s="118" t="s">
        <v>4027</v>
      </c>
      <c r="H186" s="80">
        <v>45458</v>
      </c>
      <c r="I186" s="29" t="str">
        <f>CONCATENATE(บันทึกนำเข้าDrawing[[#This Row],[Part No]],"+",บันทึกนำเข้าDrawing[[#This Row],[Drawing No]])</f>
        <v>2B25-127-03+DR-TW-2B25-127-03-00</v>
      </c>
    </row>
    <row r="187" spans="1:9">
      <c r="A187" s="33">
        <v>186</v>
      </c>
      <c r="B187" s="74">
        <v>43994</v>
      </c>
      <c r="C187" s="75" t="s">
        <v>4061</v>
      </c>
      <c r="D187" s="33" t="s">
        <v>4124</v>
      </c>
      <c r="E187" s="33" t="str">
        <f>RIGHT(บันทึกนำเข้าDrawing[[#This Row],[Drawing No]],1)</f>
        <v>0</v>
      </c>
      <c r="F187" s="73" t="s">
        <v>3902</v>
      </c>
      <c r="G187" s="118" t="s">
        <v>4029</v>
      </c>
      <c r="H187" s="74"/>
      <c r="I187" s="29" t="str">
        <f>CONCATENATE(บันทึกนำเข้าDrawing[[#This Row],[Part No]],"+",บันทึกนำเข้าDrawing[[#This Row],[Drawing No]])</f>
        <v>2B25-138-01+DR-TW-2B25-138-01-00</v>
      </c>
    </row>
    <row r="188" spans="1:9">
      <c r="A188" s="33">
        <v>187</v>
      </c>
      <c r="B188" s="74">
        <v>43994</v>
      </c>
      <c r="C188" s="75" t="s">
        <v>4062</v>
      </c>
      <c r="D188" s="33" t="s">
        <v>4125</v>
      </c>
      <c r="E188" s="33" t="str">
        <f>RIGHT(บันทึกนำเข้าDrawing[[#This Row],[Drawing No]],1)</f>
        <v>0</v>
      </c>
      <c r="F188" s="73" t="s">
        <v>3903</v>
      </c>
      <c r="G188" s="118" t="s">
        <v>4029</v>
      </c>
      <c r="H188" s="74"/>
      <c r="I188" s="29" t="str">
        <f>CONCATENATE(บันทึกนำเข้าDrawing[[#This Row],[Part No]],"+",บันทึกนำเข้าDrawing[[#This Row],[Drawing No]])</f>
        <v>2B25-139-01+DR-TW-2B25-139-01-00</v>
      </c>
    </row>
    <row r="189" spans="1:9">
      <c r="A189" s="33">
        <v>188</v>
      </c>
      <c r="B189" s="74">
        <v>43994</v>
      </c>
      <c r="C189" s="75" t="s">
        <v>4063</v>
      </c>
      <c r="D189" s="33" t="s">
        <v>4126</v>
      </c>
      <c r="E189" s="33" t="str">
        <f>RIGHT(บันทึกนำเข้าDrawing[[#This Row],[Drawing No]],1)</f>
        <v>0</v>
      </c>
      <c r="F189" s="73" t="s">
        <v>3904</v>
      </c>
      <c r="G189" s="118" t="s">
        <v>4029</v>
      </c>
      <c r="H189" s="74"/>
      <c r="I189" s="29" t="str">
        <f>CONCATENATE(บันทึกนำเข้าDrawing[[#This Row],[Part No]],"+",บันทึกนำเข้าDrawing[[#This Row],[Drawing No]])</f>
        <v>2B25-352-01+DR-TW-2B25-352-01-00</v>
      </c>
    </row>
    <row r="190" spans="1:9">
      <c r="A190" s="33">
        <v>189</v>
      </c>
      <c r="B190" s="74">
        <v>43994</v>
      </c>
      <c r="C190" s="75" t="s">
        <v>4064</v>
      </c>
      <c r="D190" s="33" t="s">
        <v>4127</v>
      </c>
      <c r="E190" s="33" t="str">
        <f>RIGHT(บันทึกนำเข้าDrawing[[#This Row],[Drawing No]],1)</f>
        <v>0</v>
      </c>
      <c r="F190" s="73" t="s">
        <v>3905</v>
      </c>
      <c r="G190" s="118" t="s">
        <v>4029</v>
      </c>
      <c r="H190" s="74"/>
      <c r="I190" s="29" t="str">
        <f>CONCATENATE(บันทึกนำเข้าDrawing[[#This Row],[Part No]],"+",บันทึกนำเข้าDrawing[[#This Row],[Drawing No]])</f>
        <v>2B25-353-01+DR-TW-2B25-353-01-00</v>
      </c>
    </row>
    <row r="191" spans="1:9">
      <c r="A191" s="33">
        <v>190</v>
      </c>
      <c r="B191" s="74">
        <v>43994</v>
      </c>
      <c r="C191" s="78" t="s">
        <v>4171</v>
      </c>
      <c r="D191" s="33" t="s">
        <v>1266</v>
      </c>
      <c r="E191" s="33" t="str">
        <f>RIGHT(บันทึกนำเข้าDrawing[[#This Row],[Drawing No]],1)</f>
        <v>0</v>
      </c>
      <c r="F191" s="79" t="s">
        <v>3898</v>
      </c>
      <c r="G191" s="118" t="s">
        <v>4029</v>
      </c>
      <c r="H191" s="74">
        <v>43995</v>
      </c>
      <c r="I191" s="29" t="str">
        <f>CONCATENATE(บันทึกนำเข้าDrawing[[#This Row],[Part No]],"+",บันทึกนำเข้าDrawing[[#This Row],[Drawing No]])</f>
        <v>2B26-250-00+DR-TW-2B26-250-00-00</v>
      </c>
    </row>
    <row r="192" spans="1:9">
      <c r="A192" s="33">
        <v>191</v>
      </c>
      <c r="B192" s="74">
        <v>43994</v>
      </c>
      <c r="C192" s="75" t="s">
        <v>3759</v>
      </c>
      <c r="D192" s="33" t="s">
        <v>1807</v>
      </c>
      <c r="E192" s="33" t="str">
        <f>RIGHT(บันทึกนำเข้าDrawing[[#This Row],[Drawing No]],1)</f>
        <v>0</v>
      </c>
      <c r="F192" s="73" t="s">
        <v>3906</v>
      </c>
      <c r="G192" s="118" t="s">
        <v>4029</v>
      </c>
      <c r="H192" s="74">
        <v>44013</v>
      </c>
      <c r="I192" s="29" t="str">
        <f>CONCATENATE(บันทึกนำเข้าDrawing[[#This Row],[Part No]],"+",บันทึกนำเข้าDrawing[[#This Row],[Drawing No]])</f>
        <v>2B30-021-04+DR-TW-2B30-021-04-00</v>
      </c>
    </row>
    <row r="193" spans="1:9">
      <c r="A193" s="33">
        <v>192</v>
      </c>
      <c r="B193" s="71">
        <v>43994</v>
      </c>
      <c r="C193" s="72" t="s">
        <v>3715</v>
      </c>
      <c r="D193" s="33" t="s">
        <v>1272</v>
      </c>
      <c r="E193" s="33" t="str">
        <f>RIGHT(บันทึกนำเข้าDrawing[[#This Row],[Drawing No]],1)</f>
        <v>0</v>
      </c>
      <c r="F193" s="73" t="s">
        <v>2601</v>
      </c>
      <c r="G193" s="118" t="s">
        <v>4029</v>
      </c>
      <c r="H193" s="74">
        <v>43994</v>
      </c>
      <c r="I193" s="29" t="str">
        <f>CONCATENATE(บันทึกนำเข้าDrawing[[#This Row],[Part No]],"+",บันทึกนำเข้าDrawing[[#This Row],[Drawing No]])</f>
        <v>2B26-250-05+DR-TW-2B26-250-05-00</v>
      </c>
    </row>
    <row r="194" spans="1:9">
      <c r="A194" s="33">
        <v>193</v>
      </c>
      <c r="B194" s="71">
        <v>43994</v>
      </c>
      <c r="C194" s="72" t="s">
        <v>3715</v>
      </c>
      <c r="D194" s="33" t="s">
        <v>5120</v>
      </c>
      <c r="E194" s="33" t="str">
        <f>RIGHT(บันทึกนำเข้าDrawing[[#This Row],[Drawing No]],1)</f>
        <v>0</v>
      </c>
      <c r="F194" s="73" t="s">
        <v>2601</v>
      </c>
      <c r="G194" s="118" t="s">
        <v>4029</v>
      </c>
      <c r="H194" s="74"/>
      <c r="I194" s="29" t="str">
        <f>CONCATENATE(บันทึกนำเข้าDrawing[[#This Row],[Part No]],"+",บันทึกนำเข้าDrawing[[#This Row],[Drawing No]])</f>
        <v>2B26-251-05+DR-TW-2B26-250-05-00</v>
      </c>
    </row>
    <row r="195" spans="1:9">
      <c r="A195" s="33">
        <v>194</v>
      </c>
      <c r="B195" s="71">
        <v>43999</v>
      </c>
      <c r="C195" s="72" t="s">
        <v>3324</v>
      </c>
      <c r="D195" s="33" t="s">
        <v>1806</v>
      </c>
      <c r="E195" s="33" t="str">
        <f>RIGHT(บันทึกนำเข้าDrawing[[#This Row],[Drawing No]],1)</f>
        <v>0</v>
      </c>
      <c r="F195" s="73" t="s">
        <v>5454</v>
      </c>
      <c r="G195" s="118" t="s">
        <v>4027</v>
      </c>
      <c r="H195" s="74">
        <v>43634</v>
      </c>
      <c r="I195" s="29" t="str">
        <f>CONCATENATE(บันทึกนำเข้าDrawing[[#This Row],[Part No]],"+",บันทึกนำเข้าDrawing[[#This Row],[Drawing No]])</f>
        <v>2B30-020-00+DR-TW-2B30-020-00-00</v>
      </c>
    </row>
    <row r="196" spans="1:9">
      <c r="A196" s="33">
        <v>195</v>
      </c>
      <c r="B196" s="74">
        <v>44002</v>
      </c>
      <c r="C196" s="75" t="s">
        <v>4065</v>
      </c>
      <c r="D196" s="33" t="s">
        <v>2173</v>
      </c>
      <c r="E196" s="33" t="str">
        <f>RIGHT(บันทึกนำเข้าDrawing[[#This Row],[Drawing No]],1)</f>
        <v>0</v>
      </c>
      <c r="F196" s="73" t="s">
        <v>3907</v>
      </c>
      <c r="G196" s="118" t="s">
        <v>4029</v>
      </c>
      <c r="H196" s="74"/>
      <c r="I196" s="29" t="str">
        <f>CONCATENATE(บันทึกนำเข้าDrawing[[#This Row],[Part No]],"+",บันทึกนำเข้าDrawing[[#This Row],[Drawing No]])</f>
        <v>2B69A001-00+DR-TW-2B69A001-00-00</v>
      </c>
    </row>
    <row r="197" spans="1:9">
      <c r="A197" s="33">
        <v>196</v>
      </c>
      <c r="B197" s="74">
        <v>44002</v>
      </c>
      <c r="C197" s="75" t="s">
        <v>4066</v>
      </c>
      <c r="D197" s="33" t="s">
        <v>2175</v>
      </c>
      <c r="E197" s="33" t="str">
        <f>RIGHT(บันทึกนำเข้าDrawing[[#This Row],[Drawing No]],1)</f>
        <v>0</v>
      </c>
      <c r="F197" s="73" t="s">
        <v>3908</v>
      </c>
      <c r="G197" s="118" t="s">
        <v>4029</v>
      </c>
      <c r="H197" s="74"/>
      <c r="I197" s="29" t="str">
        <f>CONCATENATE(บันทึกนำเข้าDrawing[[#This Row],[Part No]],"+",บันทึกนำเข้าDrawing[[#This Row],[Drawing No]])</f>
        <v>2B69A002-00+DR-TW-2B69A002-00-00</v>
      </c>
    </row>
    <row r="198" spans="1:9">
      <c r="A198" s="33">
        <v>197</v>
      </c>
      <c r="B198" s="74">
        <v>44004</v>
      </c>
      <c r="C198" s="75" t="s">
        <v>3735</v>
      </c>
      <c r="D198" s="33" t="s">
        <v>1289</v>
      </c>
      <c r="E198" s="33" t="str">
        <f>RIGHT(บันทึกนำเข้าDrawing[[#This Row],[Drawing No]],1)</f>
        <v>0</v>
      </c>
      <c r="F198" s="73" t="s">
        <v>3909</v>
      </c>
      <c r="G198" s="118" t="s">
        <v>4029</v>
      </c>
      <c r="H198" s="74">
        <v>44064</v>
      </c>
      <c r="I198" s="29" t="str">
        <f>CONCATENATE(บันทึกนำเข้าDrawing[[#This Row],[Part No]],"+",บันทึกนำเข้าDrawing[[#This Row],[Drawing No]])</f>
        <v>2B26-255-06+DR-TW-2B26-255-06-00</v>
      </c>
    </row>
    <row r="199" spans="1:9">
      <c r="A199" s="33">
        <v>198</v>
      </c>
      <c r="B199" s="74">
        <v>44004</v>
      </c>
      <c r="C199" s="75" t="s">
        <v>3910</v>
      </c>
      <c r="D199" s="33" t="s">
        <v>1313</v>
      </c>
      <c r="E199" s="33" t="str">
        <f>RIGHT(บันทึกนำเข้าDrawing[[#This Row],[Drawing No]],1)</f>
        <v>0</v>
      </c>
      <c r="F199" s="73" t="s">
        <v>3911</v>
      </c>
      <c r="G199" s="118" t="s">
        <v>4029</v>
      </c>
      <c r="H199" s="74">
        <v>44004</v>
      </c>
      <c r="I199" s="29" t="str">
        <f>CONCATENATE(บันทึกนำเข้าDrawing[[#This Row],[Part No]],"+",บันทึกนำเข้าDrawing[[#This Row],[Drawing No]])</f>
        <v>2B26-270-01+DR-TW-2B26-270-01-00</v>
      </c>
    </row>
    <row r="200" spans="1:9">
      <c r="A200" s="33">
        <v>199</v>
      </c>
      <c r="B200" s="74">
        <v>44014</v>
      </c>
      <c r="C200" s="75" t="s">
        <v>3624</v>
      </c>
      <c r="D200" s="33" t="s">
        <v>1057</v>
      </c>
      <c r="E200" s="33" t="str">
        <f>RIGHT(บันทึกนำเข้าDrawing[[#This Row],[Drawing No]],1)</f>
        <v>0</v>
      </c>
      <c r="F200" s="73" t="s">
        <v>3793</v>
      </c>
      <c r="G200" s="118" t="s">
        <v>4029</v>
      </c>
      <c r="H200" s="74">
        <v>44019</v>
      </c>
      <c r="I200" s="29" t="str">
        <f>CONCATENATE(บันทึกนำเข้าDrawing[[#This Row],[Part No]],"+",บันทึกนำเข้าDrawing[[#This Row],[Drawing No]])</f>
        <v>2B26-051-05+DR-TW-2B26-051-05-00</v>
      </c>
    </row>
    <row r="201" spans="1:9">
      <c r="A201" s="33">
        <v>200</v>
      </c>
      <c r="B201" s="74">
        <v>44014</v>
      </c>
      <c r="C201" s="75" t="s">
        <v>3912</v>
      </c>
      <c r="D201" s="33" t="s">
        <v>3913</v>
      </c>
      <c r="E201" s="33" t="str">
        <f>RIGHT(บันทึกนำเข้าDrawing[[#This Row],[Drawing No]],1)</f>
        <v>0</v>
      </c>
      <c r="F201" s="73" t="s">
        <v>3914</v>
      </c>
      <c r="G201" s="118" t="s">
        <v>4029</v>
      </c>
      <c r="H201" s="74"/>
      <c r="I201" s="29" t="str">
        <f>CONCATENATE(บันทึกนำเข้าDrawing[[#This Row],[Part No]],"+",บันทึกนำเข้าDrawing[[#This Row],[Drawing No]])</f>
        <v>2B69M013-00+DR-TW-2B69M013-00-00</v>
      </c>
    </row>
    <row r="202" spans="1:9">
      <c r="A202" s="33">
        <v>201</v>
      </c>
      <c r="B202" s="74">
        <v>44018</v>
      </c>
      <c r="C202" s="75" t="s">
        <v>3330</v>
      </c>
      <c r="D202" s="33" t="s">
        <v>998</v>
      </c>
      <c r="E202" s="33" t="str">
        <f>RIGHT(บันทึกนำเข้าDrawing[[#This Row],[Drawing No]],1)</f>
        <v>0</v>
      </c>
      <c r="F202" s="73" t="s">
        <v>3915</v>
      </c>
      <c r="G202" s="118" t="s">
        <v>4027</v>
      </c>
      <c r="H202" s="74">
        <v>44020</v>
      </c>
      <c r="I202" s="29" t="str">
        <f>CONCATENATE(บันทึกนำเข้าDrawing[[#This Row],[Part No]],"+",บันทึกนำเข้าDrawing[[#This Row],[Drawing No]])</f>
        <v>2B25-323-00+DR-TW-2B25-323-00-00</v>
      </c>
    </row>
    <row r="203" spans="1:9">
      <c r="A203" s="33">
        <v>202</v>
      </c>
      <c r="B203" s="74">
        <v>44018</v>
      </c>
      <c r="C203" s="75" t="s">
        <v>4056</v>
      </c>
      <c r="D203" s="33" t="s">
        <v>1765</v>
      </c>
      <c r="E203" s="33" t="str">
        <f>RIGHT(บันทึกนำเข้าDrawing[[#This Row],[Drawing No]],1)</f>
        <v>0</v>
      </c>
      <c r="F203" s="73" t="s">
        <v>3985</v>
      </c>
      <c r="G203" s="118" t="s">
        <v>4029</v>
      </c>
      <c r="H203" s="74">
        <v>44124</v>
      </c>
      <c r="I203" s="29" t="str">
        <f>CONCATENATE(บันทึกนำเข้าDrawing[[#This Row],[Part No]],"+",บันทึกนำเข้าDrawing[[#This Row],[Drawing No]])</f>
        <v>2B29-370-00+DR-TW-2B29-370-00-00</v>
      </c>
    </row>
    <row r="204" spans="1:9">
      <c r="A204" s="33">
        <v>63</v>
      </c>
      <c r="B204" s="71">
        <v>43516</v>
      </c>
      <c r="C204" s="72" t="s">
        <v>5437</v>
      </c>
      <c r="D204" s="33" t="s">
        <v>596</v>
      </c>
      <c r="E204" s="33" t="str">
        <f>RIGHT(บันทึกนำเข้าDrawing[[#This Row],[Drawing No]],1)</f>
        <v>0</v>
      </c>
      <c r="F204" s="73" t="s">
        <v>5438</v>
      </c>
      <c r="G204" s="118" t="s">
        <v>4027</v>
      </c>
      <c r="H204" s="74">
        <v>44992</v>
      </c>
      <c r="I204" s="29" t="str">
        <f>CONCATENATE(บันทึกนำเข้าDrawing[[#This Row],[Part No]],"+",บันทึกนำเข้าDrawing[[#This Row],[Drawing No]])</f>
        <v>2B24-200A00-R+DR-TW-2B24-200A00-R-00</v>
      </c>
    </row>
    <row r="205" spans="1:9">
      <c r="A205" s="33">
        <v>204</v>
      </c>
      <c r="B205" s="74">
        <v>44018</v>
      </c>
      <c r="C205" s="75" t="s">
        <v>4068</v>
      </c>
      <c r="D205" s="33" t="s">
        <v>4129</v>
      </c>
      <c r="E205" s="33" t="str">
        <f>RIGHT(บันทึกนำเข้าDrawing[[#This Row],[Drawing No]],1)</f>
        <v>0</v>
      </c>
      <c r="F205" s="73" t="s">
        <v>3917</v>
      </c>
      <c r="G205" s="118" t="s">
        <v>4029</v>
      </c>
      <c r="H205" s="74"/>
      <c r="I205" s="29" t="str">
        <f>CONCATENATE(บันทึกนำเข้าDrawing[[#This Row],[Part No]],"+",บันทึกนำเข้าDrawing[[#This Row],[Drawing No]])</f>
        <v>2B69A005-00+DR-TW-2B69A005-00-00</v>
      </c>
    </row>
    <row r="206" spans="1:9">
      <c r="A206" s="33">
        <v>205</v>
      </c>
      <c r="B206" s="74">
        <v>44018</v>
      </c>
      <c r="C206" s="75" t="s">
        <v>4069</v>
      </c>
      <c r="D206" s="33" t="s">
        <v>4130</v>
      </c>
      <c r="E206" s="33" t="str">
        <f>RIGHT(บันทึกนำเข้าDrawing[[#This Row],[Drawing No]],1)</f>
        <v>0</v>
      </c>
      <c r="F206" s="73" t="s">
        <v>3918</v>
      </c>
      <c r="G206" s="118" t="s">
        <v>4029</v>
      </c>
      <c r="H206" s="74">
        <v>44033</v>
      </c>
      <c r="I206" s="29" t="str">
        <f>CONCATENATE(บันทึกนำเข้าDrawing[[#This Row],[Part No]],"+",บันทึกนำเข้าDrawing[[#This Row],[Drawing No]])</f>
        <v>2B69A006-00+DR-TW-2B69A006-00-00</v>
      </c>
    </row>
    <row r="207" spans="1:9">
      <c r="A207" s="33">
        <v>206</v>
      </c>
      <c r="B207" s="74">
        <v>44021</v>
      </c>
      <c r="C207" s="75" t="s">
        <v>3919</v>
      </c>
      <c r="D207" s="33" t="s">
        <v>3920</v>
      </c>
      <c r="E207" s="33" t="str">
        <f>RIGHT(บันทึกนำเข้าDrawing[[#This Row],[Drawing No]],1)</f>
        <v>0</v>
      </c>
      <c r="F207" s="73" t="s">
        <v>3921</v>
      </c>
      <c r="G207" s="118" t="s">
        <v>4029</v>
      </c>
      <c r="H207" s="74"/>
      <c r="I207" s="29" t="str">
        <f>CONCATENATE(บันทึกนำเข้าDrawing[[#This Row],[Part No]],"+",บันทึกนำเข้าDrawing[[#This Row],[Drawing No]])</f>
        <v>2B24-202C00+DR-TW-2B24-202C00-00</v>
      </c>
    </row>
    <row r="208" spans="1:9">
      <c r="A208" s="33">
        <v>207</v>
      </c>
      <c r="B208" s="74">
        <v>44021</v>
      </c>
      <c r="C208" s="78" t="s">
        <v>3617</v>
      </c>
      <c r="D208" s="33" t="s">
        <v>1140</v>
      </c>
      <c r="E208" s="33" t="str">
        <f>RIGHT(บันทึกนำเข้าDrawing[[#This Row],[Drawing No]],1)</f>
        <v>0</v>
      </c>
      <c r="F208" s="79" t="s">
        <v>3922</v>
      </c>
      <c r="G208" s="118" t="s">
        <v>4029</v>
      </c>
      <c r="H208" s="74">
        <v>44036</v>
      </c>
      <c r="I208" s="29" t="str">
        <f>CONCATENATE(บันทึกนำเข้าDrawing[[#This Row],[Part No]],"+",บันทึกนำเข้าDrawing[[#This Row],[Drawing No]])</f>
        <v>2B26-128-00+DR-TW-2B26-128-00-00</v>
      </c>
    </row>
    <row r="209" spans="1:9">
      <c r="A209" s="33">
        <v>208</v>
      </c>
      <c r="B209" s="91">
        <v>44021</v>
      </c>
      <c r="C209" s="78" t="s">
        <v>3993</v>
      </c>
      <c r="D209" s="33" t="s">
        <v>1771</v>
      </c>
      <c r="E209" s="69" t="str">
        <f>RIGHT(บันทึกนำเข้าDrawing[[#This Row],[Drawing No]],1)</f>
        <v>0</v>
      </c>
      <c r="F209" s="73" t="s">
        <v>3986</v>
      </c>
      <c r="G209" s="118" t="s">
        <v>4029</v>
      </c>
      <c r="H209" s="83"/>
      <c r="I209" s="29" t="str">
        <f>CONCATENATE(บันทึกนำเข้าDrawing[[#This Row],[Part No]],"+",บันทึกนำเข้าDrawing[[#This Row],[Drawing No]])</f>
        <v>2B29-421-00+DR-TW-2B29-421-00-00</v>
      </c>
    </row>
    <row r="210" spans="1:9">
      <c r="A210" s="33">
        <v>209</v>
      </c>
      <c r="B210" s="81">
        <v>44021</v>
      </c>
      <c r="C210" s="88" t="s">
        <v>3594</v>
      </c>
      <c r="D210" s="33" t="s">
        <v>626</v>
      </c>
      <c r="E210" s="69" t="str">
        <f>RIGHT(บันทึกนำเข้าDrawing[[#This Row],[Drawing No]],1)</f>
        <v>0</v>
      </c>
      <c r="F210" s="104" t="s">
        <v>3123</v>
      </c>
      <c r="G210" s="118" t="s">
        <v>4027</v>
      </c>
      <c r="H210" s="83">
        <v>44323</v>
      </c>
      <c r="I210" s="29" t="str">
        <f>CONCATENATE(บันทึกนำเข้าDrawing[[#This Row],[Part No]],"+",บันทึกนำเข้าDrawing[[#This Row],[Drawing No]])</f>
        <v>2B24-220C00+DR-TW-2B24-220C00-00</v>
      </c>
    </row>
    <row r="211" spans="1:9">
      <c r="A211" s="33">
        <v>210</v>
      </c>
      <c r="B211" s="91">
        <v>44025</v>
      </c>
      <c r="C211" s="78" t="s">
        <v>4793</v>
      </c>
      <c r="D211" s="33" t="s">
        <v>4792</v>
      </c>
      <c r="E211" s="69" t="str">
        <f>RIGHT(บันทึกนำเข้าDrawing[[#This Row],[Drawing No]],1)</f>
        <v>0</v>
      </c>
      <c r="F211" s="84" t="s">
        <v>3924</v>
      </c>
      <c r="G211" s="118" t="s">
        <v>4029</v>
      </c>
      <c r="H211" s="83">
        <v>44049</v>
      </c>
      <c r="I211" s="29" t="str">
        <f>CONCATENATE(บันทึกนำเข้าDrawing[[#This Row],[Part No]],"+",บันทึกนำเข้าDrawing[[#This Row],[Drawing No]])</f>
        <v>2B69A016-00+DR-TW-2B69A016-00-00</v>
      </c>
    </row>
    <row r="212" spans="1:9">
      <c r="A212" s="33">
        <v>211</v>
      </c>
      <c r="B212" s="91">
        <v>44025</v>
      </c>
      <c r="C212" s="78" t="s">
        <v>3925</v>
      </c>
      <c r="D212" s="33" t="s">
        <v>3926</v>
      </c>
      <c r="E212" s="69" t="str">
        <f>RIGHT(บันทึกนำเข้าDrawing[[#This Row],[Drawing No]],1)</f>
        <v>1</v>
      </c>
      <c r="F212" s="84" t="s">
        <v>3924</v>
      </c>
      <c r="G212" s="118" t="s">
        <v>4029</v>
      </c>
      <c r="H212" s="83">
        <v>44049</v>
      </c>
      <c r="I212" s="29" t="str">
        <f>CONCATENATE(บันทึกนำเข้าDrawing[[#This Row],[Part No]],"+",บันทึกนำเข้าDrawing[[#This Row],[Drawing No]])</f>
        <v>2B69M017-00+DR-TW-2B69M017-00-01</v>
      </c>
    </row>
    <row r="213" spans="1:9">
      <c r="A213" s="33">
        <v>212</v>
      </c>
      <c r="B213" s="91">
        <v>44025</v>
      </c>
      <c r="C213" s="78" t="s">
        <v>3927</v>
      </c>
      <c r="D213" s="33" t="s">
        <v>3928</v>
      </c>
      <c r="E213" s="69" t="str">
        <f>RIGHT(บันทึกนำเข้าDrawing[[#This Row],[Drawing No]],1)</f>
        <v>0</v>
      </c>
      <c r="F213" s="84" t="s">
        <v>3929</v>
      </c>
      <c r="G213" s="118" t="s">
        <v>4029</v>
      </c>
      <c r="H213" s="83"/>
      <c r="I213" s="29" t="str">
        <f>CONCATENATE(บันทึกนำเข้าDrawing[[#This Row],[Part No]],"+",บันทึกนำเข้าDrawing[[#This Row],[Drawing No]])</f>
        <v>2B69M018-00+DR-TW-2B69M018-00-00</v>
      </c>
    </row>
    <row r="214" spans="1:9">
      <c r="A214" s="33">
        <v>213</v>
      </c>
      <c r="B214" s="91">
        <v>44032</v>
      </c>
      <c r="C214" s="78" t="s">
        <v>3629</v>
      </c>
      <c r="D214" s="33" t="s">
        <v>1080</v>
      </c>
      <c r="E214" s="69" t="str">
        <f>RIGHT(บันทึกนำเข้าDrawing[[#This Row],[Drawing No]],1)</f>
        <v>0</v>
      </c>
      <c r="F214" s="84" t="s">
        <v>3930</v>
      </c>
      <c r="G214" s="118" t="s">
        <v>4029</v>
      </c>
      <c r="H214" s="83">
        <v>44174</v>
      </c>
      <c r="I214" s="29" t="str">
        <f>CONCATENATE(บันทึกนำเข้าDrawing[[#This Row],[Part No]],"+",บันทึกนำเข้าDrawing[[#This Row],[Drawing No]])</f>
        <v>2B26-067-04+DR-TW-2B26-067-04-00</v>
      </c>
    </row>
    <row r="215" spans="1:9">
      <c r="A215" s="33">
        <v>214</v>
      </c>
      <c r="B215" s="91">
        <v>44032</v>
      </c>
      <c r="C215" s="78" t="s">
        <v>3320</v>
      </c>
      <c r="D215" s="33" t="s">
        <v>1742</v>
      </c>
      <c r="E215" s="69" t="str">
        <f>RIGHT(บันทึกนำเข้าDrawing[[#This Row],[Drawing No]],1)</f>
        <v>0</v>
      </c>
      <c r="F215" s="73" t="s">
        <v>3914</v>
      </c>
      <c r="G215" s="118" t="s">
        <v>4027</v>
      </c>
      <c r="H215" s="83">
        <v>44050</v>
      </c>
      <c r="I215" s="29" t="str">
        <f>CONCATENATE(บันทึกนำเข้าDrawing[[#This Row],[Part No]],"+",บันทึกนำเข้าDrawing[[#This Row],[Drawing No]])</f>
        <v>2B29-231-00+DR-TW-2B29-231-00-00</v>
      </c>
    </row>
    <row r="216" spans="1:9">
      <c r="A216" s="33">
        <v>215</v>
      </c>
      <c r="B216" s="91">
        <v>44035</v>
      </c>
      <c r="C216" s="78" t="s">
        <v>3885</v>
      </c>
      <c r="D216" s="33" t="s">
        <v>1278</v>
      </c>
      <c r="E216" s="69" t="str">
        <f>RIGHT(บันทึกนำเข้าDrawing[[#This Row],[Drawing No]],1)</f>
        <v>1</v>
      </c>
      <c r="F216" s="84" t="s">
        <v>3886</v>
      </c>
      <c r="G216" s="118" t="s">
        <v>4029</v>
      </c>
      <c r="H216" s="83">
        <v>44286</v>
      </c>
      <c r="I216" s="29" t="str">
        <f>CONCATENATE(บันทึกนำเข้าDrawing[[#This Row],[Part No]],"+",บันทึกนำเข้าDrawing[[#This Row],[Drawing No]])</f>
        <v>2B26-252-00+DR-TW-2B26-252-00-01</v>
      </c>
    </row>
    <row r="217" spans="1:9">
      <c r="A217" s="33">
        <v>216</v>
      </c>
      <c r="B217" s="91">
        <v>44045</v>
      </c>
      <c r="C217" s="78" t="s">
        <v>3570</v>
      </c>
      <c r="D217" s="33" t="s">
        <v>1771</v>
      </c>
      <c r="E217" s="69" t="str">
        <f>RIGHT(บันทึกนำเข้าDrawing[[#This Row],[Drawing No]],1)</f>
        <v>1</v>
      </c>
      <c r="F217" s="84" t="s">
        <v>3986</v>
      </c>
      <c r="G217" s="118" t="s">
        <v>4029</v>
      </c>
      <c r="H217" s="83">
        <v>44058</v>
      </c>
      <c r="I217" s="29" t="str">
        <f>CONCATENATE(บันทึกนำเข้าDrawing[[#This Row],[Part No]],"+",บันทึกนำเข้าDrawing[[#This Row],[Drawing No]])</f>
        <v>2B29-421-00+DR-TW-2B29-421-00-01</v>
      </c>
    </row>
    <row r="218" spans="1:9">
      <c r="A218" s="33">
        <v>217</v>
      </c>
      <c r="B218" s="91">
        <v>44045</v>
      </c>
      <c r="C218" s="78" t="s">
        <v>3972</v>
      </c>
      <c r="D218" s="33" t="s">
        <v>4030</v>
      </c>
      <c r="E218" s="69" t="str">
        <f>RIGHT(บันทึกนำเข้าDrawing[[#This Row],[Drawing No]],1)</f>
        <v>3</v>
      </c>
      <c r="F218" s="84" t="s">
        <v>3973</v>
      </c>
      <c r="G218" s="118" t="s">
        <v>4029</v>
      </c>
      <c r="H218" s="83"/>
      <c r="I218" s="29" t="str">
        <f>CONCATENATE(บันทึกนำเข้าDrawing[[#This Row],[Part No]],"+",บันทึกนำเข้าDrawing[[#This Row],[Drawing No]])</f>
        <v>Drawing Set+DR-TW-2B28A117-00-13</v>
      </c>
    </row>
    <row r="219" spans="1:9">
      <c r="A219" s="33">
        <v>218</v>
      </c>
      <c r="B219" s="91">
        <v>44050</v>
      </c>
      <c r="C219" s="78" t="s">
        <v>3933</v>
      </c>
      <c r="D219" s="33" t="s">
        <v>3934</v>
      </c>
      <c r="E219" s="69" t="str">
        <f>RIGHT(บันทึกนำเข้าDrawing[[#This Row],[Drawing No]],1)</f>
        <v>0</v>
      </c>
      <c r="F219" s="84" t="s">
        <v>3935</v>
      </c>
      <c r="G219" s="118" t="s">
        <v>4029</v>
      </c>
      <c r="H219" s="83"/>
      <c r="I219" s="29" t="str">
        <f>CONCATENATE(บันทึกนำเข้าDrawing[[#This Row],[Part No]],"+",บันทึกนำเข้าDrawing[[#This Row],[Drawing No]])</f>
        <v>2B26-204-06+DR-TW-2B26-204-06-00</v>
      </c>
    </row>
    <row r="220" spans="1:9">
      <c r="A220" s="33">
        <v>219</v>
      </c>
      <c r="B220" s="91">
        <v>44057</v>
      </c>
      <c r="C220" s="78" t="s">
        <v>3936</v>
      </c>
      <c r="D220" s="33" t="s">
        <v>3937</v>
      </c>
      <c r="E220" s="69" t="str">
        <f>RIGHT(บันทึกนำเข้าDrawing[[#This Row],[Drawing No]],1)</f>
        <v>0</v>
      </c>
      <c r="F220" s="84" t="s">
        <v>3938</v>
      </c>
      <c r="G220" s="118" t="s">
        <v>4029</v>
      </c>
      <c r="H220" s="83"/>
      <c r="I220" s="29" t="str">
        <f>CONCATENATE(บันทึกนำเข้าDrawing[[#This Row],[Part No]],"+",บันทึกนำเข้าDrawing[[#This Row],[Drawing No]])</f>
        <v>2B26-111-00+DR-TW-2B26-111-00-00</v>
      </c>
    </row>
    <row r="221" spans="1:9">
      <c r="A221" s="33">
        <v>220</v>
      </c>
      <c r="B221" s="91">
        <v>44057</v>
      </c>
      <c r="C221" s="78" t="s">
        <v>3939</v>
      </c>
      <c r="D221" s="33" t="s">
        <v>3940</v>
      </c>
      <c r="E221" s="69" t="str">
        <f>RIGHT(บันทึกนำเข้าDrawing[[#This Row],[Drawing No]],1)</f>
        <v>0</v>
      </c>
      <c r="F221" s="84" t="s">
        <v>3918</v>
      </c>
      <c r="G221" s="118" t="s">
        <v>4029</v>
      </c>
      <c r="H221" s="83"/>
      <c r="I221" s="29" t="str">
        <f>CONCATENATE(บันทึกนำเข้าDrawing[[#This Row],[Part No]],"+",บันทึกนำเข้าDrawing[[#This Row],[Drawing No]])</f>
        <v>2B26-323-00+DR-TW-2B26-323-00-00</v>
      </c>
    </row>
    <row r="222" spans="1:9">
      <c r="A222" s="33">
        <v>177</v>
      </c>
      <c r="B222" s="91">
        <v>43972</v>
      </c>
      <c r="C222" s="78" t="s">
        <v>4053</v>
      </c>
      <c r="D222" s="33" t="s">
        <v>2300</v>
      </c>
      <c r="E222" s="69" t="str">
        <f>RIGHT(บันทึกนำเข้าDrawing[[#This Row],[Drawing No]],1)</f>
        <v>0</v>
      </c>
      <c r="F222" s="84" t="s">
        <v>3888</v>
      </c>
      <c r="G222" s="118" t="s">
        <v>4027</v>
      </c>
      <c r="H222" s="83">
        <v>43976</v>
      </c>
      <c r="I222" s="29" t="str">
        <f>CONCATENATE(บันทึกนำเข้าDrawing[[#This Row],[Part No]],"+",บันทึกนำเข้าDrawing[[#This Row],[Drawing No]])</f>
        <v>2B94-093-00+DR-TW-2B94-093-00-00</v>
      </c>
    </row>
    <row r="223" spans="1:9">
      <c r="A223" s="33">
        <v>222</v>
      </c>
      <c r="B223" s="91">
        <v>44071</v>
      </c>
      <c r="C223" s="78" t="s">
        <v>4070</v>
      </c>
      <c r="D223" s="33" t="s">
        <v>2151</v>
      </c>
      <c r="E223" s="69" t="str">
        <f>RIGHT(บันทึกนำเข้าDrawing[[#This Row],[Drawing No]],1)</f>
        <v>1</v>
      </c>
      <c r="F223" s="84" t="s">
        <v>4013</v>
      </c>
      <c r="G223" s="118" t="s">
        <v>4029</v>
      </c>
      <c r="H223" s="83"/>
      <c r="I223" s="29" t="str">
        <f>CONCATENATE(บันทึกนำเข้าDrawing[[#This Row],[Part No]],"+",บันทึกนำเข้าDrawing[[#This Row],[Drawing No]])</f>
        <v>2B51-215-01+DR-TW-2B51-215-01-01</v>
      </c>
    </row>
    <row r="224" spans="1:9">
      <c r="A224" s="33">
        <v>223</v>
      </c>
      <c r="B224" s="91">
        <v>44071</v>
      </c>
      <c r="C224" s="78" t="s">
        <v>3944</v>
      </c>
      <c r="D224" s="33" t="s">
        <v>4030</v>
      </c>
      <c r="E224" s="69" t="str">
        <f>RIGHT(บันทึกนำเข้าDrawing[[#This Row],[Drawing No]],1)</f>
        <v>6</v>
      </c>
      <c r="F224" s="84" t="s">
        <v>3945</v>
      </c>
      <c r="G224" s="118" t="s">
        <v>4029</v>
      </c>
      <c r="H224" s="83"/>
      <c r="I224" s="29" t="str">
        <f>CONCATENATE(บันทึกนำเข้าDrawing[[#This Row],[Part No]],"+",บันทึกนำเข้าDrawing[[#This Row],[Drawing No]])</f>
        <v>Drawing Set+DR-TW-2B28-115-00-06</v>
      </c>
    </row>
    <row r="225" spans="1:9">
      <c r="A225" s="33">
        <v>224</v>
      </c>
      <c r="B225" s="91">
        <v>44077</v>
      </c>
      <c r="C225" s="78" t="s">
        <v>3947</v>
      </c>
      <c r="D225" s="33" t="s">
        <v>3948</v>
      </c>
      <c r="E225" s="69" t="str">
        <f>RIGHT(บันทึกนำเข้าDrawing[[#This Row],[Drawing No]],1)</f>
        <v>0</v>
      </c>
      <c r="F225" s="84" t="s">
        <v>3949</v>
      </c>
      <c r="G225" s="118" t="s">
        <v>4029</v>
      </c>
      <c r="H225" s="83"/>
      <c r="I225" s="29" t="str">
        <f>CONCATENATE(บันทึกนำเข้าDrawing[[#This Row],[Part No]],"+",บันทึกนำเข้าDrawing[[#This Row],[Drawing No]])</f>
        <v>2B26-340-00+DR-TW-2B26-340-00-00</v>
      </c>
    </row>
    <row r="226" spans="1:9">
      <c r="A226" s="33">
        <v>225</v>
      </c>
      <c r="B226" s="91">
        <v>44077</v>
      </c>
      <c r="C226" s="78" t="s">
        <v>4071</v>
      </c>
      <c r="D226" s="33" t="s">
        <v>4131</v>
      </c>
      <c r="E226" s="69" t="str">
        <f>RIGHT(บันทึกนำเข้าDrawing[[#This Row],[Drawing No]],1)</f>
        <v>0</v>
      </c>
      <c r="F226" s="84" t="s">
        <v>3950</v>
      </c>
      <c r="G226" s="118" t="s">
        <v>4029</v>
      </c>
      <c r="H226" s="83"/>
      <c r="I226" s="29" t="str">
        <f>CONCATENATE(บันทึกนำเข้าDrawing[[#This Row],[Part No]],"+",บันทึกนำเข้าDrawing[[#This Row],[Drawing No]])</f>
        <v>2B69M024-00+DR-TW-2B69M024-00-00</v>
      </c>
    </row>
    <row r="227" spans="1:9">
      <c r="A227" s="33">
        <v>226</v>
      </c>
      <c r="B227" s="91">
        <v>44077</v>
      </c>
      <c r="C227" s="78" t="s">
        <v>4072</v>
      </c>
      <c r="D227" s="33" t="s">
        <v>4132</v>
      </c>
      <c r="E227" s="69" t="str">
        <f>RIGHT(บันทึกนำเข้าDrawing[[#This Row],[Drawing No]],1)</f>
        <v>0</v>
      </c>
      <c r="F227" s="84" t="s">
        <v>3951</v>
      </c>
      <c r="G227" s="118" t="s">
        <v>4029</v>
      </c>
      <c r="H227" s="83"/>
      <c r="I227" s="29" t="str">
        <f>CONCATENATE(บันทึกนำเข้าDrawing[[#This Row],[Part No]],"+",บันทึกนำเข้าDrawing[[#This Row],[Drawing No]])</f>
        <v>2B69M028-00+DR-TW-2B69M028-00-00</v>
      </c>
    </row>
    <row r="228" spans="1:9">
      <c r="A228" s="33">
        <v>227</v>
      </c>
      <c r="B228" s="91">
        <v>44084</v>
      </c>
      <c r="C228" s="78" t="s">
        <v>3760</v>
      </c>
      <c r="D228" s="33" t="s">
        <v>629</v>
      </c>
      <c r="E228" s="69" t="str">
        <f>RIGHT(บันทึกนำเข้าDrawing[[#This Row],[Drawing No]],1)</f>
        <v>0</v>
      </c>
      <c r="F228" s="84" t="s">
        <v>3952</v>
      </c>
      <c r="G228" s="118" t="s">
        <v>4029</v>
      </c>
      <c r="H228" s="83">
        <v>44118</v>
      </c>
      <c r="I228" s="29" t="str">
        <f>CONCATENATE(บันทึกนำเข้าDrawing[[#This Row],[Part No]],"+",บันทึกนำเข้าDrawing[[#This Row],[Drawing No]])</f>
        <v>2B24-225-05+DR-TW-2B24-225-05-00</v>
      </c>
    </row>
    <row r="229" spans="1:9">
      <c r="A229" s="33">
        <v>228</v>
      </c>
      <c r="B229" s="91">
        <v>44084</v>
      </c>
      <c r="C229" s="78" t="s">
        <v>3757</v>
      </c>
      <c r="D229" s="33" t="s">
        <v>633</v>
      </c>
      <c r="E229" s="69" t="str">
        <f>RIGHT(บันทึกนำเข้าDrawing[[#This Row],[Drawing No]],1)</f>
        <v>0</v>
      </c>
      <c r="F229" s="84" t="s">
        <v>3953</v>
      </c>
      <c r="G229" s="118" t="s">
        <v>4029</v>
      </c>
      <c r="H229" s="83">
        <v>44032</v>
      </c>
      <c r="I229" s="29" t="str">
        <f>CONCATENATE(บันทึกนำเข้าDrawing[[#This Row],[Part No]],"+",บันทึกนำเข้าDrawing[[#This Row],[Drawing No]])</f>
        <v>2B24-229-04+DR-TW-2B24-229-04-00</v>
      </c>
    </row>
    <row r="230" spans="1:9">
      <c r="A230" s="33">
        <v>203</v>
      </c>
      <c r="B230" s="91">
        <v>44018</v>
      </c>
      <c r="C230" s="78" t="s">
        <v>4067</v>
      </c>
      <c r="D230" s="33" t="s">
        <v>4128</v>
      </c>
      <c r="E230" s="69" t="str">
        <f>RIGHT(บันทึกนำเข้าDrawing[[#This Row],[Drawing No]],1)</f>
        <v>0</v>
      </c>
      <c r="F230" s="84" t="s">
        <v>3916</v>
      </c>
      <c r="G230" s="118" t="s">
        <v>4029</v>
      </c>
      <c r="H230" s="83"/>
      <c r="I230" s="29" t="str">
        <f>CONCATENATE(บันทึกนำเข้าDrawing[[#This Row],[Part No]],"+",บันทึกนำเข้าDrawing[[#This Row],[Drawing No]])</f>
        <v>2B69A003-00+DR-TW-2B69A003-00-00</v>
      </c>
    </row>
    <row r="231" spans="1:9">
      <c r="A231" s="33">
        <v>221</v>
      </c>
      <c r="B231" s="91">
        <v>44057</v>
      </c>
      <c r="C231" s="78" t="s">
        <v>3942</v>
      </c>
      <c r="D231" s="33" t="s">
        <v>3711</v>
      </c>
      <c r="E231" s="69" t="str">
        <f>RIGHT(บันทึกนำเข้าDrawing[[#This Row],[Drawing No]],1)</f>
        <v>0</v>
      </c>
      <c r="F231" s="84" t="s">
        <v>3943</v>
      </c>
      <c r="G231" s="118" t="s">
        <v>4029</v>
      </c>
      <c r="H231" s="83">
        <v>44034</v>
      </c>
      <c r="I231" s="29" t="str">
        <f>CONCATENATE(บันทึกนำเข้าDrawing[[#This Row],[Part No]],"+",บันทึกนำเข้าDrawing[[#This Row],[Drawing No]])</f>
        <v>2B27-180-00+DR-TW-2B27-180-00-00</v>
      </c>
    </row>
    <row r="232" spans="1:9">
      <c r="A232" s="33">
        <v>231</v>
      </c>
      <c r="B232" s="91">
        <v>44105</v>
      </c>
      <c r="C232" s="78" t="s">
        <v>4075</v>
      </c>
      <c r="D232" s="33" t="s">
        <v>4133</v>
      </c>
      <c r="E232" s="69" t="str">
        <f>RIGHT(บันทึกนำเข้าDrawing[[#This Row],[Drawing No]],1)</f>
        <v>0</v>
      </c>
      <c r="F232" s="84" t="s">
        <v>3956</v>
      </c>
      <c r="G232" s="118" t="s">
        <v>4029</v>
      </c>
      <c r="H232" s="83"/>
      <c r="I232" s="29" t="str">
        <f>CONCATENATE(บันทึกนำเข้าDrawing[[#This Row],[Part No]],"+",บันทึกนำเข้าDrawing[[#This Row],[Drawing No]])</f>
        <v>2B69M032-00+DR-TW-2B69M032-00-00</v>
      </c>
    </row>
    <row r="233" spans="1:9">
      <c r="A233" s="33">
        <v>232</v>
      </c>
      <c r="B233" s="91">
        <v>44105</v>
      </c>
      <c r="C233" s="78" t="s">
        <v>4076</v>
      </c>
      <c r="D233" s="33" t="s">
        <v>4134</v>
      </c>
      <c r="E233" s="69" t="str">
        <f>RIGHT(บันทึกนำเข้าDrawing[[#This Row],[Drawing No]],1)</f>
        <v>0</v>
      </c>
      <c r="F233" s="84" t="s">
        <v>3957</v>
      </c>
      <c r="G233" s="118" t="s">
        <v>4029</v>
      </c>
      <c r="H233" s="80"/>
      <c r="I233" s="29" t="str">
        <f>CONCATENATE(บันทึกนำเข้าDrawing[[#This Row],[Part No]],"+",บันทึกนำเข้าDrawing[[#This Row],[Drawing No]])</f>
        <v>2B69M033-00+DR-TW-2B69M033-00-00</v>
      </c>
    </row>
    <row r="234" spans="1:9">
      <c r="A234" s="33">
        <v>233</v>
      </c>
      <c r="B234" s="81">
        <v>44105</v>
      </c>
      <c r="C234" s="82" t="s">
        <v>3672</v>
      </c>
      <c r="D234" s="33" t="s">
        <v>953</v>
      </c>
      <c r="E234" s="69" t="str">
        <f>RIGHT(บันทึกนำเข้าDrawing[[#This Row],[Drawing No]],1)</f>
        <v>1</v>
      </c>
      <c r="F234" s="84" t="s">
        <v>2909</v>
      </c>
      <c r="G234" s="118" t="s">
        <v>4027</v>
      </c>
      <c r="H234" s="83">
        <v>44361</v>
      </c>
      <c r="I234" s="29" t="str">
        <f>CONCATENATE(บันทึกนำเข้าDrawing[[#This Row],[Part No]],"+",บันทึกนำเข้าDrawing[[#This Row],[Drawing No]])</f>
        <v>2B25-225-07+DR-TW-2B25-009-08-01</v>
      </c>
    </row>
    <row r="235" spans="1:9">
      <c r="A235" s="33">
        <v>234</v>
      </c>
      <c r="B235" s="81">
        <v>44105</v>
      </c>
      <c r="C235" s="72" t="s">
        <v>3672</v>
      </c>
      <c r="D235" s="33" t="s">
        <v>678</v>
      </c>
      <c r="E235" s="69" t="str">
        <f>RIGHT(บันทึกนำเข้าDrawing[[#This Row],[Drawing No]],1)</f>
        <v>1</v>
      </c>
      <c r="F235" s="73" t="s">
        <v>2876</v>
      </c>
      <c r="G235" s="118" t="s">
        <v>4027</v>
      </c>
      <c r="H235" s="83">
        <v>44991</v>
      </c>
      <c r="I235" s="29" t="str">
        <f>CONCATENATE(บันทึกนำเข้าDrawing[[#This Row],[Part No]],"+",บันทึกนำเข้าDrawing[[#This Row],[Drawing No]])</f>
        <v>2B25-009-08+DR-TW-2B25-009-08-01</v>
      </c>
    </row>
    <row r="236" spans="1:9">
      <c r="A236" s="33">
        <v>235</v>
      </c>
      <c r="B236" s="81">
        <v>44105</v>
      </c>
      <c r="C236" s="82" t="s">
        <v>3672</v>
      </c>
      <c r="D236" s="33" t="s">
        <v>754</v>
      </c>
      <c r="E236" s="69" t="str">
        <f>RIGHT(บันทึกนำเข้าDrawing[[#This Row],[Drawing No]],1)</f>
        <v>1</v>
      </c>
      <c r="F236" s="84" t="s">
        <v>2890</v>
      </c>
      <c r="G236" s="118" t="s">
        <v>4027</v>
      </c>
      <c r="H236" s="83">
        <v>44105</v>
      </c>
      <c r="I236" s="29" t="str">
        <f>CONCATENATE(บันทึกนำเข้าDrawing[[#This Row],[Part No]],"+",บันทึกนำเข้าDrawing[[#This Row],[Drawing No]])</f>
        <v>2B25-056-08+DR-TW-2B25-009-08-01</v>
      </c>
    </row>
    <row r="237" spans="1:9">
      <c r="A237" s="33">
        <v>236</v>
      </c>
      <c r="B237" s="81">
        <v>44119</v>
      </c>
      <c r="C237" s="82" t="s">
        <v>3630</v>
      </c>
      <c r="D237" s="33" t="s">
        <v>1161</v>
      </c>
      <c r="E237" s="69" t="str">
        <f>RIGHT(บันทึกนำเข้าDrawing[[#This Row],[Drawing No]],1)</f>
        <v>0</v>
      </c>
      <c r="F237" s="84" t="s">
        <v>5582</v>
      </c>
      <c r="G237" s="118" t="s">
        <v>4027</v>
      </c>
      <c r="H237" s="83">
        <v>45063</v>
      </c>
      <c r="I237" s="29" t="str">
        <f>CONCATENATE(บันทึกนำเข้าDrawing[[#This Row],[Part No]],"+",บันทึกนำเข้าDrawing[[#This Row],[Drawing No]])</f>
        <v>2B26-163-03+DR-TW-2B26-163-03-00</v>
      </c>
    </row>
    <row r="238" spans="1:9">
      <c r="A238" s="33">
        <v>237</v>
      </c>
      <c r="B238" s="91">
        <v>44120</v>
      </c>
      <c r="C238" s="78" t="s">
        <v>3285</v>
      </c>
      <c r="D238" s="33" t="s">
        <v>3289</v>
      </c>
      <c r="E238" s="69" t="str">
        <f>RIGHT(บันทึกนำเข้าDrawing[[#This Row],[Drawing No]],1)</f>
        <v>0</v>
      </c>
      <c r="F238" s="84" t="s">
        <v>3958</v>
      </c>
      <c r="G238" s="118" t="s">
        <v>4027</v>
      </c>
      <c r="H238" s="83">
        <v>44246</v>
      </c>
      <c r="I238" s="29" t="str">
        <f>CONCATENATE(บันทึกนำเข้าDrawing[[#This Row],[Part No]],"+",บันทึกนำเข้าDrawing[[#This Row],[Drawing No]])</f>
        <v>2B25-523-00+DR-TW-2B25-523-00-00</v>
      </c>
    </row>
    <row r="239" spans="1:9">
      <c r="A239" s="33">
        <v>238</v>
      </c>
      <c r="B239" s="91">
        <v>44120</v>
      </c>
      <c r="C239" s="78" t="s">
        <v>3290</v>
      </c>
      <c r="D239" s="33" t="s">
        <v>3288</v>
      </c>
      <c r="E239" s="69" t="str">
        <f>RIGHT(บันทึกนำเข้าDrawing[[#This Row],[Drawing No]],1)</f>
        <v>0</v>
      </c>
      <c r="F239" s="84" t="s">
        <v>3959</v>
      </c>
      <c r="G239" s="118" t="s">
        <v>4027</v>
      </c>
      <c r="H239" s="83">
        <v>44246</v>
      </c>
      <c r="I239" s="29" t="str">
        <f>CONCATENATE(บันทึกนำเข้าDrawing[[#This Row],[Part No]],"+",บันทึกนำเข้าDrawing[[#This Row],[Drawing No]])</f>
        <v>2B25-524-00+DR-TW-2B25-524-00-00</v>
      </c>
    </row>
    <row r="240" spans="1:9">
      <c r="A240" s="33">
        <v>239</v>
      </c>
      <c r="B240" s="91">
        <v>44120</v>
      </c>
      <c r="C240" s="78" t="s">
        <v>3961</v>
      </c>
      <c r="D240" s="33" t="s">
        <v>1280</v>
      </c>
      <c r="E240" s="69" t="str">
        <f>RIGHT(บันทึกนำเข้าDrawing[[#This Row],[Drawing No]],1)</f>
        <v>1</v>
      </c>
      <c r="F240" s="84" t="s">
        <v>3962</v>
      </c>
      <c r="G240" s="118" t="s">
        <v>4029</v>
      </c>
      <c r="H240" s="83">
        <v>44286</v>
      </c>
      <c r="I240" s="29" t="str">
        <f>CONCATENATE(บันทึกนำเข้าDrawing[[#This Row],[Part No]],"+",บันทึกนำเข้าDrawing[[#This Row],[Drawing No]])</f>
        <v>2B26-253-00+DR-TW-2B26-253-00-01</v>
      </c>
    </row>
    <row r="241" spans="1:9">
      <c r="A241" s="33">
        <v>240</v>
      </c>
      <c r="B241" s="91">
        <v>44120</v>
      </c>
      <c r="C241" s="78" t="s">
        <v>4079</v>
      </c>
      <c r="D241" s="33" t="s">
        <v>4137</v>
      </c>
      <c r="E241" s="69" t="str">
        <f>RIGHT(บันทึกนำเข้าDrawing[[#This Row],[Drawing No]],1)</f>
        <v>0</v>
      </c>
      <c r="F241" s="84" t="s">
        <v>3963</v>
      </c>
      <c r="G241" s="118" t="s">
        <v>4029</v>
      </c>
      <c r="H241" s="83"/>
      <c r="I241" s="29" t="str">
        <f>CONCATENATE(บันทึกนำเข้าDrawing[[#This Row],[Part No]],"+",บันทึกนำเข้าDrawing[[#This Row],[Drawing No]])</f>
        <v>2B29-345-00+DR-TW-2B29-345-00-00</v>
      </c>
    </row>
    <row r="242" spans="1:9">
      <c r="A242" s="33">
        <v>229</v>
      </c>
      <c r="B242" s="91">
        <v>44105</v>
      </c>
      <c r="C242" s="78" t="s">
        <v>4073</v>
      </c>
      <c r="D242" s="33" t="s">
        <v>636</v>
      </c>
      <c r="E242" s="69" t="str">
        <f>RIGHT(บันทึกนำเข้าDrawing[[#This Row],[Drawing No]],1)</f>
        <v>1</v>
      </c>
      <c r="F242" s="84" t="s">
        <v>3954</v>
      </c>
      <c r="G242" s="118" t="s">
        <v>4029</v>
      </c>
      <c r="H242" s="83"/>
      <c r="I242" s="29" t="str">
        <f>CONCATENATE(บันทึกนำเข้าDrawing[[#This Row],[Part No]],"+",บันทึกนำเข้าDrawing[[#This Row],[Drawing No]])</f>
        <v>2B24-240-02+DR-TW-2B24-240-02-01</v>
      </c>
    </row>
    <row r="243" spans="1:9">
      <c r="A243" s="33">
        <v>230</v>
      </c>
      <c r="B243" s="91">
        <v>44105</v>
      </c>
      <c r="C243" s="78" t="s">
        <v>4074</v>
      </c>
      <c r="D243" s="33" t="s">
        <v>638</v>
      </c>
      <c r="E243" s="69" t="str">
        <f>RIGHT(บันทึกนำเข้าDrawing[[#This Row],[Drawing No]],1)</f>
        <v>1</v>
      </c>
      <c r="F243" s="84" t="s">
        <v>3955</v>
      </c>
      <c r="G243" s="118" t="s">
        <v>4029</v>
      </c>
      <c r="H243" s="83"/>
      <c r="I243" s="29" t="str">
        <f>CONCATENATE(บันทึกนำเข้าDrawing[[#This Row],[Part No]],"+",บันทึกนำเข้าDrawing[[#This Row],[Drawing No]])</f>
        <v>2B24-241-02+DR-TW-2B24-241-02-01</v>
      </c>
    </row>
    <row r="244" spans="1:9">
      <c r="A244" s="33">
        <v>241</v>
      </c>
      <c r="B244" s="91">
        <v>44120</v>
      </c>
      <c r="C244" s="78" t="s">
        <v>4078</v>
      </c>
      <c r="D244" s="33" t="s">
        <v>4136</v>
      </c>
      <c r="E244" s="69" t="str">
        <f>RIGHT(บันทึกนำเข้าDrawing[[#This Row],[Drawing No]],1)</f>
        <v>0</v>
      </c>
      <c r="F244" s="84" t="s">
        <v>3960</v>
      </c>
      <c r="G244" s="118" t="s">
        <v>4029</v>
      </c>
      <c r="H244" s="83"/>
      <c r="I244" s="29" t="str">
        <f>CONCATENATE(บันทึกนำเข้าDrawing[[#This Row],[Part No]],"+",บันทึกนำเข้าDrawing[[#This Row],[Drawing No]])</f>
        <v>2B69M048-00+DR-TW-2B69M048-00-00</v>
      </c>
    </row>
    <row r="245" spans="1:9">
      <c r="A245" s="33">
        <v>244</v>
      </c>
      <c r="B245" s="91">
        <v>44127</v>
      </c>
      <c r="C245" s="78" t="s">
        <v>4080</v>
      </c>
      <c r="D245" s="33" t="s">
        <v>4138</v>
      </c>
      <c r="E245" s="69" t="str">
        <f>RIGHT(บันทึกนำเข้าDrawing[[#This Row],[Drawing No]],1)</f>
        <v>0</v>
      </c>
      <c r="F245" s="84" t="s">
        <v>3964</v>
      </c>
      <c r="G245" s="118" t="s">
        <v>4029</v>
      </c>
      <c r="H245" s="83"/>
      <c r="I245" s="29" t="str">
        <f>CONCATENATE(บันทึกนำเข้าDrawing[[#This Row],[Part No]],"+",บันทึกนำเข้าDrawing[[#This Row],[Drawing No]])</f>
        <v>2B25-266-00+DR-TW-2B25-266-00-00</v>
      </c>
    </row>
    <row r="246" spans="1:9">
      <c r="A246" s="33">
        <v>242</v>
      </c>
      <c r="B246" s="91">
        <v>44127</v>
      </c>
      <c r="C246" s="78" t="s">
        <v>4082</v>
      </c>
      <c r="D246" s="33" t="s">
        <v>4140</v>
      </c>
      <c r="E246" s="69" t="str">
        <f>RIGHT(บันทึกนำเข้าDrawing[[#This Row],[Drawing No]],1)</f>
        <v>0</v>
      </c>
      <c r="F246" s="84" t="s">
        <v>3954</v>
      </c>
      <c r="G246" s="118" t="s">
        <v>4029</v>
      </c>
      <c r="H246" s="83"/>
      <c r="I246" s="29" t="str">
        <f>CONCATENATE(บันทึกนำเข้าDrawing[[#This Row],[Part No]],"+",บันทึกนำเข้าDrawing[[#This Row],[Drawing No]])</f>
        <v>2B24-240-03+DR-TW-2B24-240-03-00</v>
      </c>
    </row>
    <row r="247" spans="1:9">
      <c r="A247" s="33">
        <v>243</v>
      </c>
      <c r="B247" s="91">
        <v>44127</v>
      </c>
      <c r="C247" s="78" t="s">
        <v>4084</v>
      </c>
      <c r="D247" s="33" t="s">
        <v>4142</v>
      </c>
      <c r="E247" s="69" t="str">
        <f>RIGHT(บันทึกนำเข้าDrawing[[#This Row],[Drawing No]],1)</f>
        <v>0</v>
      </c>
      <c r="F247" s="84" t="s">
        <v>3955</v>
      </c>
      <c r="G247" s="118" t="s">
        <v>4029</v>
      </c>
      <c r="H247" s="83"/>
      <c r="I247" s="29" t="str">
        <f>CONCATENATE(บันทึกนำเข้าDrawing[[#This Row],[Part No]],"+",บันทึกนำเข้าDrawing[[#This Row],[Drawing No]])</f>
        <v>2B24-241-03+DR-TW-2B24-241-03-00</v>
      </c>
    </row>
    <row r="248" spans="1:9">
      <c r="A248" s="33">
        <v>247</v>
      </c>
      <c r="B248" s="91">
        <v>44130</v>
      </c>
      <c r="C248" s="78" t="s">
        <v>3628</v>
      </c>
      <c r="D248" s="33" t="s">
        <v>1076</v>
      </c>
      <c r="E248" s="69" t="str">
        <f>RIGHT(บันทึกนำเข้าDrawing[[#This Row],[Drawing No]],1)</f>
        <v>0</v>
      </c>
      <c r="F248" s="84" t="s">
        <v>3967</v>
      </c>
      <c r="G248" s="118" t="s">
        <v>4029</v>
      </c>
      <c r="H248" s="83">
        <v>44132</v>
      </c>
      <c r="I248" s="29" t="str">
        <f>CONCATENATE(บันทึกนำเข้าDrawing[[#This Row],[Part No]],"+",บันทึกนำเข้าDrawing[[#This Row],[Drawing No]])</f>
        <v>2B26-066-04+DR-TW-2B26-066-04-00</v>
      </c>
    </row>
    <row r="249" spans="1:9">
      <c r="A249" s="33">
        <v>248</v>
      </c>
      <c r="B249" s="91">
        <v>44135</v>
      </c>
      <c r="C249" s="90" t="s">
        <v>3742</v>
      </c>
      <c r="D249" s="33" t="s">
        <v>1340</v>
      </c>
      <c r="E249" s="69" t="str">
        <f>RIGHT(บันทึกนำเข้าDrawing[[#This Row],[Drawing No]],1)</f>
        <v>0</v>
      </c>
      <c r="F249" s="84" t="s">
        <v>3968</v>
      </c>
      <c r="G249" s="118" t="s">
        <v>4029</v>
      </c>
      <c r="H249" s="83">
        <v>44153</v>
      </c>
      <c r="I249" s="29" t="str">
        <f>CONCATENATE(บันทึกนำเข้าDrawing[[#This Row],[Part No]],"+",บันทึกนำเข้าDrawing[[#This Row],[Drawing No]])</f>
        <v>2B26-292-00+DR-TW-2B26-292-00-00</v>
      </c>
    </row>
    <row r="250" spans="1:9">
      <c r="A250" s="33">
        <v>249</v>
      </c>
      <c r="B250" s="91">
        <v>44135</v>
      </c>
      <c r="C250" s="78" t="s">
        <v>3741</v>
      </c>
      <c r="D250" s="33" t="s">
        <v>1341</v>
      </c>
      <c r="E250" s="69" t="str">
        <f>RIGHT(บันทึกนำเข้าDrawing[[#This Row],[Drawing No]],1)</f>
        <v>0</v>
      </c>
      <c r="F250" s="84" t="s">
        <v>3969</v>
      </c>
      <c r="G250" s="118" t="s">
        <v>4027</v>
      </c>
      <c r="H250" s="83">
        <v>44152</v>
      </c>
      <c r="I250" s="29" t="str">
        <f>CONCATENATE(บันทึกนำเข้าDrawing[[#This Row],[Part No]],"+",บันทึกนำเข้าDrawing[[#This Row],[Drawing No]])</f>
        <v>2B26-293-00+DR-TW-2B26-293-00-00</v>
      </c>
    </row>
    <row r="251" spans="1:9">
      <c r="A251" s="33">
        <v>250</v>
      </c>
      <c r="B251" s="91">
        <v>44135</v>
      </c>
      <c r="C251" s="78" t="s">
        <v>4795</v>
      </c>
      <c r="D251" s="33" t="s">
        <v>3292</v>
      </c>
      <c r="E251" s="69" t="str">
        <f>RIGHT(บันทึกนำเข้าDrawing[[#This Row],[Drawing No]],1)</f>
        <v>1</v>
      </c>
      <c r="F251" s="84" t="s">
        <v>3970</v>
      </c>
      <c r="G251" s="118" t="s">
        <v>4029</v>
      </c>
      <c r="H251" s="83">
        <v>44152</v>
      </c>
      <c r="I251" s="29" t="str">
        <f>CONCATENATE(บันทึกนำเข้าDrawing[[#This Row],[Part No]],"+",บันทึกนำเข้าDrawing[[#This Row],[Drawing No]])</f>
        <v>2B26-294-00+DR-TW-2B26-294-00-01</v>
      </c>
    </row>
    <row r="252" spans="1:9">
      <c r="A252" s="33">
        <v>251</v>
      </c>
      <c r="B252" s="91">
        <v>44148</v>
      </c>
      <c r="C252" s="78" t="s">
        <v>3755</v>
      </c>
      <c r="D252" s="33" t="s">
        <v>1330</v>
      </c>
      <c r="E252" s="69" t="str">
        <f>RIGHT(บันทึกนำเข้าDrawing[[#This Row],[Drawing No]],1)</f>
        <v>0</v>
      </c>
      <c r="F252" s="84" t="s">
        <v>3971</v>
      </c>
      <c r="G252" s="118" t="s">
        <v>4029</v>
      </c>
      <c r="H252" s="83">
        <v>44149</v>
      </c>
      <c r="I252" s="29" t="str">
        <f>CONCATENATE(บันทึกนำเข้าDrawing[[#This Row],[Part No]],"+",บันทึกนำเข้าDrawing[[#This Row],[Drawing No]])</f>
        <v>2B26-279-02+DR-TW-2B26-279-02-00</v>
      </c>
    </row>
    <row r="253" spans="1:9">
      <c r="A253" s="33">
        <v>252</v>
      </c>
      <c r="B253" s="91">
        <v>44148</v>
      </c>
      <c r="C253" s="78" t="s">
        <v>3700</v>
      </c>
      <c r="D253" s="33" t="s">
        <v>1338</v>
      </c>
      <c r="E253" s="69" t="str">
        <f>RIGHT(บันทึกนำเข้าDrawing[[#This Row],[Drawing No]],1)</f>
        <v>0</v>
      </c>
      <c r="F253" s="84" t="s">
        <v>3894</v>
      </c>
      <c r="G253" s="118" t="s">
        <v>4029</v>
      </c>
      <c r="H253" s="83"/>
      <c r="I253" s="29" t="str">
        <f>CONCATENATE(บันทึกนำเข้าDrawing[[#This Row],[Part No]],"+",บันทึกนำเข้าDrawing[[#This Row],[Drawing No]])</f>
        <v>2B26-282-00+DR-TW-2B26-282-00-00</v>
      </c>
    </row>
    <row r="254" spans="1:9">
      <c r="A254" s="33">
        <v>253</v>
      </c>
      <c r="B254" s="91">
        <v>44154</v>
      </c>
      <c r="C254" s="78" t="s">
        <v>3702</v>
      </c>
      <c r="D254" s="33" t="s">
        <v>1339</v>
      </c>
      <c r="E254" s="69" t="str">
        <f>RIGHT(บันทึกนำเข้าDrawing[[#This Row],[Drawing No]],1)</f>
        <v>0</v>
      </c>
      <c r="F254" s="84" t="s">
        <v>3923</v>
      </c>
      <c r="G254" s="118" t="s">
        <v>4029</v>
      </c>
      <c r="H254" s="83"/>
      <c r="I254" s="29" t="str">
        <f>CONCATENATE(บันทึกนำเข้าDrawing[[#This Row],[Part No]],"+",บันทึกนำเข้าDrawing[[#This Row],[Drawing No]])</f>
        <v>2B26-283-00+DR-TW-2B26-283-00-00</v>
      </c>
    </row>
    <row r="255" spans="1:9">
      <c r="A255" s="33">
        <v>254</v>
      </c>
      <c r="B255" s="91">
        <v>44156</v>
      </c>
      <c r="C255" s="78" t="s">
        <v>3631</v>
      </c>
      <c r="D255" s="33" t="s">
        <v>988</v>
      </c>
      <c r="E255" s="69" t="str">
        <f>RIGHT(บันทึกนำเข้าDrawing[[#This Row],[Drawing No]],1)</f>
        <v>0</v>
      </c>
      <c r="F255" s="84" t="s">
        <v>3975</v>
      </c>
      <c r="G255" s="118" t="s">
        <v>4029</v>
      </c>
      <c r="H255" s="83">
        <v>44168</v>
      </c>
      <c r="I255" s="29" t="str">
        <f>CONCATENATE(บันทึกนำเข้าDrawing[[#This Row],[Part No]],"+",บันทึกนำเข้าDrawing[[#This Row],[Drawing No]])</f>
        <v>2B25-267-00+DR-TW-2B25-267-00-00</v>
      </c>
    </row>
    <row r="256" spans="1:9">
      <c r="A256" s="33">
        <v>255</v>
      </c>
      <c r="B256" s="91">
        <v>44156</v>
      </c>
      <c r="C256" s="78" t="s">
        <v>3295</v>
      </c>
      <c r="D256" s="33" t="s">
        <v>3294</v>
      </c>
      <c r="E256" s="69" t="str">
        <f>RIGHT(บันทึกนำเข้าDrawing[[#This Row],[Drawing No]],1)</f>
        <v>0</v>
      </c>
      <c r="F256" s="84" t="s">
        <v>3976</v>
      </c>
      <c r="G256" s="118" t="s">
        <v>4027</v>
      </c>
      <c r="H256" s="83">
        <v>44257</v>
      </c>
      <c r="I256" s="29" t="str">
        <f>CONCATENATE(บันทึกนำเข้าDrawing[[#This Row],[Part No]],"+",บันทึกนำเข้าDrawing[[#This Row],[Drawing No]])</f>
        <v>2B26-323-01+DR-TW-2B26-323-01-00</v>
      </c>
    </row>
    <row r="257" spans="1:9">
      <c r="A257" s="33">
        <v>256</v>
      </c>
      <c r="B257" s="91">
        <v>44156</v>
      </c>
      <c r="C257" s="78" t="s">
        <v>3763</v>
      </c>
      <c r="D257" s="33" t="s">
        <v>3764</v>
      </c>
      <c r="E257" s="69" t="str">
        <f>RIGHT(บันทึกนำเข้าDrawing[[#This Row],[Drawing No]],1)</f>
        <v>0</v>
      </c>
      <c r="F257" s="84" t="s">
        <v>3977</v>
      </c>
      <c r="G257" s="118" t="s">
        <v>4029</v>
      </c>
      <c r="H257" s="83"/>
      <c r="I257" s="29" t="str">
        <f>CONCATENATE(บันทึกนำเข้าDrawing[[#This Row],[Part No]],"+",บันทึกนำเข้าDrawing[[#This Row],[Drawing No]])</f>
        <v>2B26-340-01+DR-TW-2B26-340-01-00</v>
      </c>
    </row>
    <row r="258" spans="1:9">
      <c r="A258" s="33">
        <v>257</v>
      </c>
      <c r="B258" s="91">
        <v>44165</v>
      </c>
      <c r="C258" s="78" t="s">
        <v>3638</v>
      </c>
      <c r="D258" s="33" t="s">
        <v>1000</v>
      </c>
      <c r="E258" s="69" t="str">
        <f>RIGHT(บันทึกนำเข้าDrawing[[#This Row],[Drawing No]],1)</f>
        <v>0</v>
      </c>
      <c r="F258" s="84" t="s">
        <v>3978</v>
      </c>
      <c r="G258" s="118" t="s">
        <v>4029</v>
      </c>
      <c r="H258" s="83"/>
      <c r="I258" s="29" t="str">
        <f>CONCATENATE(บันทึกนำเข้าDrawing[[#This Row],[Part No]],"+",บันทึกนำเข้าDrawing[[#This Row],[Drawing No]])</f>
        <v>2B25-400-00+DR-TW-2B25-400-00-00</v>
      </c>
    </row>
    <row r="259" spans="1:9">
      <c r="A259" s="33">
        <v>258</v>
      </c>
      <c r="B259" s="91">
        <v>44165</v>
      </c>
      <c r="C259" s="78" t="s">
        <v>3639</v>
      </c>
      <c r="D259" s="33" t="s">
        <v>1001</v>
      </c>
      <c r="E259" s="69" t="str">
        <f>RIGHT(บันทึกนำเข้าDrawing[[#This Row],[Drawing No]],1)</f>
        <v>0</v>
      </c>
      <c r="F259" s="84" t="s">
        <v>3979</v>
      </c>
      <c r="G259" s="118" t="s">
        <v>4029</v>
      </c>
      <c r="H259" s="83"/>
      <c r="I259" s="29" t="str">
        <f>CONCATENATE(บันทึกนำเข้าDrawing[[#This Row],[Part No]],"+",บันทึกนำเข้าDrawing[[#This Row],[Drawing No]])</f>
        <v>2B25-401-00+DR-TW-2B25-401-00-00</v>
      </c>
    </row>
    <row r="260" spans="1:9">
      <c r="A260" s="33">
        <v>259</v>
      </c>
      <c r="B260" s="91">
        <v>44167</v>
      </c>
      <c r="C260" s="78" t="s">
        <v>4085</v>
      </c>
      <c r="D260" s="33" t="s">
        <v>989</v>
      </c>
      <c r="E260" s="69" t="str">
        <f>RIGHT(บันทึกนำเข้าDrawing[[#This Row],[Drawing No]],1)</f>
        <v>0</v>
      </c>
      <c r="F260" s="84" t="s">
        <v>3980</v>
      </c>
      <c r="G260" s="118" t="s">
        <v>4029</v>
      </c>
      <c r="H260" s="83">
        <v>44169</v>
      </c>
      <c r="I260" s="29" t="str">
        <f>CONCATENATE(บันทึกนำเข้าDrawing[[#This Row],[Part No]],"+",บันทึกนำเข้าDrawing[[#This Row],[Drawing No]])</f>
        <v>2B25-268-00+DR-TW-2B25-268-00-00</v>
      </c>
    </row>
    <row r="261" spans="1:9">
      <c r="A261" s="33">
        <v>260</v>
      </c>
      <c r="B261" s="91">
        <v>44173</v>
      </c>
      <c r="C261" s="78" t="s">
        <v>3753</v>
      </c>
      <c r="D261" s="33" t="s">
        <v>644</v>
      </c>
      <c r="E261" s="69" t="str">
        <f>RIGHT(บันทึกนำเข้าDrawing[[#This Row],[Drawing No]],1)</f>
        <v>0</v>
      </c>
      <c r="F261" s="84" t="s">
        <v>3775</v>
      </c>
      <c r="G261" s="118" t="s">
        <v>4029</v>
      </c>
      <c r="H261" s="83"/>
      <c r="I261" s="29" t="str">
        <f>CONCATENATE(บันทึกนำเข้าDrawing[[#This Row],[Part No]],"+",บันทึกนำเข้าDrawing[[#This Row],[Drawing No]])</f>
        <v>2B24-300-01+DR-TW-2B24-300-01-00</v>
      </c>
    </row>
    <row r="262" spans="1:9">
      <c r="A262" s="33">
        <v>261</v>
      </c>
      <c r="B262" s="91">
        <v>44173</v>
      </c>
      <c r="C262" s="78" t="s">
        <v>3602</v>
      </c>
      <c r="D262" s="33" t="s">
        <v>2161</v>
      </c>
      <c r="E262" s="69" t="str">
        <f>RIGHT(บันทึกนำเข้าDrawing[[#This Row],[Drawing No]],1)</f>
        <v>0</v>
      </c>
      <c r="F262" s="84" t="s">
        <v>3983</v>
      </c>
      <c r="G262" s="118" t="s">
        <v>4029</v>
      </c>
      <c r="H262" s="83">
        <v>44175</v>
      </c>
      <c r="I262" s="29" t="str">
        <f>CONCATENATE(บันทึกนำเข้าDrawing[[#This Row],[Part No]],"+",บันทึกนำเข้าDrawing[[#This Row],[Drawing No]])</f>
        <v>2B53-400-02+DR-TW-2B53-400-02-00</v>
      </c>
    </row>
    <row r="263" spans="1:9">
      <c r="A263" s="33">
        <v>262</v>
      </c>
      <c r="B263" s="91">
        <v>44175</v>
      </c>
      <c r="C263" s="78" t="s">
        <v>4086</v>
      </c>
      <c r="D263" s="33" t="s">
        <v>1093</v>
      </c>
      <c r="E263" s="69" t="str">
        <f>RIGHT(บันทึกนำเข้าDrawing[[#This Row],[Drawing No]],1)</f>
        <v>0</v>
      </c>
      <c r="F263" s="84" t="s">
        <v>3984</v>
      </c>
      <c r="G263" s="118" t="s">
        <v>4029</v>
      </c>
      <c r="H263" s="83"/>
      <c r="I263" s="29" t="str">
        <f>CONCATENATE(บันทึกนำเข้าDrawing[[#This Row],[Part No]],"+",บันทึกนำเข้าDrawing[[#This Row],[Drawing No]])</f>
        <v>2B26-102-00+DR-TW-2B26-102-00-00</v>
      </c>
    </row>
    <row r="264" spans="1:9">
      <c r="A264" s="33">
        <v>263</v>
      </c>
      <c r="B264" s="91">
        <v>44175</v>
      </c>
      <c r="C264" s="78" t="s">
        <v>4087</v>
      </c>
      <c r="D264" s="33" t="s">
        <v>1338</v>
      </c>
      <c r="E264" s="69" t="str">
        <f>RIGHT(บันทึกนำเข้าDrawing[[#This Row],[Drawing No]],1)</f>
        <v>1</v>
      </c>
      <c r="F264" s="84" t="s">
        <v>3894</v>
      </c>
      <c r="G264" s="118" t="s">
        <v>4029</v>
      </c>
      <c r="H264" s="83"/>
      <c r="I264" s="29" t="str">
        <f>CONCATENATE(บันทึกนำเข้าDrawing[[#This Row],[Part No]],"+",บันทึกนำเข้าDrawing[[#This Row],[Drawing No]])</f>
        <v>2B26-282-00+DR-TW-2B26-282-00-01</v>
      </c>
    </row>
    <row r="265" spans="1:9">
      <c r="A265" s="33">
        <v>264</v>
      </c>
      <c r="B265" s="91">
        <v>44175</v>
      </c>
      <c r="C265" s="78" t="s">
        <v>4088</v>
      </c>
      <c r="D265" s="33" t="s">
        <v>1339</v>
      </c>
      <c r="E265" s="69" t="str">
        <f>RIGHT(บันทึกนำเข้าDrawing[[#This Row],[Drawing No]],1)</f>
        <v>1</v>
      </c>
      <c r="F265" s="84" t="s">
        <v>3931</v>
      </c>
      <c r="G265" s="118" t="s">
        <v>4029</v>
      </c>
      <c r="H265" s="83">
        <v>44161</v>
      </c>
      <c r="I265" s="29" t="str">
        <f>CONCATENATE(บันทึกนำเข้าDrawing[[#This Row],[Part No]],"+",บันทึกนำเข้าDrawing[[#This Row],[Drawing No]])</f>
        <v>2B26-283-00+DR-TW-2B26-283-00-01</v>
      </c>
    </row>
    <row r="266" spans="1:9">
      <c r="A266" s="33">
        <v>265</v>
      </c>
      <c r="B266" s="91">
        <v>44175</v>
      </c>
      <c r="C266" s="78" t="s">
        <v>3341</v>
      </c>
      <c r="D266" s="33" t="s">
        <v>1422</v>
      </c>
      <c r="E266" s="69" t="str">
        <f>RIGHT(บันทึกนำเข้าDrawing[[#This Row],[Drawing No]],1)</f>
        <v>0</v>
      </c>
      <c r="F266" s="84" t="s">
        <v>3987</v>
      </c>
      <c r="G266" s="118" t="s">
        <v>4027</v>
      </c>
      <c r="H266" s="83">
        <v>44203</v>
      </c>
      <c r="I266" s="29" t="str">
        <f>CONCATENATE(บันทึกนำเข้าDrawing[[#This Row],[Part No]],"+",บันทึกนำเข้าDrawing[[#This Row],[Drawing No]])</f>
        <v>2B27-213-00+DR-TW-2B27-213-00-00</v>
      </c>
    </row>
    <row r="267" spans="1:9">
      <c r="A267" s="33">
        <v>266</v>
      </c>
      <c r="B267" s="91">
        <v>44175</v>
      </c>
      <c r="C267" s="78" t="s">
        <v>4089</v>
      </c>
      <c r="D267" s="33" t="s">
        <v>1815</v>
      </c>
      <c r="E267" s="69" t="str">
        <f>RIGHT(บันทึกนำเข้าDrawing[[#This Row],[Drawing No]],1)</f>
        <v>0</v>
      </c>
      <c r="F267" s="84" t="s">
        <v>3988</v>
      </c>
      <c r="G267" s="118" t="s">
        <v>4029</v>
      </c>
      <c r="H267" s="83"/>
      <c r="I267" s="29" t="str">
        <f>CONCATENATE(บันทึกนำเข้าDrawing[[#This Row],[Part No]],"+",บันทึกนำเข้าDrawing[[#This Row],[Drawing No]])</f>
        <v>2B30-032-00+DR-TW-2B30-032-00-00</v>
      </c>
    </row>
    <row r="268" spans="1:9">
      <c r="A268" s="33">
        <v>267</v>
      </c>
      <c r="B268" s="91">
        <v>44175</v>
      </c>
      <c r="C268" s="78" t="s">
        <v>4090</v>
      </c>
      <c r="D268" s="33" t="s">
        <v>2147</v>
      </c>
      <c r="E268" s="69" t="str">
        <f>RIGHT(บันทึกนำเข้าDrawing[[#This Row],[Drawing No]],1)</f>
        <v>0</v>
      </c>
      <c r="F268" s="84" t="s">
        <v>3989</v>
      </c>
      <c r="G268" s="118" t="s">
        <v>4029</v>
      </c>
      <c r="H268" s="83"/>
      <c r="I268" s="29" t="str">
        <f>CONCATENATE(บันทึกนำเข้าDrawing[[#This Row],[Part No]],"+",บันทึกนำเข้าDrawing[[#This Row],[Drawing No]])</f>
        <v>2B48-730-00+DR-TW-2B48-730-00-00</v>
      </c>
    </row>
    <row r="269" spans="1:9">
      <c r="A269" s="33">
        <v>268</v>
      </c>
      <c r="B269" s="91">
        <v>44175</v>
      </c>
      <c r="C269" s="78" t="s">
        <v>4091</v>
      </c>
      <c r="D269" s="33" t="s">
        <v>2148</v>
      </c>
      <c r="E269" s="69" t="str">
        <f>RIGHT(บันทึกนำเข้าDrawing[[#This Row],[Drawing No]],1)</f>
        <v>0</v>
      </c>
      <c r="F269" s="84" t="s">
        <v>4012</v>
      </c>
      <c r="G269" s="118" t="s">
        <v>4029</v>
      </c>
      <c r="H269" s="83"/>
      <c r="I269" s="29" t="str">
        <f>CONCATENATE(บันทึกนำเข้าDrawing[[#This Row],[Part No]],"+",บันทึกนำเข้าDrawing[[#This Row],[Drawing No]])</f>
        <v>2B48-731-00+DR-TW-2B48-731-00-00</v>
      </c>
    </row>
    <row r="270" spans="1:9">
      <c r="A270" s="33">
        <v>269</v>
      </c>
      <c r="B270" s="91">
        <v>44177</v>
      </c>
      <c r="C270" s="78" t="s">
        <v>4092</v>
      </c>
      <c r="D270" s="33" t="s">
        <v>4143</v>
      </c>
      <c r="E270" s="69" t="str">
        <f>RIGHT(บันทึกนำเข้าDrawing[[#This Row],[Drawing No]],1)</f>
        <v>0</v>
      </c>
      <c r="F270" s="84" t="s">
        <v>3990</v>
      </c>
      <c r="G270" s="118" t="s">
        <v>4029</v>
      </c>
      <c r="H270" s="83"/>
      <c r="I270" s="29" t="str">
        <f>CONCATENATE(บันทึกนำเข้าDrawing[[#This Row],[Part No]],"+",บันทึกนำเข้าDrawing[[#This Row],[Drawing No]])</f>
        <v>2B25-196-00-R+DR-TW-2B25-196-00-R-00</v>
      </c>
    </row>
    <row r="271" spans="1:9">
      <c r="A271" s="33">
        <v>270</v>
      </c>
      <c r="B271" s="91">
        <v>44177</v>
      </c>
      <c r="C271" s="78" t="s">
        <v>4093</v>
      </c>
      <c r="D271" s="33" t="s">
        <v>4144</v>
      </c>
      <c r="E271" s="69" t="str">
        <f>RIGHT(บันทึกนำเข้าDrawing[[#This Row],[Drawing No]],1)</f>
        <v>0</v>
      </c>
      <c r="F271" s="84" t="s">
        <v>3991</v>
      </c>
      <c r="G271" s="118" t="s">
        <v>4029</v>
      </c>
      <c r="H271" s="83"/>
      <c r="I271" s="29" t="str">
        <f>CONCATENATE(บันทึกนำเข้าDrawing[[#This Row],[Part No]],"+",บันทึกนำเข้าDrawing[[#This Row],[Drawing No]])</f>
        <v>2B25-197-00-R+DR-TW-2B25-197-00-R-00</v>
      </c>
    </row>
    <row r="272" spans="1:9">
      <c r="A272" s="33">
        <v>271</v>
      </c>
      <c r="B272" s="91">
        <v>44177</v>
      </c>
      <c r="C272" s="78" t="s">
        <v>4094</v>
      </c>
      <c r="D272" s="33" t="s">
        <v>4145</v>
      </c>
      <c r="E272" s="69" t="str">
        <f>RIGHT(บันทึกนำเข้าDrawing[[#This Row],[Drawing No]],1)</f>
        <v>R</v>
      </c>
      <c r="F272" s="84" t="s">
        <v>3992</v>
      </c>
      <c r="G272" s="118" t="s">
        <v>4029</v>
      </c>
      <c r="H272" s="83"/>
      <c r="I272" s="29" t="str">
        <f>CONCATENATE(บันทึกนำเข้าDrawing[[#This Row],[Part No]],"+",บันทึกนำเข้าDrawing[[#This Row],[Drawing No]])</f>
        <v>2B25-303-00-R+DR-TW-2B25-303-00-R</v>
      </c>
    </row>
    <row r="273" spans="1:9">
      <c r="A273" s="33">
        <v>272</v>
      </c>
      <c r="B273" s="81">
        <v>44177</v>
      </c>
      <c r="C273" s="88" t="s">
        <v>3322</v>
      </c>
      <c r="D273" s="33" t="s">
        <v>2154</v>
      </c>
      <c r="E273" s="69" t="str">
        <f>RIGHT(บันทึกนำเข้าDrawing[[#This Row],[Drawing No]],1)</f>
        <v>0</v>
      </c>
      <c r="F273" s="84" t="s">
        <v>2713</v>
      </c>
      <c r="G273" s="118" t="s">
        <v>4029</v>
      </c>
      <c r="H273" s="83">
        <v>44212</v>
      </c>
      <c r="I273" s="29" t="str">
        <f>CONCATENATE(บันทึกนำเข้าDrawing[[#This Row],[Part No]],"+",บันทึกนำเข้าDrawing[[#This Row],[Drawing No]])</f>
        <v>2B51-350-00+DR-TW-2B51-215-01-00</v>
      </c>
    </row>
    <row r="274" spans="1:9">
      <c r="A274" s="33">
        <v>273</v>
      </c>
      <c r="B274" s="81">
        <v>44177</v>
      </c>
      <c r="C274" s="88" t="s">
        <v>3322</v>
      </c>
      <c r="D274" s="33" t="s">
        <v>2153</v>
      </c>
      <c r="E274" s="69" t="str">
        <f>RIGHT(บันทึกนำเข้าDrawing[[#This Row],[Drawing No]],1)</f>
        <v>0</v>
      </c>
      <c r="F274" s="84" t="s">
        <v>3267</v>
      </c>
      <c r="G274" s="118" t="s">
        <v>4029</v>
      </c>
      <c r="H274" s="83">
        <v>44715</v>
      </c>
      <c r="I274" s="29" t="str">
        <f>CONCATENATE(บันทึกนำเข้าDrawing[[#This Row],[Part No]],"+",บันทึกนำเข้าDrawing[[#This Row],[Drawing No]])</f>
        <v>2B51-260-01+DR-TW-2B51-215-01-00</v>
      </c>
    </row>
    <row r="275" spans="1:9">
      <c r="A275" s="33">
        <v>274</v>
      </c>
      <c r="B275" s="91">
        <v>44178</v>
      </c>
      <c r="C275" s="75" t="s">
        <v>4095</v>
      </c>
      <c r="D275" s="33" t="s">
        <v>2151</v>
      </c>
      <c r="E275" s="69" t="str">
        <f>RIGHT(บันทึกนำเข้าDrawing[[#This Row],[Drawing No]],1)</f>
        <v>2</v>
      </c>
      <c r="F275" s="73" t="s">
        <v>5890</v>
      </c>
      <c r="G275" s="118" t="s">
        <v>4029</v>
      </c>
      <c r="H275" s="83">
        <v>43896</v>
      </c>
      <c r="I275" s="29" t="str">
        <f>CONCATENATE(บันทึกนำเข้าDrawing[[#This Row],[Part No]],"+",บันทึกนำเข้าDrawing[[#This Row],[Drawing No]])</f>
        <v>2B51-215-01+DR-TW-2B51-215-01-02</v>
      </c>
    </row>
    <row r="276" spans="1:9">
      <c r="A276" s="33">
        <v>275</v>
      </c>
      <c r="B276" s="91">
        <v>44181</v>
      </c>
      <c r="C276" s="78" t="s">
        <v>3340</v>
      </c>
      <c r="D276" s="33" t="s">
        <v>661</v>
      </c>
      <c r="E276" s="69" t="str">
        <f>RIGHT(บันทึกนำเข้าDrawing[[#This Row],[Drawing No]],1)</f>
        <v>0</v>
      </c>
      <c r="F276" s="84" t="s">
        <v>3994</v>
      </c>
      <c r="G276" s="118" t="s">
        <v>4029</v>
      </c>
      <c r="H276" s="83">
        <v>44205</v>
      </c>
      <c r="I276" s="29" t="str">
        <f>CONCATENATE(บันทึกนำเข้าDrawing[[#This Row],[Part No]],"+",บันทึกนำเข้าDrawing[[#This Row],[Drawing No]])</f>
        <v>2B24E100-00+DR-TW-2B24E100-00-00</v>
      </c>
    </row>
    <row r="277" spans="1:9">
      <c r="A277" s="33">
        <v>276</v>
      </c>
      <c r="B277" s="91">
        <v>44181</v>
      </c>
      <c r="C277" s="78" t="s">
        <v>3995</v>
      </c>
      <c r="D277" s="33" t="s">
        <v>3996</v>
      </c>
      <c r="E277" s="69" t="str">
        <f>RIGHT(บันทึกนำเข้าDrawing[[#This Row],[Drawing No]],1)</f>
        <v>0</v>
      </c>
      <c r="F277" s="79" t="s">
        <v>3997</v>
      </c>
      <c r="G277" s="118" t="s">
        <v>4029</v>
      </c>
      <c r="H277" s="83">
        <v>42908</v>
      </c>
      <c r="I277" s="29" t="str">
        <f>CONCATENATE(บันทึกนำเข้าDrawing[[#This Row],[Part No]],"+",บันทึกนำเข้าDrawing[[#This Row],[Drawing No]])</f>
        <v>2B48-106-03+DR-TW-2B48-106-03-00</v>
      </c>
    </row>
    <row r="278" spans="1:9">
      <c r="A278" s="33">
        <v>245</v>
      </c>
      <c r="B278" s="91">
        <v>44127</v>
      </c>
      <c r="C278" s="78" t="s">
        <v>4083</v>
      </c>
      <c r="D278" s="33" t="s">
        <v>4141</v>
      </c>
      <c r="E278" s="69" t="str">
        <f>RIGHT(บันทึกนำเข้าDrawing[[#This Row],[Drawing No]],1)</f>
        <v>0</v>
      </c>
      <c r="F278" s="79" t="s">
        <v>3966</v>
      </c>
      <c r="G278" s="118" t="s">
        <v>4029</v>
      </c>
      <c r="H278" s="83"/>
      <c r="I278" s="29" t="str">
        <f>CONCATENATE(บันทึกนำเข้าDrawing[[#This Row],[Part No]],"+",บันทึกนำเข้าDrawing[[#This Row],[Drawing No]])</f>
        <v>2B27-458-00+DR-TW-2B27-458-00-00</v>
      </c>
    </row>
    <row r="279" spans="1:9">
      <c r="A279" s="33">
        <v>246</v>
      </c>
      <c r="B279" s="91">
        <v>44127</v>
      </c>
      <c r="C279" s="78" t="s">
        <v>4081</v>
      </c>
      <c r="D279" s="33" t="s">
        <v>4139</v>
      </c>
      <c r="E279" s="69" t="str">
        <f>RIGHT(บันทึกนำเข้าDrawing[[#This Row],[Drawing No]],1)</f>
        <v>0</v>
      </c>
      <c r="F279" s="84" t="s">
        <v>3965</v>
      </c>
      <c r="G279" s="118" t="s">
        <v>4029</v>
      </c>
      <c r="H279" s="83"/>
      <c r="I279" s="29" t="str">
        <f>CONCATENATE(บันทึกนำเข้าDrawing[[#This Row],[Part No]],"+",บันทึกนำเข้าDrawing[[#This Row],[Drawing No]])</f>
        <v>2B29-128-01+DR-TW-2B29-128-01-00</v>
      </c>
    </row>
    <row r="280" spans="1:9">
      <c r="A280" s="33">
        <v>279</v>
      </c>
      <c r="B280" s="91">
        <v>44186</v>
      </c>
      <c r="C280" s="90" t="s">
        <v>4097</v>
      </c>
      <c r="D280" s="33" t="s">
        <v>644</v>
      </c>
      <c r="E280" s="69" t="str">
        <f>RIGHT(บันทึกนำเข้าDrawing[[#This Row],[Drawing No]],1)</f>
        <v>1</v>
      </c>
      <c r="F280" s="84" t="s">
        <v>3775</v>
      </c>
      <c r="G280" s="118" t="s">
        <v>4029</v>
      </c>
      <c r="H280" s="83">
        <v>44186</v>
      </c>
      <c r="I280" s="29" t="str">
        <f>CONCATENATE(บันทึกนำเข้าDrawing[[#This Row],[Part No]],"+",บันทึกนำเข้าDrawing[[#This Row],[Drawing No]])</f>
        <v>2B24-300-01+DR-TW-2B24-300-01-01</v>
      </c>
    </row>
    <row r="281" spans="1:9">
      <c r="A281" s="33">
        <v>280</v>
      </c>
      <c r="B281" s="91">
        <v>44186</v>
      </c>
      <c r="C281" s="78" t="s">
        <v>4098</v>
      </c>
      <c r="D281" s="33" t="s">
        <v>931</v>
      </c>
      <c r="E281" s="69" t="str">
        <f>RIGHT(บันทึกนำเข้าDrawing[[#This Row],[Drawing No]],1)</f>
        <v>0</v>
      </c>
      <c r="F281" s="84" t="s">
        <v>4001</v>
      </c>
      <c r="G281" s="118" t="s">
        <v>4029</v>
      </c>
      <c r="H281" s="83"/>
      <c r="I281" s="29" t="str">
        <f>CONCATENATE(บันทึกนำเข้าDrawing[[#This Row],[Part No]],"+",บันทึกนำเข้าDrawing[[#This Row],[Drawing No]])</f>
        <v>2B25-199-00+DR-TW-2B25-199-00-00</v>
      </c>
    </row>
    <row r="282" spans="1:9">
      <c r="A282" s="33">
        <v>277</v>
      </c>
      <c r="B282" s="91">
        <v>44186</v>
      </c>
      <c r="C282" s="90" t="s">
        <v>4096</v>
      </c>
      <c r="D282" s="33" t="s">
        <v>639</v>
      </c>
      <c r="E282" s="69" t="str">
        <f>RIGHT(บันทึกนำเข้าDrawing[[#This Row],[Drawing No]],1)</f>
        <v>0</v>
      </c>
      <c r="F282" s="84" t="s">
        <v>3998</v>
      </c>
      <c r="G282" s="118" t="s">
        <v>4027</v>
      </c>
      <c r="H282" s="83"/>
      <c r="I282" s="29" t="str">
        <f>CONCATENATE(บันทึกนำเข้าDrawing[[#This Row],[Part No]],"+",บันทึกนำเข้าDrawing[[#This Row],[Drawing No]])</f>
        <v>2B24-242-00+DR-TW-2B24-242-00-00</v>
      </c>
    </row>
    <row r="283" spans="1:9">
      <c r="A283" s="33">
        <v>278</v>
      </c>
      <c r="B283" s="91">
        <v>44186</v>
      </c>
      <c r="C283" s="78" t="s">
        <v>3344</v>
      </c>
      <c r="D283" s="33" t="s">
        <v>640</v>
      </c>
      <c r="E283" s="69" t="str">
        <f>RIGHT(บันทึกนำเข้าDrawing[[#This Row],[Drawing No]],1)</f>
        <v>0</v>
      </c>
      <c r="F283" s="84" t="s">
        <v>3999</v>
      </c>
      <c r="G283" s="118" t="s">
        <v>4027</v>
      </c>
      <c r="H283" s="83">
        <v>44205</v>
      </c>
      <c r="I283" s="29" t="str">
        <f>CONCATENATE(บันทึกนำเข้าDrawing[[#This Row],[Part No]],"+",บันทึกนำเข้าDrawing[[#This Row],[Drawing No]])</f>
        <v>2B24-243-00+DR-TW-2B24-243-00-00</v>
      </c>
    </row>
    <row r="284" spans="1:9">
      <c r="A284" s="33">
        <v>281</v>
      </c>
      <c r="B284" s="91">
        <v>44186</v>
      </c>
      <c r="C284" s="78" t="s">
        <v>3343</v>
      </c>
      <c r="D284" s="33" t="s">
        <v>1470</v>
      </c>
      <c r="E284" s="69" t="str">
        <f>RIGHT(บันทึกนำเข้าDrawing[[#This Row],[Drawing No]],1)</f>
        <v>0</v>
      </c>
      <c r="F284" s="84" t="s">
        <v>4002</v>
      </c>
      <c r="G284" s="118" t="s">
        <v>4027</v>
      </c>
      <c r="H284" s="83">
        <v>44204</v>
      </c>
      <c r="I284" s="29" t="str">
        <f>CONCATENATE(บันทึกนำเข้าDrawing[[#This Row],[Part No]],"+",บันทึกนำเข้าDrawing[[#This Row],[Drawing No]])</f>
        <v>2B27-458-01+DR-TW-2B27-458-01-00</v>
      </c>
    </row>
    <row r="285" spans="1:9">
      <c r="A285" s="33">
        <v>284</v>
      </c>
      <c r="B285" s="91">
        <v>44201</v>
      </c>
      <c r="C285" s="78" t="s">
        <v>4100</v>
      </c>
      <c r="D285" s="33" t="s">
        <v>2169</v>
      </c>
      <c r="E285" s="69" t="str">
        <f>RIGHT(บันทึกนำเข้าDrawing[[#This Row],[Drawing No]],1)</f>
        <v>0</v>
      </c>
      <c r="F285" s="84" t="s">
        <v>4020</v>
      </c>
      <c r="G285" s="118" t="s">
        <v>4029</v>
      </c>
      <c r="H285" s="83"/>
      <c r="I285" s="29" t="str">
        <f>CONCATENATE(บันทึกนำเข้าDrawing[[#This Row],[Part No]],"+",บันทึกนำเข้าDrawing[[#This Row],[Drawing No]])</f>
        <v>2B55-205-00+DR-TW-2B55-205-00-00</v>
      </c>
    </row>
    <row r="286" spans="1:9">
      <c r="A286" s="33">
        <v>285</v>
      </c>
      <c r="B286" s="91">
        <v>44201</v>
      </c>
      <c r="C286" s="78" t="s">
        <v>4099</v>
      </c>
      <c r="D286" s="33" t="s">
        <v>2177</v>
      </c>
      <c r="E286" s="69" t="str">
        <f>RIGHT(บันทึกนำเข้าDrawing[[#This Row],[Drawing No]],1)</f>
        <v>0</v>
      </c>
      <c r="F286" s="84" t="s">
        <v>4003</v>
      </c>
      <c r="G286" s="118" t="s">
        <v>4029</v>
      </c>
      <c r="H286" s="83"/>
      <c r="I286" s="29" t="str">
        <f>CONCATENATE(บันทึกนำเข้าDrawing[[#This Row],[Part No]],"+",บันทึกนำเข้าDrawing[[#This Row],[Drawing No]])</f>
        <v>2B69M080-00+DR-TW-2B69M080-00-00</v>
      </c>
    </row>
    <row r="287" spans="1:9">
      <c r="A287" s="33">
        <v>286</v>
      </c>
      <c r="B287" s="91">
        <v>44201</v>
      </c>
      <c r="C287" s="75" t="s">
        <v>4101</v>
      </c>
      <c r="D287" s="33" t="s">
        <v>2179</v>
      </c>
      <c r="E287" s="69" t="str">
        <f>RIGHT(บันทึกนำเข้าDrawing[[#This Row],[Drawing No]],1)</f>
        <v>0</v>
      </c>
      <c r="F287" s="68" t="s">
        <v>4007</v>
      </c>
      <c r="G287" s="118" t="s">
        <v>4029</v>
      </c>
      <c r="H287" s="80">
        <v>44210</v>
      </c>
      <c r="I287" s="29" t="str">
        <f>CONCATENATE(บันทึกนำเข้าDrawing[[#This Row],[Part No]],"+",บันทึกนำเข้าDrawing[[#This Row],[Drawing No]])</f>
        <v>2B69M087-00+DR-TW-2B69M087-00-00</v>
      </c>
    </row>
    <row r="288" spans="1:9">
      <c r="A288" s="33">
        <v>287</v>
      </c>
      <c r="B288" s="91">
        <v>44204</v>
      </c>
      <c r="C288" s="75" t="s">
        <v>4102</v>
      </c>
      <c r="D288" s="33" t="s">
        <v>1338</v>
      </c>
      <c r="E288" s="69" t="str">
        <f>RIGHT(บันทึกนำเข้าDrawing[[#This Row],[Drawing No]],1)</f>
        <v>2</v>
      </c>
      <c r="F288" s="68" t="s">
        <v>3894</v>
      </c>
      <c r="G288" s="118" t="s">
        <v>4029</v>
      </c>
      <c r="H288" s="80">
        <v>44583</v>
      </c>
      <c r="I288" s="29" t="str">
        <f>CONCATENATE(บันทึกนำเข้าDrawing[[#This Row],[Part No]],"+",บันทึกนำเข้าDrawing[[#This Row],[Drawing No]])</f>
        <v>2B26-282-00+DR-TW-2B26-282-00-02</v>
      </c>
    </row>
    <row r="289" spans="1:9">
      <c r="A289" s="33">
        <v>288</v>
      </c>
      <c r="B289" s="91">
        <v>44204</v>
      </c>
      <c r="C289" s="78" t="s">
        <v>4103</v>
      </c>
      <c r="D289" s="33" t="s">
        <v>4146</v>
      </c>
      <c r="E289" s="69" t="str">
        <f>RIGHT(บันทึกนำเข้าDrawing[[#This Row],[Drawing No]],1)</f>
        <v>0</v>
      </c>
      <c r="F289" s="84" t="s">
        <v>4009</v>
      </c>
      <c r="G289" s="118" t="s">
        <v>4029</v>
      </c>
      <c r="H289" s="83"/>
      <c r="I289" s="29" t="str">
        <f>CONCATENATE(บันทึกนำเข้าDrawing[[#This Row],[Part No]],"+",บันทึกนำเข้าDrawing[[#This Row],[Drawing No]])</f>
        <v>2B37-037-00+DR-TW-2B37-037-00-00</v>
      </c>
    </row>
    <row r="290" spans="1:9">
      <c r="A290" s="33">
        <v>282</v>
      </c>
      <c r="B290" s="91">
        <v>44201</v>
      </c>
      <c r="C290" s="75" t="s">
        <v>3754</v>
      </c>
      <c r="D290" s="33" t="s">
        <v>1471</v>
      </c>
      <c r="E290" s="69" t="str">
        <f>RIGHT(บันทึกนำเข้าDrawing[[#This Row],[Drawing No]],1)</f>
        <v>0</v>
      </c>
      <c r="F290" s="73" t="s">
        <v>4005</v>
      </c>
      <c r="G290" s="118" t="s">
        <v>4027</v>
      </c>
      <c r="H290" s="80">
        <v>44183</v>
      </c>
      <c r="I290" s="29" t="str">
        <f>CONCATENATE(บันทึกนำเข้าDrawing[[#This Row],[Part No]],"+",บันทึกนำเข้าDrawing[[#This Row],[Drawing No]])</f>
        <v>2B27-459-00+DR-TW-2B27-459-00-00</v>
      </c>
    </row>
    <row r="291" spans="1:9">
      <c r="A291" s="33">
        <v>290</v>
      </c>
      <c r="B291" s="91">
        <v>44211</v>
      </c>
      <c r="C291" s="78" t="s">
        <v>4105</v>
      </c>
      <c r="D291" s="33" t="s">
        <v>2180</v>
      </c>
      <c r="E291" s="69" t="str">
        <f>RIGHT(บันทึกนำเข้าDrawing[[#This Row],[Drawing No]],1)</f>
        <v>0</v>
      </c>
      <c r="F291" s="84" t="s">
        <v>4338</v>
      </c>
      <c r="G291" s="118" t="s">
        <v>4029</v>
      </c>
      <c r="H291" s="83">
        <v>242549</v>
      </c>
      <c r="I291" s="29" t="str">
        <f>CONCATENATE(บันทึกนำเข้าDrawing[[#This Row],[Part No]],"+",บันทึกนำเข้าDrawing[[#This Row],[Drawing No]])</f>
        <v>2B69M089-00+DR-TW-2B69M089-00-00</v>
      </c>
    </row>
    <row r="292" spans="1:9">
      <c r="A292" s="33">
        <v>291</v>
      </c>
      <c r="B292" s="91">
        <v>44221</v>
      </c>
      <c r="C292" s="78" t="s">
        <v>3645</v>
      </c>
      <c r="D292" s="33" t="s">
        <v>983</v>
      </c>
      <c r="E292" s="69" t="str">
        <f>RIGHT(บันทึกนำเข้าDrawing[[#This Row],[Drawing No]],1)</f>
        <v>0</v>
      </c>
      <c r="F292" s="84" t="s">
        <v>4011</v>
      </c>
      <c r="G292" s="118" t="s">
        <v>4029</v>
      </c>
      <c r="H292" s="83">
        <v>44223</v>
      </c>
      <c r="I292" s="29" t="str">
        <f>CONCATENATE(บันทึกนำเข้าDrawing[[#This Row],[Part No]],"+",บันทึกนำเข้าDrawing[[#This Row],[Drawing No]])</f>
        <v>2B25-262-02+DR-TW-2B25-262-02-00</v>
      </c>
    </row>
    <row r="293" spans="1:9">
      <c r="A293" s="33">
        <v>292</v>
      </c>
      <c r="B293" s="91">
        <v>44224</v>
      </c>
      <c r="C293" s="78" t="s">
        <v>4106</v>
      </c>
      <c r="D293" s="33" t="s">
        <v>2169</v>
      </c>
      <c r="E293" s="69" t="str">
        <f>RIGHT(บันทึกนำเข้าDrawing[[#This Row],[Drawing No]],1)</f>
        <v>1</v>
      </c>
      <c r="F293" s="84" t="s">
        <v>4023</v>
      </c>
      <c r="G293" s="118" t="s">
        <v>4029</v>
      </c>
      <c r="H293" s="83">
        <v>43547</v>
      </c>
      <c r="I293" s="29" t="str">
        <f>CONCATENATE(บันทึกนำเข้าDrawing[[#This Row],[Part No]],"+",บันทึกนำเข้าDrawing[[#This Row],[Drawing No]])</f>
        <v>2B55-205-00+DR-TW-2B55-205-00-01</v>
      </c>
    </row>
    <row r="294" spans="1:9">
      <c r="A294" s="33">
        <v>293</v>
      </c>
      <c r="B294" s="91">
        <v>44224</v>
      </c>
      <c r="C294" s="75" t="s">
        <v>3691</v>
      </c>
      <c r="D294" s="33" t="s">
        <v>4030</v>
      </c>
      <c r="E294" s="69" t="str">
        <f>RIGHT(บันทึกนำเข้าDrawing[[#This Row],[Drawing No]],1)</f>
        <v>4</v>
      </c>
      <c r="F294" s="73" t="s">
        <v>3974</v>
      </c>
      <c r="G294" s="118" t="s">
        <v>4029</v>
      </c>
      <c r="H294" s="83"/>
      <c r="I294" s="29" t="str">
        <f>CONCATENATE(บันทึกนำเข้าDrawing[[#This Row],[Part No]],"+",บันทึกนำเข้าDrawing[[#This Row],[Drawing No]])</f>
        <v>Drawing Set+DR-TW-2B28A117-00-14</v>
      </c>
    </row>
    <row r="295" spans="1:9">
      <c r="A295" s="33">
        <v>294</v>
      </c>
      <c r="B295" s="91">
        <v>44232</v>
      </c>
      <c r="C295" s="78" t="s">
        <v>4014</v>
      </c>
      <c r="D295" s="33" t="s">
        <v>1396</v>
      </c>
      <c r="E295" s="69" t="str">
        <f>RIGHT(บันทึกนำเข้าDrawing[[#This Row],[Drawing No]],1)</f>
        <v>0</v>
      </c>
      <c r="F295" s="84" t="s">
        <v>4015</v>
      </c>
      <c r="G295" s="118" t="s">
        <v>4029</v>
      </c>
      <c r="H295" s="83">
        <v>44232</v>
      </c>
      <c r="I295" s="29" t="str">
        <f>CONCATENATE(บันทึกนำเข้าDrawing[[#This Row],[Part No]],"+",บันทึกนำเข้าDrawing[[#This Row],[Drawing No]])</f>
        <v>2B27-123-00+DR-TW-2B27-123-00-00</v>
      </c>
    </row>
    <row r="296" spans="1:9">
      <c r="A296" s="33">
        <v>295</v>
      </c>
      <c r="B296" s="91">
        <v>44236</v>
      </c>
      <c r="C296" s="90" t="s">
        <v>3612</v>
      </c>
      <c r="D296" s="33" t="s">
        <v>1038</v>
      </c>
      <c r="E296" s="69" t="str">
        <f>RIGHT(บันทึกนำเข้าDrawing[[#This Row],[Drawing No]],1)</f>
        <v>1</v>
      </c>
      <c r="F296" s="84" t="s">
        <v>3785</v>
      </c>
      <c r="G296" s="118" t="s">
        <v>4029</v>
      </c>
      <c r="H296" s="83">
        <v>45061</v>
      </c>
      <c r="I296" s="29" t="str">
        <f>CONCATENATE(บันทึกนำเข้าDrawing[[#This Row],[Part No]],"+",บันทึกนำเข้าDrawing[[#This Row],[Drawing No]])</f>
        <v>2B26-043-08+DR-TW-2B26-043-08-01</v>
      </c>
    </row>
    <row r="297" spans="1:9">
      <c r="A297" s="33">
        <v>296</v>
      </c>
      <c r="B297" s="91">
        <v>44236</v>
      </c>
      <c r="C297" s="78" t="s">
        <v>3334</v>
      </c>
      <c r="D297" s="33" t="s">
        <v>1102</v>
      </c>
      <c r="E297" s="69" t="str">
        <f>RIGHT(บันทึกนำเข้าDrawing[[#This Row],[Drawing No]],1)</f>
        <v>1</v>
      </c>
      <c r="F297" s="84" t="s">
        <v>3796</v>
      </c>
      <c r="G297" s="118" t="s">
        <v>4029</v>
      </c>
      <c r="H297" s="83">
        <v>44238</v>
      </c>
      <c r="I297" s="29" t="str">
        <f>CONCATENATE(บันทึกนำเข้าDrawing[[#This Row],[Part No]],"+",บันทึกนำเข้าDrawing[[#This Row],[Drawing No]])</f>
        <v>2B26-110-0F+DR-TW-2B26-110-0F-01</v>
      </c>
    </row>
    <row r="298" spans="1:9">
      <c r="A298" s="33">
        <v>297</v>
      </c>
      <c r="B298" s="97">
        <v>44236</v>
      </c>
      <c r="C298" s="75" t="s">
        <v>3808</v>
      </c>
      <c r="D298" s="33" t="s">
        <v>1112</v>
      </c>
      <c r="E298" s="69" t="str">
        <f>RIGHT(บันทึกนำเข้าDrawing[[#This Row],[Drawing No]],1)</f>
        <v>1</v>
      </c>
      <c r="F298" s="68" t="s">
        <v>3809</v>
      </c>
      <c r="G298" s="118" t="s">
        <v>4027</v>
      </c>
      <c r="H298" s="80">
        <v>45320</v>
      </c>
      <c r="I298" s="29" t="str">
        <f>CONCATENATE(บันทึกนำเข้าDrawing[[#This Row],[Part No]],"+",บันทึกนำเข้าDrawing[[#This Row],[Drawing No]])</f>
        <v>2B26-118-04+DR-TW-2B26-118-04-01</v>
      </c>
    </row>
    <row r="299" spans="1:9">
      <c r="A299" s="33">
        <v>298</v>
      </c>
      <c r="B299" s="97">
        <v>44236</v>
      </c>
      <c r="C299" s="75" t="s">
        <v>3619</v>
      </c>
      <c r="D299" s="33" t="s">
        <v>1151</v>
      </c>
      <c r="E299" s="69" t="str">
        <f>RIGHT(บันทึกนำเข้าDrawing[[#This Row],[Drawing No]],1)</f>
        <v>2</v>
      </c>
      <c r="F299" s="68" t="s">
        <v>3835</v>
      </c>
      <c r="G299" s="118" t="s">
        <v>4029</v>
      </c>
      <c r="H299" s="80">
        <v>44240</v>
      </c>
      <c r="I299" s="29" t="str">
        <f>CONCATENATE(บันทึกนำเข้าDrawing[[#This Row],[Part No]],"+",บันทึกนำเข้าDrawing[[#This Row],[Drawing No]])</f>
        <v>2B26-142-05+DR-TW-2B26-142-05-02</v>
      </c>
    </row>
    <row r="300" spans="1:9">
      <c r="A300" s="33">
        <v>299</v>
      </c>
      <c r="B300" s="97">
        <v>44236</v>
      </c>
      <c r="C300" s="78" t="s">
        <v>3687</v>
      </c>
      <c r="D300" s="33" t="s">
        <v>3683</v>
      </c>
      <c r="E300" s="69" t="str">
        <f>RIGHT(บันทึกนำเข้าDrawing[[#This Row],[Drawing No]],1)</f>
        <v>0</v>
      </c>
      <c r="F300" s="84" t="s">
        <v>3982</v>
      </c>
      <c r="G300" s="118" t="s">
        <v>4029</v>
      </c>
      <c r="H300" s="83">
        <v>44264</v>
      </c>
      <c r="I300" s="29" t="str">
        <f>CONCATENATE(บันทึกนำเข้าDrawing[[#This Row],[Part No]],"+",บันทึกนำเข้าDrawing[[#This Row],[Drawing No]])</f>
        <v>2B26-370-00+DR-TW-2B26-370-00-00</v>
      </c>
    </row>
    <row r="301" spans="1:9">
      <c r="A301" s="33">
        <v>300</v>
      </c>
      <c r="B301" s="97">
        <v>44236</v>
      </c>
      <c r="C301" s="75" t="s">
        <v>3686</v>
      </c>
      <c r="D301" s="33" t="s">
        <v>3685</v>
      </c>
      <c r="E301" s="69" t="str">
        <f>RIGHT(บันทึกนำเข้าDrawing[[#This Row],[Drawing No]],1)</f>
        <v>0</v>
      </c>
      <c r="F301" s="68" t="s">
        <v>3932</v>
      </c>
      <c r="G301" s="118" t="s">
        <v>4029</v>
      </c>
      <c r="H301" s="80">
        <v>44263</v>
      </c>
      <c r="I301" s="29" t="str">
        <f>CONCATENATE(บันทึกนำเข้าDrawing[[#This Row],[Part No]],"+",บันทึกนำเข้าDrawing[[#This Row],[Drawing No]])</f>
        <v>2B26-371-00+DR-TW-2B26-371-00-00</v>
      </c>
    </row>
    <row r="302" spans="1:9">
      <c r="A302" s="33">
        <v>283</v>
      </c>
      <c r="B302" s="97">
        <v>44201</v>
      </c>
      <c r="C302" s="75" t="s">
        <v>3342</v>
      </c>
      <c r="D302" s="33" t="s">
        <v>1734</v>
      </c>
      <c r="E302" s="69" t="str">
        <f>RIGHT(บันทึกนำเข้าDrawing[[#This Row],[Drawing No]],1)</f>
        <v>0</v>
      </c>
      <c r="F302" s="84" t="s">
        <v>4004</v>
      </c>
      <c r="G302" s="118" t="s">
        <v>4027</v>
      </c>
      <c r="H302" s="80">
        <v>44204</v>
      </c>
      <c r="I302" s="29" t="str">
        <f>CONCATENATE(บันทึกนำเข้าDrawing[[#This Row],[Part No]],"+",บันทึกนำเข้าDrawing[[#This Row],[Drawing No]])</f>
        <v>2B29-160-00+DR-TW-2B29-160-00-00</v>
      </c>
    </row>
    <row r="303" spans="1:9">
      <c r="A303" s="33">
        <v>302</v>
      </c>
      <c r="B303" s="97">
        <v>44238</v>
      </c>
      <c r="C303" s="75" t="s">
        <v>3284</v>
      </c>
      <c r="D303" s="33" t="s">
        <v>3282</v>
      </c>
      <c r="E303" s="69" t="str">
        <f>RIGHT(บันทึกนำเข้าDrawing[[#This Row],[Drawing No]],1)</f>
        <v>0</v>
      </c>
      <c r="F303" s="84" t="s">
        <v>4021</v>
      </c>
      <c r="G303" s="118" t="s">
        <v>4027</v>
      </c>
      <c r="H303" s="80">
        <v>44239</v>
      </c>
      <c r="I303" s="29" t="str">
        <f>CONCATENATE(บันทึกนำเข้าDrawing[[#This Row],[Part No]],"+",บันทึกนำเข้าDrawing[[#This Row],[Drawing No]])</f>
        <v>2B25-420-00+DR-TW-2B25-420-00-00</v>
      </c>
    </row>
    <row r="304" spans="1:9">
      <c r="A304" s="33">
        <v>303</v>
      </c>
      <c r="B304" s="91">
        <v>44243</v>
      </c>
      <c r="C304" s="78" t="s">
        <v>3283</v>
      </c>
      <c r="D304" s="33" t="s">
        <v>3280</v>
      </c>
      <c r="E304" s="69" t="str">
        <f>RIGHT(บันทึกนำเข้าDrawing[[#This Row],[Drawing No]],1)</f>
        <v>1</v>
      </c>
      <c r="F304" s="84" t="s">
        <v>3281</v>
      </c>
      <c r="G304" s="118" t="s">
        <v>4027</v>
      </c>
      <c r="H304" s="83">
        <v>44249</v>
      </c>
      <c r="I304" s="29" t="str">
        <f>CONCATENATE(บันทึกนำเข้าDrawing[[#This Row],[Part No]],"+",บันทึกนำเข้าDrawing[[#This Row],[Drawing No]])</f>
        <v>2B25-290-00+DR-TW-2B25-290-00-01</v>
      </c>
    </row>
    <row r="305" spans="1:9">
      <c r="A305" s="33">
        <v>304</v>
      </c>
      <c r="B305" s="91">
        <v>44244</v>
      </c>
      <c r="C305" s="78" t="s">
        <v>4107</v>
      </c>
      <c r="D305" s="33" t="s">
        <v>3297</v>
      </c>
      <c r="E305" s="69" t="str">
        <f>RIGHT(บันทึกนำเข้าDrawing[[#This Row],[Drawing No]],1)</f>
        <v>0</v>
      </c>
      <c r="F305" s="22" t="s">
        <v>4022</v>
      </c>
      <c r="G305" s="118" t="s">
        <v>4029</v>
      </c>
      <c r="H305" s="83">
        <v>44243</v>
      </c>
      <c r="I305" s="29" t="str">
        <f>CONCATENATE(บันทึกนำเข้าDrawing[[#This Row],[Part No]],"+",บันทึกนำเข้าDrawing[[#This Row],[Drawing No]])</f>
        <v>2B69M111-00+DR-TW-2B69M111-00-00</v>
      </c>
    </row>
    <row r="306" spans="1:9">
      <c r="A306" s="33">
        <v>305</v>
      </c>
      <c r="B306" s="91">
        <v>44244</v>
      </c>
      <c r="C306" s="78" t="s">
        <v>3315</v>
      </c>
      <c r="D306" s="33" t="s">
        <v>4030</v>
      </c>
      <c r="E306" s="69" t="str">
        <f>RIGHT(บันทึกนำเข้าDrawing[[#This Row],[Drawing No]],1)</f>
        <v>7</v>
      </c>
      <c r="F306" s="84" t="s">
        <v>3946</v>
      </c>
      <c r="G306" s="118" t="s">
        <v>4029</v>
      </c>
      <c r="H306" s="83"/>
      <c r="I306" s="29" t="str">
        <f>CONCATENATE(บันทึกนำเข้าDrawing[[#This Row],[Part No]],"+",บันทึกนำเข้าDrawing[[#This Row],[Drawing No]])</f>
        <v>Drawing Set+DR-TW-2B28-115-00-07</v>
      </c>
    </row>
    <row r="307" spans="1:9">
      <c r="A307" s="33">
        <v>306</v>
      </c>
      <c r="B307" s="91">
        <v>44249</v>
      </c>
      <c r="C307" s="78" t="s">
        <v>4024</v>
      </c>
      <c r="D307" s="33" t="s">
        <v>3709</v>
      </c>
      <c r="E307" s="69" t="str">
        <f>RIGHT(บันทึกนำเข้าDrawing[[#This Row],[Drawing No]],1)</f>
        <v>0</v>
      </c>
      <c r="F307" s="84" t="s">
        <v>3689</v>
      </c>
      <c r="G307" s="118" t="s">
        <v>4029</v>
      </c>
      <c r="H307" s="83"/>
      <c r="I307" s="29" t="str">
        <f>CONCATENATE(บันทึกนำเข้าDrawing[[#This Row],[Part No]],"+",บันทึกนำเข้าDrawing[[#This Row],[Drawing No]])</f>
        <v>2B91-097-00+DR-TW-2B91-097-00-00</v>
      </c>
    </row>
    <row r="308" spans="1:9">
      <c r="A308" s="33">
        <v>307</v>
      </c>
      <c r="B308" s="91">
        <v>44249</v>
      </c>
      <c r="C308" s="78" t="s">
        <v>3676</v>
      </c>
      <c r="D308" s="33" t="s">
        <v>3675</v>
      </c>
      <c r="E308" s="69" t="str">
        <f>RIGHT(บันทึกนำเข้าDrawing[[#This Row],[Drawing No]],1)</f>
        <v>0</v>
      </c>
      <c r="F308" s="84" t="s">
        <v>4025</v>
      </c>
      <c r="G308" s="118" t="s">
        <v>4029</v>
      </c>
      <c r="H308" s="83">
        <v>44252</v>
      </c>
      <c r="I308" s="29" t="str">
        <f>CONCATENATE(บันทึกนำเข้าDrawing[[#This Row],[Part No]],"+",บันทึกนำเข้าDrawing[[#This Row],[Drawing No]])</f>
        <v>2B91-247-00+DR-TW-2B91-247-00-00</v>
      </c>
    </row>
    <row r="309" spans="1:9">
      <c r="A309" s="33">
        <v>308</v>
      </c>
      <c r="B309" s="91">
        <v>44251</v>
      </c>
      <c r="C309" s="78" t="s">
        <v>4108</v>
      </c>
      <c r="D309" s="33" t="s">
        <v>3104</v>
      </c>
      <c r="E309" s="69" t="str">
        <f>RIGHT(บันทึกนำเข้าDrawing[[#This Row],[Drawing No]],1)</f>
        <v>0</v>
      </c>
      <c r="F309" s="103" t="s">
        <v>3780</v>
      </c>
      <c r="G309" s="118" t="s">
        <v>4029</v>
      </c>
      <c r="H309" s="83"/>
      <c r="I309" s="29" t="str">
        <f>CONCATENATE(บันทึกนำเข้าDrawing[[#This Row],[Part No]],"+",บันทึกนำเข้าDrawing[[#This Row],[Drawing No]])</f>
        <v>2B25-305-00+DR-TW-2B25-305-00-00</v>
      </c>
    </row>
    <row r="310" spans="1:9">
      <c r="A310" s="33">
        <v>309</v>
      </c>
      <c r="B310" s="91">
        <v>44251</v>
      </c>
      <c r="C310" s="75" t="s">
        <v>3103</v>
      </c>
      <c r="D310" s="33" t="s">
        <v>3104</v>
      </c>
      <c r="E310" s="69" t="str">
        <f>RIGHT(บันทึกนำเข้าDrawing[[#This Row],[Drawing No]],1)</f>
        <v>1</v>
      </c>
      <c r="F310" s="98" t="s">
        <v>3780</v>
      </c>
      <c r="G310" s="118" t="s">
        <v>4029</v>
      </c>
      <c r="H310" s="83">
        <v>44251</v>
      </c>
      <c r="I310" s="29" t="str">
        <f>CONCATENATE(บันทึกนำเข้าDrawing[[#This Row],[Part No]],"+",บันทึกนำเข้าDrawing[[#This Row],[Drawing No]])</f>
        <v>2B25-305-00+DR-TW-2B25-305-00-01</v>
      </c>
    </row>
    <row r="311" spans="1:9">
      <c r="A311" s="33">
        <v>310</v>
      </c>
      <c r="B311" s="91">
        <v>44251</v>
      </c>
      <c r="C311" s="78" t="s">
        <v>3710</v>
      </c>
      <c r="D311" s="33" t="s">
        <v>3709</v>
      </c>
      <c r="E311" s="69" t="str">
        <f>RIGHT(บันทึกนำเข้าDrawing[[#This Row],[Drawing No]],1)</f>
        <v>1</v>
      </c>
      <c r="F311" s="84" t="s">
        <v>3689</v>
      </c>
      <c r="G311" s="118" t="s">
        <v>4027</v>
      </c>
      <c r="H311" s="83">
        <v>44252</v>
      </c>
      <c r="I311" s="29" t="str">
        <f>CONCATENATE(บันทึกนำเข้าDrawing[[#This Row],[Part No]],"+",บันทึกนำเข้าDrawing[[#This Row],[Drawing No]])</f>
        <v>2B91-097-00+DR-TW-2B91-097-00-01</v>
      </c>
    </row>
    <row r="312" spans="1:9">
      <c r="A312" s="33">
        <v>311</v>
      </c>
      <c r="B312" s="81">
        <v>44251</v>
      </c>
      <c r="C312" s="88" t="s">
        <v>3604</v>
      </c>
      <c r="D312" s="33" t="s">
        <v>3603</v>
      </c>
      <c r="E312" s="69" t="str">
        <f>RIGHT(บันทึกนำเข้าDrawing[[#This Row],[Drawing No]],1)</f>
        <v>0</v>
      </c>
      <c r="F312" s="84" t="s">
        <v>4819</v>
      </c>
      <c r="G312" s="118" t="s">
        <v>4027</v>
      </c>
      <c r="H312" s="83">
        <v>44271</v>
      </c>
      <c r="I312" s="29" t="str">
        <f>CONCATENATE(บันทึกนำเข้าDrawing[[#This Row],[Part No]],"+",บันทึกนำเข้าDrawing[[#This Row],[Drawing No]])</f>
        <v>2B26-111-01+DR-TW-2B26-111-01-00</v>
      </c>
    </row>
    <row r="313" spans="1:9">
      <c r="A313" s="33">
        <v>312</v>
      </c>
      <c r="B313" s="81">
        <v>44257</v>
      </c>
      <c r="C313" s="82" t="s">
        <v>3704</v>
      </c>
      <c r="D313" s="33" t="s">
        <v>3703</v>
      </c>
      <c r="E313" s="69" t="str">
        <f>RIGHT(บันทึกนำเข้าDrawing[[#This Row],[Drawing No]],1)</f>
        <v>0</v>
      </c>
      <c r="F313" s="84" t="s">
        <v>4151</v>
      </c>
      <c r="G313" s="118" t="s">
        <v>4027</v>
      </c>
      <c r="H313" s="83">
        <v>44260</v>
      </c>
      <c r="I313" s="29" t="str">
        <f>CONCATENATE(บันทึกนำเข้าDrawing[[#This Row],[Part No]],"+",บันทึกนำเข้าDrawing[[#This Row],[Drawing No]])</f>
        <v>2B25-400-01+DR-TW-2B25-400-01-00</v>
      </c>
    </row>
    <row r="314" spans="1:9">
      <c r="A314" s="33">
        <v>313</v>
      </c>
      <c r="B314" s="81">
        <v>44257</v>
      </c>
      <c r="C314" s="82" t="s">
        <v>3706</v>
      </c>
      <c r="D314" s="33" t="s">
        <v>3708</v>
      </c>
      <c r="E314" s="69" t="str">
        <f>RIGHT(บันทึกนำเข้าDrawing[[#This Row],[Drawing No]],1)</f>
        <v>0</v>
      </c>
      <c r="F314" s="84" t="s">
        <v>4152</v>
      </c>
      <c r="G314" s="118" t="s">
        <v>4027</v>
      </c>
      <c r="H314" s="83">
        <v>44260</v>
      </c>
      <c r="I314" s="29" t="str">
        <f>CONCATENATE(บันทึกนำเข้าDrawing[[#This Row],[Part No]],"+",บันทึกนำเข้าDrawing[[#This Row],[Drawing No]])</f>
        <v>2B25-401-01+DR-TW-2B25-401-01-00</v>
      </c>
    </row>
    <row r="315" spans="1:9">
      <c r="A315" s="33">
        <v>314</v>
      </c>
      <c r="B315" s="81">
        <v>44257</v>
      </c>
      <c r="C315" s="82" t="s">
        <v>3681</v>
      </c>
      <c r="D315" s="33" t="s">
        <v>3680</v>
      </c>
      <c r="E315" s="69" t="str">
        <f>RIGHT(บันทึกนำเข้าDrawing[[#This Row],[Drawing No]],1)</f>
        <v>0</v>
      </c>
      <c r="F315" s="84" t="s">
        <v>3682</v>
      </c>
      <c r="G315" s="118" t="s">
        <v>4029</v>
      </c>
      <c r="H315" s="83">
        <v>44260</v>
      </c>
      <c r="I315" s="29" t="str">
        <f>CONCATENATE(บันทึกนำเข้าDrawing[[#This Row],[Part No]],"+",บันทึกนำเข้าDrawing[[#This Row],[Drawing No]])</f>
        <v>2B26-400-00+DR-TW-2B26-400-00-00</v>
      </c>
    </row>
    <row r="316" spans="1:9">
      <c r="A316" s="33">
        <v>315</v>
      </c>
      <c r="B316" s="81">
        <v>44268</v>
      </c>
      <c r="C316" s="82" t="s">
        <v>4156</v>
      </c>
      <c r="D316" s="33" t="s">
        <v>4157</v>
      </c>
      <c r="E316" s="69" t="str">
        <f>RIGHT(บันทึกนำเข้าDrawing[[#This Row],[Drawing No]],1)</f>
        <v>0</v>
      </c>
      <c r="F316" s="84" t="s">
        <v>4158</v>
      </c>
      <c r="G316" s="118" t="s">
        <v>4029</v>
      </c>
      <c r="H316" s="83"/>
      <c r="I316" s="29" t="str">
        <f>CONCATENATE(บันทึกนำเข้าDrawing[[#This Row],[Part No]],"+",บันทึกนำเข้าDrawing[[#This Row],[Drawing No]])</f>
        <v>2B26-203-01+DR-TW-2B26-203-01-00</v>
      </c>
    </row>
    <row r="317" spans="1:9">
      <c r="A317" s="33">
        <v>317</v>
      </c>
      <c r="B317" s="81">
        <v>44268</v>
      </c>
      <c r="C317" s="82" t="s">
        <v>4154</v>
      </c>
      <c r="D317" s="33" t="s">
        <v>4030</v>
      </c>
      <c r="E317" s="69" t="str">
        <f>RIGHT(บันทึกนำเข้าDrawing[[#This Row],[Drawing No]],1)</f>
        <v>1</v>
      </c>
      <c r="F317" s="84" t="s">
        <v>4155</v>
      </c>
      <c r="G317" s="118" t="s">
        <v>4029</v>
      </c>
      <c r="H317" s="83"/>
      <c r="I317" s="29" t="str">
        <f>CONCATENATE(บันทึกนำเข้าDrawing[[#This Row],[Part No]],"+",บันทึกนำเข้าDrawing[[#This Row],[Drawing No]])</f>
        <v>Drawing Set+DR-TW-2B91-147A01-01</v>
      </c>
    </row>
    <row r="318" spans="1:9">
      <c r="A318" s="33">
        <v>318</v>
      </c>
      <c r="B318" s="81">
        <v>44268</v>
      </c>
      <c r="C318" s="72" t="s">
        <v>4153</v>
      </c>
      <c r="D318" s="33" t="s">
        <v>902</v>
      </c>
      <c r="E318" s="69" t="str">
        <f>RIGHT(บันทึกนำเข้าDrawing[[#This Row],[Drawing No]],1)</f>
        <v>5</v>
      </c>
      <c r="F318" s="68" t="s">
        <v>4846</v>
      </c>
      <c r="G318" s="118" t="s">
        <v>4027</v>
      </c>
      <c r="H318" s="80">
        <v>44294</v>
      </c>
      <c r="I318" s="29" t="str">
        <f>CONCATENATE(บันทึกนำเข้าDrawing[[#This Row],[Part No]],"+",บันทึกนำเข้าDrawing[[#This Row],[Drawing No]])</f>
        <v>2B25-170-02+DR-TW-2B25-034-02-05</v>
      </c>
    </row>
    <row r="319" spans="1:9">
      <c r="A319" s="33">
        <v>319</v>
      </c>
      <c r="B319" s="81">
        <v>44277</v>
      </c>
      <c r="C319" s="72" t="s">
        <v>4149</v>
      </c>
      <c r="D319" s="33" t="s">
        <v>4148</v>
      </c>
      <c r="E319" s="69" t="str">
        <f>RIGHT(บันทึกนำเข้าDrawing[[#This Row],[Drawing No]],1)</f>
        <v>0</v>
      </c>
      <c r="F319" s="68" t="s">
        <v>3970</v>
      </c>
      <c r="G319" s="118" t="s">
        <v>4029</v>
      </c>
      <c r="H319" s="80"/>
      <c r="I319" s="29" t="str">
        <f>CONCATENATE(บันทึกนำเข้าDrawing[[#This Row],[Part No]],"+",บันทึกนำเข้าDrawing[[#This Row],[Drawing No]])</f>
        <v>2B26-276-01+DR-TW-2B26-276-01-00</v>
      </c>
    </row>
    <row r="320" spans="1:9">
      <c r="A320" s="33">
        <v>320</v>
      </c>
      <c r="B320" s="81">
        <v>44277</v>
      </c>
      <c r="C320" s="82" t="s">
        <v>4160</v>
      </c>
      <c r="D320" s="33" t="s">
        <v>4161</v>
      </c>
      <c r="E320" s="69" t="str">
        <f>RIGHT(บันทึกนำเข้าDrawing[[#This Row],[Drawing No]],1)</f>
        <v>0</v>
      </c>
      <c r="F320" s="79" t="s">
        <v>4164</v>
      </c>
      <c r="G320" s="118" t="s">
        <v>4029</v>
      </c>
      <c r="H320" s="83"/>
      <c r="I320" s="29" t="str">
        <f>CONCATENATE(บันทึกนำเข้าDrawing[[#This Row],[Part No]],"+",บันทึกนำเข้าDrawing[[#This Row],[Drawing No]])</f>
        <v>2B91-248-00+DR-TW-2B91-248-00-00</v>
      </c>
    </row>
    <row r="321" spans="1:9">
      <c r="A321" s="33">
        <v>321</v>
      </c>
      <c r="B321" s="85">
        <v>44277</v>
      </c>
      <c r="C321" s="72" t="s">
        <v>4166</v>
      </c>
      <c r="D321" s="33" t="s">
        <v>4162</v>
      </c>
      <c r="E321" s="69" t="str">
        <f>RIGHT(บันทึกนำเข้าDrawing[[#This Row],[Drawing No]],1)</f>
        <v>0</v>
      </c>
      <c r="F321" s="68" t="s">
        <v>4163</v>
      </c>
      <c r="G321" s="118" t="s">
        <v>4029</v>
      </c>
      <c r="H321" s="80"/>
      <c r="I321" s="29" t="str">
        <f>CONCATENATE(บันทึกนำเข้าDrawing[[#This Row],[Part No]],"+",บันทึกนำเข้าDrawing[[#This Row],[Drawing No]])</f>
        <v>2B91-249-00+DR-TW-2B91-249-00-00</v>
      </c>
    </row>
    <row r="322" spans="1:9">
      <c r="A322" s="33">
        <v>322</v>
      </c>
      <c r="B322" s="81">
        <v>44284</v>
      </c>
      <c r="C322" s="82" t="s">
        <v>4168</v>
      </c>
      <c r="D322" s="33" t="s">
        <v>4169</v>
      </c>
      <c r="E322" s="69" t="str">
        <f>RIGHT(บันทึกนำเข้าDrawing[[#This Row],[Drawing No]],1)</f>
        <v>0</v>
      </c>
      <c r="F322" s="84" t="s">
        <v>4170</v>
      </c>
      <c r="G322" s="118" t="s">
        <v>4029</v>
      </c>
      <c r="H322" s="83"/>
      <c r="I322" s="29" t="str">
        <f>CONCATENATE(บันทึกนำเข้าDrawing[[#This Row],[Part No]],"+",บันทึกนำเข้าDrawing[[#This Row],[Drawing No]])</f>
        <v>2B29-273-00+DR-TW-2B29-273-00-00</v>
      </c>
    </row>
    <row r="323" spans="1:9">
      <c r="A323" s="33">
        <v>323</v>
      </c>
      <c r="B323" s="81">
        <v>44284</v>
      </c>
      <c r="C323" s="82" t="s">
        <v>4165</v>
      </c>
      <c r="D323" s="33" t="s">
        <v>4030</v>
      </c>
      <c r="E323" s="69" t="str">
        <f>RIGHT(บันทึกนำเข้าDrawing[[#This Row],[Drawing No]],1)</f>
        <v>5</v>
      </c>
      <c r="F323" s="84" t="s">
        <v>4167</v>
      </c>
      <c r="G323" s="120" t="s">
        <v>4029</v>
      </c>
      <c r="H323" s="83"/>
      <c r="I323" s="29" t="str">
        <f>CONCATENATE(บันทึกนำเข้าDrawing[[#This Row],[Part No]],"+",บันทึกนำเข้าDrawing[[#This Row],[Drawing No]])</f>
        <v>Drawing Set+DR-TW-2B28I085-00-05</v>
      </c>
    </row>
    <row r="324" spans="1:9">
      <c r="A324" s="33">
        <v>324</v>
      </c>
      <c r="B324" s="85">
        <v>44291</v>
      </c>
      <c r="C324" s="72" t="s">
        <v>4680</v>
      </c>
      <c r="D324" s="33" t="s">
        <v>4679</v>
      </c>
      <c r="E324" s="69" t="str">
        <f>RIGHT(บันทึกนำเข้าDrawing[[#This Row],[Drawing No]],1)</f>
        <v>0</v>
      </c>
      <c r="F324" s="84" t="s">
        <v>5564</v>
      </c>
      <c r="G324" s="118" t="s">
        <v>4027</v>
      </c>
      <c r="H324" s="80">
        <v>45050</v>
      </c>
      <c r="I324" s="29" t="str">
        <f>CONCATENATE(บันทึกนำเข้าDrawing[[#This Row],[Part No]],"+",บันทึกนำเข้าDrawing[[#This Row],[Drawing No]])</f>
        <v>2B25-199-01+DR-TW-2B25-199-01-00</v>
      </c>
    </row>
    <row r="325" spans="1:9">
      <c r="A325" s="33">
        <v>325</v>
      </c>
      <c r="B325" s="85">
        <v>44293</v>
      </c>
      <c r="C325" s="72" t="s">
        <v>4173</v>
      </c>
      <c r="D325" s="33" t="s">
        <v>4174</v>
      </c>
      <c r="E325" s="69" t="str">
        <f>RIGHT(บันทึกนำเข้าDrawing[[#This Row],[Drawing No]],1)</f>
        <v>0</v>
      </c>
      <c r="F325" s="84" t="s">
        <v>4175</v>
      </c>
      <c r="G325" s="118" t="s">
        <v>4029</v>
      </c>
      <c r="H325" s="80"/>
      <c r="I325" s="29" t="str">
        <f>CONCATENATE(บันทึกนำเข้าDrawing[[#This Row],[Part No]],"+",บันทึกนำเข้าDrawing[[#This Row],[Drawing No]])</f>
        <v>2B91-450-00+DR-TW-2B91-450-00-00</v>
      </c>
    </row>
    <row r="326" spans="1:9">
      <c r="A326" s="33">
        <v>326</v>
      </c>
      <c r="B326" s="85">
        <v>44293</v>
      </c>
      <c r="C326" s="72" t="s">
        <v>4176</v>
      </c>
      <c r="D326" s="33" t="s">
        <v>4177</v>
      </c>
      <c r="E326" s="69" t="str">
        <f>RIGHT(บันทึกนำเข้าDrawing[[#This Row],[Drawing No]],1)</f>
        <v>0</v>
      </c>
      <c r="F326" s="73" t="s">
        <v>4178</v>
      </c>
      <c r="G326" s="118" t="s">
        <v>4029</v>
      </c>
      <c r="H326" s="80"/>
      <c r="I326" s="29" t="str">
        <f>CONCATENATE(บันทึกนำเข้าDrawing[[#This Row],[Part No]],"+",บันทึกนำเข้าDrawing[[#This Row],[Drawing No]])</f>
        <v>2B91-451-00+DR-TW-2B91-451-00-00</v>
      </c>
    </row>
    <row r="327" spans="1:9">
      <c r="A327" s="33">
        <v>327</v>
      </c>
      <c r="B327" s="85">
        <v>44293</v>
      </c>
      <c r="C327" s="72" t="s">
        <v>4179</v>
      </c>
      <c r="D327" s="33" t="s">
        <v>4180</v>
      </c>
      <c r="E327" s="69" t="str">
        <f>RIGHT(บันทึกนำเข้าDrawing[[#This Row],[Drawing No]],1)</f>
        <v>0</v>
      </c>
      <c r="F327" s="68" t="s">
        <v>4181</v>
      </c>
      <c r="G327" s="118" t="s">
        <v>4029</v>
      </c>
      <c r="H327" s="80"/>
      <c r="I327" s="29" t="str">
        <f>CONCATENATE(บันทึกนำเข้าDrawing[[#This Row],[Part No]],"+",บันทึกนำเข้าDrawing[[#This Row],[Drawing No]])</f>
        <v>2B91-452-00+DR-TW-2B91-452-00-00</v>
      </c>
    </row>
    <row r="328" spans="1:9">
      <c r="A328" s="33">
        <v>328</v>
      </c>
      <c r="B328" s="81">
        <v>44293</v>
      </c>
      <c r="C328" s="82" t="s">
        <v>4182</v>
      </c>
      <c r="D328" s="33" t="s">
        <v>4183</v>
      </c>
      <c r="E328" s="69" t="str">
        <f>RIGHT(บันทึกนำเข้าDrawing[[#This Row],[Drawing No]],1)</f>
        <v>0</v>
      </c>
      <c r="F328" s="84" t="s">
        <v>4184</v>
      </c>
      <c r="G328" s="118" t="s">
        <v>4029</v>
      </c>
      <c r="H328" s="83">
        <v>44345</v>
      </c>
      <c r="I328" s="29" t="str">
        <f>CONCATENATE(บันทึกนำเข้าDrawing[[#This Row],[Part No]],"+",บันทึกนำเข้าDrawing[[#This Row],[Drawing No]])</f>
        <v>2B91-453-00+DR-TW-2B91-453-00-00</v>
      </c>
    </row>
    <row r="329" spans="1:9">
      <c r="A329" s="33">
        <v>329</v>
      </c>
      <c r="B329" s="85">
        <v>44293</v>
      </c>
      <c r="C329" s="72" t="s">
        <v>4185</v>
      </c>
      <c r="D329" s="33" t="s">
        <v>4186</v>
      </c>
      <c r="E329" s="69" t="str">
        <f>RIGHT(บันทึกนำเข้าDrawing[[#This Row],[Drawing No]],1)</f>
        <v>0</v>
      </c>
      <c r="F329" s="68" t="s">
        <v>4187</v>
      </c>
      <c r="G329" s="118" t="s">
        <v>4029</v>
      </c>
      <c r="H329" s="80"/>
      <c r="I329" s="29" t="str">
        <f>CONCATENATE(บันทึกนำเข้าDrawing[[#This Row],[Part No]],"+",บันทึกนำเข้าDrawing[[#This Row],[Drawing No]])</f>
        <v>2B91-454-00+DR-TW-2B91-454-00-00</v>
      </c>
    </row>
    <row r="330" spans="1:9">
      <c r="A330" s="33">
        <v>330</v>
      </c>
      <c r="B330" s="81">
        <v>44293</v>
      </c>
      <c r="C330" s="82" t="s">
        <v>4190</v>
      </c>
      <c r="D330" s="33" t="s">
        <v>4188</v>
      </c>
      <c r="E330" s="69" t="str">
        <f>RIGHT(บันทึกนำเข้าDrawing[[#This Row],[Drawing No]],1)</f>
        <v>0</v>
      </c>
      <c r="F330" s="84" t="s">
        <v>4189</v>
      </c>
      <c r="G330" s="120" t="s">
        <v>4029</v>
      </c>
      <c r="H330" s="83"/>
      <c r="I330" s="29" t="str">
        <f>CONCATENATE(บันทึกนำเข้าDrawing[[#This Row],[Part No]],"+",บันทึกนำเข้าDrawing[[#This Row],[Drawing No]])</f>
        <v>2B91-455-00+DR-TW-2B91-455-00-00</v>
      </c>
    </row>
    <row r="331" spans="1:9">
      <c r="A331" s="33">
        <v>331</v>
      </c>
      <c r="B331" s="81">
        <v>44293</v>
      </c>
      <c r="C331" s="82" t="s">
        <v>4191</v>
      </c>
      <c r="D331" s="33" t="s">
        <v>4192</v>
      </c>
      <c r="E331" s="69" t="str">
        <f>RIGHT(บันทึกนำเข้าDrawing[[#This Row],[Drawing No]],1)</f>
        <v>0</v>
      </c>
      <c r="F331" s="84" t="s">
        <v>4193</v>
      </c>
      <c r="G331" s="120" t="s">
        <v>4029</v>
      </c>
      <c r="H331" s="83"/>
      <c r="I331" s="29" t="str">
        <f>CONCATENATE(บันทึกนำเข้าDrawing[[#This Row],[Part No]],"+",บันทึกนำเข้าDrawing[[#This Row],[Drawing No]])</f>
        <v>2B91-456-00+DR-TW-2B91-456-00-0</v>
      </c>
    </row>
    <row r="332" spans="1:9">
      <c r="A332" s="33">
        <v>332</v>
      </c>
      <c r="B332" s="85">
        <v>44293</v>
      </c>
      <c r="C332" s="72" t="s">
        <v>4194</v>
      </c>
      <c r="D332" s="33" t="s">
        <v>4195</v>
      </c>
      <c r="E332" s="69" t="str">
        <f>RIGHT(บันทึกนำเข้าDrawing[[#This Row],[Drawing No]],1)</f>
        <v>0</v>
      </c>
      <c r="F332" s="68" t="s">
        <v>4196</v>
      </c>
      <c r="G332" s="118" t="s">
        <v>4029</v>
      </c>
      <c r="H332" s="80"/>
      <c r="I332" s="29" t="str">
        <f>CONCATENATE(บันทึกนำเข้าDrawing[[#This Row],[Part No]],"+",บันทึกนำเข้าDrawing[[#This Row],[Drawing No]])</f>
        <v>2B91-457-00+DR-TW-2B91-457-00-00</v>
      </c>
    </row>
    <row r="333" spans="1:9">
      <c r="A333" s="33">
        <v>289</v>
      </c>
      <c r="B333" s="91">
        <v>44211</v>
      </c>
      <c r="C333" s="78" t="s">
        <v>4104</v>
      </c>
      <c r="D333" s="33" t="s">
        <v>2178</v>
      </c>
      <c r="E333" s="69" t="str">
        <f>RIGHT(บันทึกนำเข้าDrawing[[#This Row],[Drawing No]],1)</f>
        <v>0</v>
      </c>
      <c r="F333" s="84" t="s">
        <v>4010</v>
      </c>
      <c r="G333" s="120" t="s">
        <v>4029</v>
      </c>
      <c r="H333" s="83"/>
      <c r="I333" s="29" t="str">
        <f>CONCATENATE(บันทึกนำเข้าDrawing[[#This Row],[Part No]],"+",บันทึกนำเข้าDrawing[[#This Row],[Drawing No]])</f>
        <v>2B69M086-00+DR-TW-2B69M086-00-00</v>
      </c>
    </row>
    <row r="334" spans="1:9">
      <c r="A334" s="33">
        <v>334</v>
      </c>
      <c r="B334" s="85">
        <v>44310</v>
      </c>
      <c r="C334" s="72" t="s">
        <v>4237</v>
      </c>
      <c r="D334" s="33" t="s">
        <v>4238</v>
      </c>
      <c r="E334" s="69" t="str">
        <f>RIGHT(บันทึกนำเข้าDrawing[[#This Row],[Drawing No]],1)</f>
        <v>0</v>
      </c>
      <c r="F334" s="68" t="s">
        <v>2359</v>
      </c>
      <c r="G334" s="118" t="s">
        <v>4029</v>
      </c>
      <c r="H334" s="80">
        <v>44310</v>
      </c>
      <c r="I334" s="29" t="str">
        <f>CONCATENATE(บันทึกนำเข้าDrawing[[#This Row],[Part No]],"+",บันทึกนำเข้าDrawing[[#This Row],[Drawing No]])</f>
        <v>2B24-300-02+DR-TW-2B24-300-02-00</v>
      </c>
    </row>
    <row r="335" spans="1:9">
      <c r="A335" s="33">
        <v>335</v>
      </c>
      <c r="B335" s="81">
        <v>44310</v>
      </c>
      <c r="C335" s="82" t="s">
        <v>4234</v>
      </c>
      <c r="D335" s="33" t="s">
        <v>4235</v>
      </c>
      <c r="E335" s="69" t="str">
        <f>RIGHT(บันทึกนำเข้าDrawing[[#This Row],[Drawing No]],1)</f>
        <v>0</v>
      </c>
      <c r="F335" s="84" t="s">
        <v>4236</v>
      </c>
      <c r="G335" s="120" t="s">
        <v>4029</v>
      </c>
      <c r="H335" s="83">
        <v>44310</v>
      </c>
      <c r="I335" s="29" t="str">
        <f>CONCATENATE(บันทึกนำเข้าDrawing[[#This Row],[Part No]],"+",บันทึกนำเข้าDrawing[[#This Row],[Drawing No]])</f>
        <v>2B53-400-03+DR-TW-2B53-400-03-00</v>
      </c>
    </row>
    <row r="336" spans="1:9">
      <c r="A336" s="33">
        <v>336</v>
      </c>
      <c r="B336" s="81">
        <v>44310</v>
      </c>
      <c r="C336" s="82" t="s">
        <v>4239</v>
      </c>
      <c r="D336" s="33" t="s">
        <v>4174</v>
      </c>
      <c r="E336" s="69" t="str">
        <f>RIGHT(บันทึกนำเข้าDrawing[[#This Row],[Drawing No]],1)</f>
        <v>1</v>
      </c>
      <c r="F336" s="68" t="s">
        <v>4175</v>
      </c>
      <c r="G336" s="120" t="s">
        <v>4029</v>
      </c>
      <c r="H336" s="83"/>
      <c r="I336" s="29" t="str">
        <f>CONCATENATE(บันทึกนำเข้าDrawing[[#This Row],[Part No]],"+",บันทึกนำเข้าDrawing[[#This Row],[Drawing No]])</f>
        <v>2B91-450-00+DR-TW-2B91-450-00-01</v>
      </c>
    </row>
    <row r="337" spans="1:9">
      <c r="A337" s="33">
        <v>337</v>
      </c>
      <c r="B337" s="81">
        <v>44310</v>
      </c>
      <c r="C337" s="82" t="s">
        <v>4240</v>
      </c>
      <c r="D337" s="33" t="s">
        <v>4177</v>
      </c>
      <c r="E337" s="69" t="str">
        <f>RIGHT(บันทึกนำเข้าDrawing[[#This Row],[Drawing No]],1)</f>
        <v>1</v>
      </c>
      <c r="F337" s="84" t="s">
        <v>4187</v>
      </c>
      <c r="G337" s="120" t="s">
        <v>4029</v>
      </c>
      <c r="H337" s="83"/>
      <c r="I337" s="29" t="str">
        <f>CONCATENATE(บันทึกนำเข้าDrawing[[#This Row],[Part No]],"+",บันทึกนำเข้าDrawing[[#This Row],[Drawing No]])</f>
        <v>2B91-451-00+DR-TW-2B91-451-00-01</v>
      </c>
    </row>
    <row r="338" spans="1:9">
      <c r="A338" s="33">
        <v>338</v>
      </c>
      <c r="B338" s="81">
        <v>44310</v>
      </c>
      <c r="C338" s="82" t="s">
        <v>4241</v>
      </c>
      <c r="D338" s="33" t="s">
        <v>4180</v>
      </c>
      <c r="E338" s="69" t="str">
        <f>RIGHT(บันทึกนำเข้าDrawing[[#This Row],[Drawing No]],1)</f>
        <v>1</v>
      </c>
      <c r="F338" s="84" t="s">
        <v>4181</v>
      </c>
      <c r="G338" s="120" t="s">
        <v>4029</v>
      </c>
      <c r="H338" s="83"/>
      <c r="I338" s="29" t="str">
        <f>CONCATENATE(บันทึกนำเข้าDrawing[[#This Row],[Part No]],"+",บันทึกนำเข้าDrawing[[#This Row],[Drawing No]])</f>
        <v>2B91-452-00+DR-TW-2B91-452-00-01</v>
      </c>
    </row>
    <row r="339" spans="1:9">
      <c r="A339" s="33">
        <v>339</v>
      </c>
      <c r="B339" s="81">
        <v>44311</v>
      </c>
      <c r="C339" s="82" t="s">
        <v>4242</v>
      </c>
      <c r="D339" s="33" t="s">
        <v>4188</v>
      </c>
      <c r="E339" s="69" t="str">
        <f>RIGHT(บันทึกนำเข้าDrawing[[#This Row],[Drawing No]],1)</f>
        <v>1</v>
      </c>
      <c r="F339" s="84" t="s">
        <v>4189</v>
      </c>
      <c r="G339" s="120" t="s">
        <v>4029</v>
      </c>
      <c r="H339" s="83"/>
      <c r="I339" s="29" t="str">
        <f>CONCATENATE(บันทึกนำเข้าDrawing[[#This Row],[Part No]],"+",บันทึกนำเข้าDrawing[[#This Row],[Drawing No]])</f>
        <v>2B91-455-00+DR-TW-2B91-455-00-01</v>
      </c>
    </row>
    <row r="340" spans="1:9">
      <c r="A340" s="33">
        <v>340</v>
      </c>
      <c r="B340" s="81">
        <v>44320</v>
      </c>
      <c r="C340" s="82" t="s">
        <v>4243</v>
      </c>
      <c r="D340" s="33" t="s">
        <v>4157</v>
      </c>
      <c r="E340" s="69" t="str">
        <f>RIGHT(บันทึกนำเข้าDrawing[[#This Row],[Drawing No]],1)</f>
        <v>1</v>
      </c>
      <c r="F340" s="84" t="s">
        <v>4158</v>
      </c>
      <c r="G340" s="120" t="s">
        <v>4029</v>
      </c>
      <c r="H340" s="83"/>
      <c r="I340" s="29" t="str">
        <f>CONCATENATE(บันทึกนำเข้าDrawing[[#This Row],[Part No]],"+",บันทึกนำเข้าDrawing[[#This Row],[Drawing No]])</f>
        <v>2B26-203-01+DR-TW-2B26-203-01-01</v>
      </c>
    </row>
    <row r="341" spans="1:9">
      <c r="A341" s="33">
        <v>341</v>
      </c>
      <c r="B341" s="81">
        <v>44320</v>
      </c>
      <c r="C341" s="78" t="s">
        <v>3758</v>
      </c>
      <c r="D341" s="33" t="s">
        <v>1765</v>
      </c>
      <c r="E341" s="69" t="str">
        <f>RIGHT(บันทึกนำเข้าDrawing[[#This Row],[Drawing No]],1)</f>
        <v>1</v>
      </c>
      <c r="F341" s="84" t="s">
        <v>3981</v>
      </c>
      <c r="G341" s="120" t="s">
        <v>4027</v>
      </c>
      <c r="H341" s="83">
        <v>45063</v>
      </c>
      <c r="I341" s="29" t="str">
        <f>CONCATENATE(บันทึกนำเข้าDrawing[[#This Row],[Part No]],"+",บันทึกนำเข้าDrawing[[#This Row],[Drawing No]])</f>
        <v>2B29-370-00+DR-TW-2B29-370-00-01</v>
      </c>
    </row>
    <row r="342" spans="1:9">
      <c r="A342" s="33">
        <v>301</v>
      </c>
      <c r="B342" s="91">
        <v>44236</v>
      </c>
      <c r="C342" s="78" t="s">
        <v>3107</v>
      </c>
      <c r="D342" s="33" t="s">
        <v>3106</v>
      </c>
      <c r="E342" s="69" t="str">
        <f>RIGHT(บันทึกนำเข้าDrawing[[#This Row],[Drawing No]],1)</f>
        <v>0</v>
      </c>
      <c r="F342" s="79" t="s">
        <v>4016</v>
      </c>
      <c r="G342" s="120" t="s">
        <v>4027</v>
      </c>
      <c r="H342" s="83">
        <v>44257</v>
      </c>
      <c r="I342" s="29" t="str">
        <f>CONCATENATE(บันทึกนำเข้าDrawing[[#This Row],[Part No]],"+",บันทึกนำเข้าDrawing[[#This Row],[Drawing No]])</f>
        <v>2B27-453-03+DR-TW-2B27-453-03-00</v>
      </c>
    </row>
    <row r="343" spans="1:9">
      <c r="A343" s="33">
        <v>343</v>
      </c>
      <c r="B343" s="81">
        <v>44347</v>
      </c>
      <c r="C343" s="82" t="s">
        <v>4261</v>
      </c>
      <c r="D343" s="33" t="s">
        <v>4262</v>
      </c>
      <c r="E343" s="69" t="str">
        <f>RIGHT(บันทึกนำเข้าDrawing[[#This Row],[Drawing No]],1)</f>
        <v>1</v>
      </c>
      <c r="F343" s="84" t="s">
        <v>4263</v>
      </c>
      <c r="G343" s="120" t="s">
        <v>4027</v>
      </c>
      <c r="H343" s="83">
        <v>44995</v>
      </c>
      <c r="I343" s="29" t="str">
        <f>CONCATENATE(บันทึกนำเข้าDrawing[[#This Row],[Part No]],"+",บันทึกนำเข้าDrawing[[#This Row],[Drawing No]])</f>
        <v>2B27-109-01+DR-TW-2B27-109-01-01</v>
      </c>
    </row>
    <row r="344" spans="1:9">
      <c r="A344" s="33">
        <v>344</v>
      </c>
      <c r="B344" s="81">
        <v>44347</v>
      </c>
      <c r="C344" s="82" t="s">
        <v>4264</v>
      </c>
      <c r="D344" s="33" t="s">
        <v>4265</v>
      </c>
      <c r="E344" s="69" t="str">
        <f>RIGHT(บันทึกนำเข้าDrawing[[#This Row],[Drawing No]],1)</f>
        <v>0</v>
      </c>
      <c r="F344" s="68" t="s">
        <v>4266</v>
      </c>
      <c r="G344" s="120" t="s">
        <v>4027</v>
      </c>
      <c r="H344" s="83">
        <v>44995</v>
      </c>
      <c r="I344" s="29" t="str">
        <f>CONCATENATE(บันทึกนำเข้าDrawing[[#This Row],[Part No]],"+",บันทึกนำเข้าDrawing[[#This Row],[Drawing No]])</f>
        <v>2B27-110-03+DR-TW-2B27-110-03-00</v>
      </c>
    </row>
    <row r="345" spans="1:9">
      <c r="A345" s="33">
        <v>345</v>
      </c>
      <c r="B345" s="81">
        <v>44347</v>
      </c>
      <c r="C345" s="82" t="s">
        <v>4267</v>
      </c>
      <c r="D345" s="33" t="s">
        <v>4195</v>
      </c>
      <c r="E345" s="69" t="str">
        <f>RIGHT(บันทึกนำเข้าDrawing[[#This Row],[Drawing No]],1)</f>
        <v>1</v>
      </c>
      <c r="F345" s="84" t="s">
        <v>4196</v>
      </c>
      <c r="G345" s="120" t="s">
        <v>4029</v>
      </c>
      <c r="H345" s="83"/>
      <c r="I345" s="29" t="str">
        <f>CONCATENATE(บันทึกนำเข้าDrawing[[#This Row],[Part No]],"+",บันทึกนำเข้าDrawing[[#This Row],[Drawing No]])</f>
        <v>2B91-457-00+DR-TW-2B91-457-00-01</v>
      </c>
    </row>
    <row r="346" spans="1:9">
      <c r="A346" s="33">
        <v>346</v>
      </c>
      <c r="B346" s="81">
        <v>44347</v>
      </c>
      <c r="C346" s="82" t="s">
        <v>4268</v>
      </c>
      <c r="D346" s="33" t="s">
        <v>4192</v>
      </c>
      <c r="E346" s="69" t="str">
        <f>RIGHT(บันทึกนำเข้าDrawing[[#This Row],[Drawing No]],1)</f>
        <v>1</v>
      </c>
      <c r="F346" s="84" t="s">
        <v>4193</v>
      </c>
      <c r="G346" s="120" t="s">
        <v>4029</v>
      </c>
      <c r="H346" s="83"/>
      <c r="I346" s="29" t="str">
        <f>CONCATENATE(บันทึกนำเข้าDrawing[[#This Row],[Part No]],"+",บันทึกนำเข้าDrawing[[#This Row],[Drawing No]])</f>
        <v>2B91-456-00+DR-TW-2B91-456-00-01</v>
      </c>
    </row>
    <row r="347" spans="1:9">
      <c r="A347" s="33">
        <v>347</v>
      </c>
      <c r="B347" s="81">
        <v>44347</v>
      </c>
      <c r="C347" s="82" t="s">
        <v>4269</v>
      </c>
      <c r="D347" s="33" t="s">
        <v>4188</v>
      </c>
      <c r="E347" s="69" t="str">
        <f>RIGHT(บันทึกนำเข้าDrawing[[#This Row],[Drawing No]],1)</f>
        <v>2</v>
      </c>
      <c r="F347" s="84" t="s">
        <v>4189</v>
      </c>
      <c r="G347" s="120" t="s">
        <v>4029</v>
      </c>
      <c r="H347" s="83">
        <v>44380</v>
      </c>
      <c r="I347" s="29" t="str">
        <f>CONCATENATE(บันทึกนำเข้าDrawing[[#This Row],[Part No]],"+",บันทึกนำเข้าDrawing[[#This Row],[Drawing No]])</f>
        <v>2B91-455-00+DR-TW-2B91-455-00-02</v>
      </c>
    </row>
    <row r="348" spans="1:9">
      <c r="A348" s="33">
        <v>348</v>
      </c>
      <c r="B348" s="81">
        <v>44347</v>
      </c>
      <c r="C348" s="82" t="s">
        <v>4270</v>
      </c>
      <c r="D348" s="33" t="s">
        <v>4186</v>
      </c>
      <c r="E348" s="69" t="str">
        <f>RIGHT(บันทึกนำเข้าDrawing[[#This Row],[Drawing No]],1)</f>
        <v>1</v>
      </c>
      <c r="F348" s="84" t="s">
        <v>4187</v>
      </c>
      <c r="G348" s="120" t="s">
        <v>4029</v>
      </c>
      <c r="H348" s="83"/>
      <c r="I348" s="29" t="str">
        <f>CONCATENATE(บันทึกนำเข้าDrawing[[#This Row],[Part No]],"+",บันทึกนำเข้าDrawing[[#This Row],[Drawing No]])</f>
        <v>2B91-454-00+DR-TW-2B91-454-00-01</v>
      </c>
    </row>
    <row r="349" spans="1:9">
      <c r="A349" s="33">
        <v>349</v>
      </c>
      <c r="B349" s="81">
        <v>44347</v>
      </c>
      <c r="C349" s="82" t="s">
        <v>4271</v>
      </c>
      <c r="D349" s="33" t="s">
        <v>4183</v>
      </c>
      <c r="E349" s="69" t="str">
        <f>RIGHT(บันทึกนำเข้าDrawing[[#This Row],[Drawing No]],1)</f>
        <v>1</v>
      </c>
      <c r="F349" s="84" t="s">
        <v>4184</v>
      </c>
      <c r="G349" s="120" t="s">
        <v>4029</v>
      </c>
      <c r="H349" s="83">
        <v>44355</v>
      </c>
      <c r="I349" s="29" t="str">
        <f>CONCATENATE(บันทึกนำเข้าDrawing[[#This Row],[Part No]],"+",บันทึกนำเข้าDrawing[[#This Row],[Drawing No]])</f>
        <v>2B91-453-00+DR-TW-2B91-453-00-01</v>
      </c>
    </row>
    <row r="350" spans="1:9">
      <c r="A350" s="33">
        <v>350</v>
      </c>
      <c r="B350" s="81">
        <v>44347</v>
      </c>
      <c r="C350" s="82" t="s">
        <v>4272</v>
      </c>
      <c r="D350" s="33" t="s">
        <v>4180</v>
      </c>
      <c r="E350" s="69" t="str">
        <f>RIGHT(บันทึกนำเข้าDrawing[[#This Row],[Drawing No]],1)</f>
        <v>2</v>
      </c>
      <c r="F350" s="84" t="s">
        <v>4181</v>
      </c>
      <c r="G350" s="120" t="s">
        <v>4029</v>
      </c>
      <c r="H350" s="83"/>
      <c r="I350" s="29" t="str">
        <f>CONCATENATE(บันทึกนำเข้าDrawing[[#This Row],[Part No]],"+",บันทึกนำเข้าDrawing[[#This Row],[Drawing No]])</f>
        <v>2B91-452-00+DR-TW-2B91-452-00-02</v>
      </c>
    </row>
    <row r="351" spans="1:9">
      <c r="A351" s="33">
        <v>351</v>
      </c>
      <c r="B351" s="81">
        <v>44347</v>
      </c>
      <c r="C351" s="82" t="s">
        <v>4273</v>
      </c>
      <c r="D351" s="33" t="s">
        <v>4177</v>
      </c>
      <c r="E351" s="69" t="str">
        <f>RIGHT(บันทึกนำเข้าDrawing[[#This Row],[Drawing No]],1)</f>
        <v>2</v>
      </c>
      <c r="F351" s="84" t="s">
        <v>4187</v>
      </c>
      <c r="G351" s="120" t="s">
        <v>4029</v>
      </c>
      <c r="H351" s="83"/>
      <c r="I351" s="29" t="str">
        <f>CONCATENATE(บันทึกนำเข้าDrawing[[#This Row],[Part No]],"+",บันทึกนำเข้าDrawing[[#This Row],[Drawing No]])</f>
        <v>2B91-451-00+DR-TW-2B91-451-00-02</v>
      </c>
    </row>
    <row r="352" spans="1:9">
      <c r="A352" s="33">
        <v>352</v>
      </c>
      <c r="B352" s="85">
        <v>44347</v>
      </c>
      <c r="C352" s="72" t="s">
        <v>4274</v>
      </c>
      <c r="D352" s="33" t="s">
        <v>4174</v>
      </c>
      <c r="E352" s="69" t="str">
        <f>RIGHT(บันทึกนำเข้าDrawing[[#This Row],[Drawing No]],1)</f>
        <v>2</v>
      </c>
      <c r="F352" s="68" t="s">
        <v>4175</v>
      </c>
      <c r="G352" s="118" t="s">
        <v>4029</v>
      </c>
      <c r="H352" s="80"/>
      <c r="I352" s="29" t="str">
        <f>CONCATENATE(บันทึกนำเข้าDrawing[[#This Row],[Part No]],"+",บันทึกนำเข้าDrawing[[#This Row],[Drawing No]])</f>
        <v>2B91-450-00+DR-TW-2B91-450-00-02</v>
      </c>
    </row>
    <row r="353" spans="1:9">
      <c r="A353" s="33">
        <v>353</v>
      </c>
      <c r="B353" s="85">
        <v>44347</v>
      </c>
      <c r="C353" s="72" t="s">
        <v>4264</v>
      </c>
      <c r="D353" s="33" t="s">
        <v>5207</v>
      </c>
      <c r="E353" s="69" t="str">
        <f>RIGHT(บันทึกนำเข้าDrawing[[#This Row],[Drawing No]],1)</f>
        <v>0</v>
      </c>
      <c r="F353" s="68" t="s">
        <v>5208</v>
      </c>
      <c r="G353" s="118" t="s">
        <v>3772</v>
      </c>
      <c r="H353" s="80"/>
      <c r="I353" s="29" t="str">
        <f>CONCATENATE(บันทึกนำเข้าDrawing[[#This Row],[Part No]],"+",บันทึกนำเข้าDrawing[[#This Row],[Drawing No]])</f>
        <v>2B27-151-00+DR-TW-2B27-110-03-00</v>
      </c>
    </row>
    <row r="354" spans="1:9">
      <c r="A354" s="33">
        <v>354</v>
      </c>
      <c r="B354" s="85">
        <v>44349</v>
      </c>
      <c r="C354" s="82" t="s">
        <v>4276</v>
      </c>
      <c r="D354" s="33" t="s">
        <v>4277</v>
      </c>
      <c r="E354" s="69" t="str">
        <f>RIGHT(บันทึกนำเข้าDrawing[[#This Row],[Drawing No]],1)</f>
        <v>0</v>
      </c>
      <c r="F354" s="68" t="s">
        <v>4278</v>
      </c>
      <c r="G354" s="120" t="s">
        <v>4029</v>
      </c>
      <c r="H354" s="83">
        <v>45320</v>
      </c>
      <c r="I354" s="29" t="str">
        <f>CONCATENATE(บันทึกนำเข้าDrawing[[#This Row],[Part No]],"+",บันทึกนำเข้าDrawing[[#This Row],[Drawing No]])</f>
        <v>2B26-278-03+DR-TW-2B26-278-03-00</v>
      </c>
    </row>
    <row r="355" spans="1:9">
      <c r="A355" s="33">
        <v>355</v>
      </c>
      <c r="B355" s="85">
        <v>44353</v>
      </c>
      <c r="C355" s="72" t="s">
        <v>4282</v>
      </c>
      <c r="D355" s="33" t="s">
        <v>2133</v>
      </c>
      <c r="E355" s="69" t="str">
        <f>RIGHT(บันทึกนำเข้าDrawing[[#This Row],[Drawing No]],1)</f>
        <v>3</v>
      </c>
      <c r="F355" s="37" t="s">
        <v>4284</v>
      </c>
      <c r="G355" s="118" t="s">
        <v>4027</v>
      </c>
      <c r="H355" s="80">
        <v>44377</v>
      </c>
      <c r="I355" s="29" t="str">
        <f>CONCATENATE(บันทึกนำเข้าDrawing[[#This Row],[Part No]],"+",บันทึกนำเข้าDrawing[[#This Row],[Drawing No]])</f>
        <v>2B48-207-00+DR-TW-2B48-207-01-03</v>
      </c>
    </row>
    <row r="356" spans="1:9">
      <c r="A356" s="33">
        <v>357</v>
      </c>
      <c r="B356" s="85">
        <v>44356</v>
      </c>
      <c r="C356" s="72" t="s">
        <v>4285</v>
      </c>
      <c r="D356" s="33" t="s">
        <v>2247</v>
      </c>
      <c r="E356" s="69" t="str">
        <f>RIGHT(บันทึกนำเข้าDrawing[[#This Row],[Drawing No]],1)</f>
        <v>7</v>
      </c>
      <c r="F356" s="68" t="s">
        <v>5661</v>
      </c>
      <c r="G356" s="118" t="s">
        <v>4027</v>
      </c>
      <c r="H356" s="80">
        <v>45065</v>
      </c>
      <c r="I356" s="29" t="str">
        <f>CONCATENATE(บันทึกนำเข้าDrawing[[#This Row],[Part No]],"+",บันทึกนำเข้าDrawing[[#This Row],[Drawing No]])</f>
        <v>2B91-020-02+DR-TW-2B91-017-02-07</v>
      </c>
    </row>
    <row r="357" spans="1:9">
      <c r="A357" s="33">
        <v>358</v>
      </c>
      <c r="B357" s="85">
        <v>44356</v>
      </c>
      <c r="C357" s="82" t="s">
        <v>4285</v>
      </c>
      <c r="D357" s="33" t="s">
        <v>2248</v>
      </c>
      <c r="E357" s="69" t="str">
        <f>RIGHT(บันทึกนำเข้าDrawing[[#This Row],[Drawing No]],1)</f>
        <v>7</v>
      </c>
      <c r="F357" s="84" t="s">
        <v>5662</v>
      </c>
      <c r="G357" s="120" t="s">
        <v>4027</v>
      </c>
      <c r="H357" s="83">
        <v>45148</v>
      </c>
      <c r="I357" s="29" t="str">
        <f>CONCATENATE(บันทึกนำเข้าDrawing[[#This Row],[Part No]],"+",บันทึกนำเข้าDrawing[[#This Row],[Drawing No]])</f>
        <v>2B91-021-02+DR-TW-2B91-017-02-07</v>
      </c>
    </row>
    <row r="358" spans="1:9">
      <c r="A358" s="33">
        <v>359</v>
      </c>
      <c r="B358" s="85">
        <v>44361</v>
      </c>
      <c r="C358" s="72" t="s">
        <v>4280</v>
      </c>
      <c r="D358" s="33" t="s">
        <v>4279</v>
      </c>
      <c r="E358" s="69" t="str">
        <f>RIGHT(บันทึกนำเข้าDrawing[[#This Row],[Drawing No]],1)</f>
        <v>0</v>
      </c>
      <c r="F358" s="68" t="s">
        <v>4281</v>
      </c>
      <c r="G358" s="118" t="s">
        <v>4027</v>
      </c>
      <c r="H358" s="80">
        <v>45089</v>
      </c>
      <c r="I358" s="29" t="str">
        <f>CONCATENATE(บันทึกนำเข้าDrawing[[#This Row],[Part No]],"+",บันทึกนำเข้าDrawing[[#This Row],[Drawing No]])</f>
        <v>2B25-238-01+DR-TW-2B25-238-01-00</v>
      </c>
    </row>
    <row r="359" spans="1:9">
      <c r="A359" s="33">
        <v>360</v>
      </c>
      <c r="B359" s="85">
        <v>44365</v>
      </c>
      <c r="C359" s="82" t="s">
        <v>4286</v>
      </c>
      <c r="D359" s="33" t="s">
        <v>4235</v>
      </c>
      <c r="E359" s="69" t="str">
        <f>RIGHT(บันทึกนำเข้าDrawing[[#This Row],[Drawing No]],1)</f>
        <v>1</v>
      </c>
      <c r="F359" s="84" t="s">
        <v>4287</v>
      </c>
      <c r="G359" s="120" t="s">
        <v>4029</v>
      </c>
      <c r="H359" s="83"/>
      <c r="I359" s="29" t="str">
        <f>CONCATENATE(บันทึกนำเข้าDrawing[[#This Row],[Part No]],"+",บันทึกนำเข้าDrawing[[#This Row],[Drawing No]])</f>
        <v>2B53-400-03+DR-TW-2B53-400-03-01</v>
      </c>
    </row>
    <row r="360" spans="1:9">
      <c r="A360" s="33">
        <v>361</v>
      </c>
      <c r="B360" s="81">
        <v>44368</v>
      </c>
      <c r="C360" s="82" t="s">
        <v>4289</v>
      </c>
      <c r="D360" s="33" t="s">
        <v>4238</v>
      </c>
      <c r="E360" s="69" t="str">
        <f>RIGHT(บันทึกนำเข้าDrawing[[#This Row],[Drawing No]],1)</f>
        <v>1</v>
      </c>
      <c r="F360" s="84" t="s">
        <v>2359</v>
      </c>
      <c r="G360" s="120" t="s">
        <v>4029</v>
      </c>
      <c r="H360" s="74"/>
      <c r="I360" s="29" t="str">
        <f>CONCATENATE(บันทึกนำเข้าDrawing[[#This Row],[Part No]],"+",บันทึกนำเข้าDrawing[[#This Row],[Drawing No]])</f>
        <v>2B24-300-02+DR-TW-2B24-300-02-01</v>
      </c>
    </row>
    <row r="361" spans="1:9">
      <c r="A361" s="33">
        <v>362</v>
      </c>
      <c r="B361" s="81">
        <v>44368</v>
      </c>
      <c r="C361" s="82" t="s">
        <v>4290</v>
      </c>
      <c r="D361" s="33" t="s">
        <v>4291</v>
      </c>
      <c r="E361" s="69" t="str">
        <f>RIGHT(บันทึกนำเข้าDrawing[[#This Row],[Drawing No]],1)</f>
        <v>0</v>
      </c>
      <c r="F361" s="84" t="s">
        <v>4292</v>
      </c>
      <c r="G361" s="120" t="s">
        <v>4027</v>
      </c>
      <c r="H361" s="83"/>
      <c r="I361" s="29" t="str">
        <f>CONCATENATE(บันทึกนำเข้าDrawing[[#This Row],[Part No]],"+",บันทึกนำเข้าDrawing[[#This Row],[Drawing No]])</f>
        <v>2B91-240-00+DR-TW-2B91-240-00-00</v>
      </c>
    </row>
    <row r="362" spans="1:9">
      <c r="A362" s="33">
        <v>363</v>
      </c>
      <c r="B362" s="81">
        <v>44368</v>
      </c>
      <c r="C362" s="82" t="s">
        <v>4293</v>
      </c>
      <c r="D362" s="33" t="s">
        <v>4294</v>
      </c>
      <c r="E362" s="69" t="str">
        <f>RIGHT(บันทึกนำเข้าDrawing[[#This Row],[Drawing No]],1)</f>
        <v>0</v>
      </c>
      <c r="F362" s="84" t="s">
        <v>4295</v>
      </c>
      <c r="G362" s="120" t="s">
        <v>4029</v>
      </c>
      <c r="H362" s="83">
        <v>44403</v>
      </c>
      <c r="I362" s="29" t="str">
        <f>CONCATENATE(บันทึกนำเข้าDrawing[[#This Row],[Part No]],"+",บันทึกนำเข้าDrawing[[#This Row],[Drawing No]])</f>
        <v>2B26-233-00+DR-TW-2B26-233-00-00</v>
      </c>
    </row>
    <row r="363" spans="1:9">
      <c r="A363" s="33">
        <v>364</v>
      </c>
      <c r="B363" s="81">
        <v>44376</v>
      </c>
      <c r="C363" s="82" t="s">
        <v>4282</v>
      </c>
      <c r="D363" s="33" t="s">
        <v>2132</v>
      </c>
      <c r="E363" s="69" t="str">
        <f>RIGHT(บันทึกนำเข้าDrawing[[#This Row],[Drawing No]],1)</f>
        <v>3</v>
      </c>
      <c r="F363" s="84" t="s">
        <v>5541</v>
      </c>
      <c r="G363" s="120" t="s">
        <v>4027</v>
      </c>
      <c r="H363" s="83">
        <v>45040</v>
      </c>
      <c r="I363" s="29" t="str">
        <f>CONCATENATE(บันทึกนำเข้าDrawing[[#This Row],[Part No]],"+",บันทึกนำเข้าDrawing[[#This Row],[Drawing No]])</f>
        <v>2B48-205-00+DR-TW-2B48-207-01-03</v>
      </c>
    </row>
    <row r="364" spans="1:9">
      <c r="A364" s="33">
        <v>365</v>
      </c>
      <c r="B364" s="81">
        <v>44385</v>
      </c>
      <c r="C364" s="82" t="s">
        <v>4299</v>
      </c>
      <c r="D364" s="33" t="s">
        <v>4300</v>
      </c>
      <c r="E364" s="69" t="str">
        <f>RIGHT(บันทึกนำเข้าDrawing[[#This Row],[Drawing No]],1)</f>
        <v>0</v>
      </c>
      <c r="F364" s="84" t="s">
        <v>4301</v>
      </c>
      <c r="G364" s="120" t="s">
        <v>4029</v>
      </c>
      <c r="H364" s="83"/>
      <c r="I364" s="29" t="str">
        <f>CONCATENATE(บันทึกนำเข้าDrawing[[#This Row],[Part No]],"+",บันทึกนำเข้าDrawing[[#This Row],[Drawing No]])</f>
        <v>2B69M135-00+DR-TW-2B69M135-00-00</v>
      </c>
    </row>
    <row r="365" spans="1:9">
      <c r="A365" s="33">
        <v>366</v>
      </c>
      <c r="B365" s="81">
        <v>44385</v>
      </c>
      <c r="C365" s="82" t="s">
        <v>4303</v>
      </c>
      <c r="D365" s="33" t="s">
        <v>4304</v>
      </c>
      <c r="E365" s="69" t="str">
        <f>RIGHT(บันทึกนำเข้าDrawing[[#This Row],[Drawing No]],1)</f>
        <v>0</v>
      </c>
      <c r="F365" s="22" t="s">
        <v>4302</v>
      </c>
      <c r="G365" s="120" t="s">
        <v>4029</v>
      </c>
      <c r="H365" s="83"/>
      <c r="I365" s="29" t="str">
        <f>CONCATENATE(บันทึกนำเข้าDrawing[[#This Row],[Part No]],"+",บันทึกนำเข้าDrawing[[#This Row],[Drawing No]])</f>
        <v>2B69M134-00+DR-TW-2B69M134-00-00</v>
      </c>
    </row>
    <row r="366" spans="1:9">
      <c r="A366" s="33">
        <v>367</v>
      </c>
      <c r="B366" s="81">
        <v>44385</v>
      </c>
      <c r="C366" s="82" t="s">
        <v>4305</v>
      </c>
      <c r="D366" s="33" t="s">
        <v>4306</v>
      </c>
      <c r="E366" s="69" t="str">
        <f>RIGHT(บันทึกนำเข้าDrawing[[#This Row],[Drawing No]],1)</f>
        <v>0</v>
      </c>
      <c r="F366" s="84" t="s">
        <v>4307</v>
      </c>
      <c r="G366" s="120" t="s">
        <v>4027</v>
      </c>
      <c r="H366" s="83">
        <v>44393</v>
      </c>
      <c r="I366" s="29" t="str">
        <f>CONCATENATE(บันทึกนำเข้าDrawing[[#This Row],[Part No]],"+",บันทึกนำเข้าDrawing[[#This Row],[Drawing No]])</f>
        <v>2B25-018-00+DR-TW-2B25-018-00-00</v>
      </c>
    </row>
    <row r="367" spans="1:9">
      <c r="A367" s="33">
        <v>368</v>
      </c>
      <c r="B367" s="81">
        <v>44385</v>
      </c>
      <c r="C367" s="82" t="s">
        <v>4308</v>
      </c>
      <c r="D367" s="33" t="s">
        <v>4309</v>
      </c>
      <c r="E367" s="69" t="str">
        <f>RIGHT(บันทึกนำเข้าDrawing[[#This Row],[Drawing No]],1)</f>
        <v>0</v>
      </c>
      <c r="F367" s="84" t="s">
        <v>4310</v>
      </c>
      <c r="G367" s="120" t="s">
        <v>4029</v>
      </c>
      <c r="H367" s="83"/>
      <c r="I367" s="29" t="str">
        <f>CONCATENATE(บันทึกนำเข้าDrawing[[#This Row],[Part No]],"+",บันทึกนำเข้าDrawing[[#This Row],[Drawing No]])</f>
        <v>2B69A010-00+DR-TW-2B69A010-00-00</v>
      </c>
    </row>
    <row r="368" spans="1:9">
      <c r="A368" s="33">
        <v>369</v>
      </c>
      <c r="B368" s="81">
        <v>44386</v>
      </c>
      <c r="C368" s="82" t="s">
        <v>4311</v>
      </c>
      <c r="D368" s="33" t="s">
        <v>4312</v>
      </c>
      <c r="E368" s="69" t="str">
        <f>RIGHT(บันทึกนำเข้าDrawing[[#This Row],[Drawing No]],1)</f>
        <v>0</v>
      </c>
      <c r="F368" s="84" t="s">
        <v>4175</v>
      </c>
      <c r="G368" s="120" t="s">
        <v>4029</v>
      </c>
      <c r="H368" s="83"/>
      <c r="I368" s="29" t="str">
        <f>CONCATENATE(บันทึกนำเข้าDrawing[[#This Row],[Part No]],"+",บันทึกนำเข้าDrawing[[#This Row],[Drawing No]])</f>
        <v>2B91-450-01+DR-TW-2B91-450-01-00</v>
      </c>
    </row>
    <row r="369" spans="1:9">
      <c r="A369" s="33">
        <v>370</v>
      </c>
      <c r="B369" s="81">
        <v>44386</v>
      </c>
      <c r="C369" s="82" t="s">
        <v>4317</v>
      </c>
      <c r="D369" s="33" t="s">
        <v>4318</v>
      </c>
      <c r="E369" s="69" t="str">
        <f>RIGHT(บันทึกนำเข้าDrawing[[#This Row],[Drawing No]],1)</f>
        <v>0</v>
      </c>
      <c r="F369" s="84" t="s">
        <v>4184</v>
      </c>
      <c r="G369" s="120" t="s">
        <v>4029</v>
      </c>
      <c r="H369" s="83"/>
      <c r="I369" s="29" t="str">
        <f>CONCATENATE(บันทึกนำเข้าDrawing[[#This Row],[Part No]],"+",บันทึกนำเข้าDrawing[[#This Row],[Drawing No]])</f>
        <v>2B91-453-01+DR-TW-2B91-453-01-00</v>
      </c>
    </row>
    <row r="370" spans="1:9">
      <c r="A370" s="33">
        <v>371</v>
      </c>
      <c r="B370" s="81">
        <v>44386</v>
      </c>
      <c r="C370" s="82" t="s">
        <v>4319</v>
      </c>
      <c r="D370" s="33" t="s">
        <v>4320</v>
      </c>
      <c r="E370" s="69" t="str">
        <f>RIGHT(บันทึกนำเข้าDrawing[[#This Row],[Drawing No]],1)</f>
        <v>0</v>
      </c>
      <c r="F370" s="84" t="s">
        <v>4187</v>
      </c>
      <c r="G370" s="120" t="s">
        <v>4029</v>
      </c>
      <c r="H370" s="83"/>
      <c r="I370" s="29" t="str">
        <f>CONCATENATE(บันทึกนำเข้าDrawing[[#This Row],[Part No]],"+",บันทึกนำเข้าDrawing[[#This Row],[Drawing No]])</f>
        <v>2B91-454-01+DR-TW-2B91-454-01-00</v>
      </c>
    </row>
    <row r="371" spans="1:9">
      <c r="A371" s="33">
        <v>372</v>
      </c>
      <c r="B371" s="81">
        <v>44386</v>
      </c>
      <c r="C371" s="82" t="s">
        <v>4321</v>
      </c>
      <c r="D371" s="33" t="s">
        <v>4322</v>
      </c>
      <c r="E371" s="69" t="str">
        <f>RIGHT(บันทึกนำเข้าDrawing[[#This Row],[Drawing No]],1)</f>
        <v>0</v>
      </c>
      <c r="F371" s="84" t="s">
        <v>4189</v>
      </c>
      <c r="G371" s="120" t="s">
        <v>4029</v>
      </c>
      <c r="H371" s="83"/>
      <c r="I371" s="29" t="str">
        <f>CONCATENATE(บันทึกนำเข้าDrawing[[#This Row],[Part No]],"+",บันทึกนำเข้าDrawing[[#This Row],[Drawing No]])</f>
        <v>2B91-455-01+DR-TW-2B91-455-01-00</v>
      </c>
    </row>
    <row r="372" spans="1:9">
      <c r="A372" s="33">
        <v>373</v>
      </c>
      <c r="B372" s="85">
        <v>44386</v>
      </c>
      <c r="C372" s="72" t="s">
        <v>4323</v>
      </c>
      <c r="D372" s="33" t="s">
        <v>4324</v>
      </c>
      <c r="E372" s="69" t="str">
        <f>RIGHT(บันทึกนำเข้าDrawing[[#This Row],[Drawing No]],1)</f>
        <v>0</v>
      </c>
      <c r="F372" s="68" t="s">
        <v>4193</v>
      </c>
      <c r="G372" s="118" t="s">
        <v>4029</v>
      </c>
      <c r="H372" s="80"/>
      <c r="I372" s="29" t="str">
        <f>CONCATENATE(บันทึกนำเข้าDrawing[[#This Row],[Part No]],"+",บันทึกนำเข้าDrawing[[#This Row],[Drawing No]])</f>
        <v>2B91-456-01+DR-TW-2B91-456-01-00</v>
      </c>
    </row>
    <row r="373" spans="1:9">
      <c r="A373" s="33">
        <v>374</v>
      </c>
      <c r="B373" s="81">
        <v>44386</v>
      </c>
      <c r="C373" s="82" t="s">
        <v>4325</v>
      </c>
      <c r="D373" s="33" t="s">
        <v>4326</v>
      </c>
      <c r="E373" s="69" t="str">
        <f>RIGHT(บันทึกนำเข้าDrawing[[#This Row],[Drawing No]],1)</f>
        <v>0</v>
      </c>
      <c r="F373" s="84" t="s">
        <v>4184</v>
      </c>
      <c r="G373" s="120" t="s">
        <v>4029</v>
      </c>
      <c r="H373" s="83"/>
      <c r="I373" s="29" t="str">
        <f>CONCATENATE(บันทึกนำเข้าDrawing[[#This Row],[Part No]],"+",บันทึกนำเข้าDrawing[[#This Row],[Drawing No]])</f>
        <v>2B91-457-01+DR-TW-2B91-457-01-00</v>
      </c>
    </row>
    <row r="374" spans="1:9">
      <c r="A374" s="33">
        <v>375</v>
      </c>
      <c r="B374" s="81">
        <v>44389</v>
      </c>
      <c r="C374" s="72" t="s">
        <v>4327</v>
      </c>
      <c r="D374" s="33" t="s">
        <v>4328</v>
      </c>
      <c r="E374" s="69" t="str">
        <f>RIGHT(บันทึกนำเข้าDrawing[[#This Row],[Drawing No]],1)</f>
        <v>0</v>
      </c>
      <c r="F374" s="73" t="s">
        <v>4329</v>
      </c>
      <c r="G374" s="120" t="s">
        <v>4027</v>
      </c>
      <c r="H374" s="83">
        <v>44414</v>
      </c>
      <c r="I374" s="29" t="str">
        <f>CONCATENATE(บันทึกนำเข้าDrawing[[#This Row],[Part No]],"+",บันทึกนำเข้าDrawing[[#This Row],[Drawing No]])</f>
        <v>2B91-098-00+DR-TW-2B91-098-00-00</v>
      </c>
    </row>
    <row r="375" spans="1:9">
      <c r="A375" s="33">
        <v>376</v>
      </c>
      <c r="B375" s="81">
        <v>44401</v>
      </c>
      <c r="C375" s="72" t="s">
        <v>4335</v>
      </c>
      <c r="D375" s="33" t="s">
        <v>4336</v>
      </c>
      <c r="E375" s="69" t="str">
        <f>RIGHT(บันทึกนำเข้าDrawing[[#This Row],[Drawing No]],1)</f>
        <v>0</v>
      </c>
      <c r="F375" s="73" t="s">
        <v>4337</v>
      </c>
      <c r="G375" s="120" t="s">
        <v>4029</v>
      </c>
      <c r="H375" s="83"/>
      <c r="I375" s="29" t="str">
        <f>CONCATENATE(บันทึกนำเข้าDrawing[[#This Row],[Part No]],"+",บันทึกนำเข้าDrawing[[#This Row],[Drawing No]])</f>
        <v>2B26-030-00+DR-TW-2B26-030-00-00</v>
      </c>
    </row>
    <row r="376" spans="1:9">
      <c r="A376" s="33">
        <v>377</v>
      </c>
      <c r="B376" s="81">
        <v>44401</v>
      </c>
      <c r="C376" s="82" t="s">
        <v>4340</v>
      </c>
      <c r="D376" s="33" t="s">
        <v>4030</v>
      </c>
      <c r="E376" s="69" t="str">
        <f>RIGHT(บันทึกนำเข้าDrawing[[#This Row],[Drawing No]],1)</f>
        <v>6</v>
      </c>
      <c r="F376" s="84" t="s">
        <v>4167</v>
      </c>
      <c r="G376" s="120" t="s">
        <v>4029</v>
      </c>
      <c r="H376" s="83"/>
      <c r="I376" s="29" t="str">
        <f>CONCATENATE(บันทึกนำเข้าDrawing[[#This Row],[Part No]],"+",บันทึกนำเข้าDrawing[[#This Row],[Drawing No]])</f>
        <v>Drawing Set+DR-TW-2B28I085-00-06</v>
      </c>
    </row>
    <row r="377" spans="1:9">
      <c r="A377" s="33">
        <v>378</v>
      </c>
      <c r="B377" s="81">
        <v>44410</v>
      </c>
      <c r="C377" s="72" t="s">
        <v>4362</v>
      </c>
      <c r="D377" s="33" t="s">
        <v>4363</v>
      </c>
      <c r="E377" s="69" t="str">
        <f>RIGHT(บันทึกนำเข้าDrawing[[#This Row],[Drawing No]],1)</f>
        <v>0</v>
      </c>
      <c r="F377" s="68" t="s">
        <v>4364</v>
      </c>
      <c r="G377" s="120" t="s">
        <v>4029</v>
      </c>
      <c r="H377" s="83"/>
      <c r="I377" s="29" t="str">
        <f>CONCATENATE(บันทึกนำเข้าDrawing[[#This Row],[Part No]],"+",บันทึกนำเข้าDrawing[[#This Row],[Drawing No]])</f>
        <v>2B69M136-00+DR-TW-2B69M136-00-00</v>
      </c>
    </row>
    <row r="378" spans="1:9">
      <c r="A378" s="33">
        <v>379</v>
      </c>
      <c r="B378" s="81">
        <v>44410</v>
      </c>
      <c r="C378" s="82" t="s">
        <v>4365</v>
      </c>
      <c r="D378" s="33" t="s">
        <v>4366</v>
      </c>
      <c r="E378" s="69" t="str">
        <f>RIGHT(บันทึกนำเข้าDrawing[[#This Row],[Drawing No]],1)</f>
        <v>0</v>
      </c>
      <c r="F378" s="84" t="s">
        <v>4367</v>
      </c>
      <c r="G378" s="120" t="s">
        <v>4029</v>
      </c>
      <c r="H378" s="83"/>
      <c r="I378" s="29" t="str">
        <f>CONCATENATE(บันทึกนำเข้าDrawing[[#This Row],[Part No]],"+",บันทึกนำเข้าDrawing[[#This Row],[Drawing No]])</f>
        <v>2B25-137-00+DR-TW-2B25-137-00-00</v>
      </c>
    </row>
    <row r="379" spans="1:9">
      <c r="A379" s="33">
        <v>380</v>
      </c>
      <c r="B379" s="81">
        <v>45320</v>
      </c>
      <c r="C379" s="82" t="s">
        <v>4369</v>
      </c>
      <c r="D379" s="33" t="s">
        <v>4370</v>
      </c>
      <c r="E379" s="69" t="str">
        <f>RIGHT(บันทึกนำเข้าDrawing[[#This Row],[Drawing No]],1)</f>
        <v>0</v>
      </c>
      <c r="F379" s="84" t="s">
        <v>4368</v>
      </c>
      <c r="G379" s="120" t="s">
        <v>4029</v>
      </c>
      <c r="H379" s="83"/>
      <c r="I379" s="29" t="str">
        <f>CONCATENATE(บันทึกนำเข้าDrawing[[#This Row],[Part No]],"+",บันทึกนำเข้าDrawing[[#This Row],[Drawing No]])</f>
        <v>2B04-462-00+DR-TW-2B04-462-00-00</v>
      </c>
    </row>
    <row r="380" spans="1:9">
      <c r="A380" s="33">
        <v>381</v>
      </c>
      <c r="B380" s="81">
        <v>44410</v>
      </c>
      <c r="C380" s="82" t="s">
        <v>4371</v>
      </c>
      <c r="D380" s="33" t="s">
        <v>4030</v>
      </c>
      <c r="E380" s="69" t="str">
        <f>RIGHT(บันทึกนำเข้าDrawing[[#This Row],[Drawing No]],1)</f>
        <v>5</v>
      </c>
      <c r="F380" s="84" t="s">
        <v>3974</v>
      </c>
      <c r="G380" s="120" t="s">
        <v>4029</v>
      </c>
      <c r="H380" s="83"/>
      <c r="I380" s="29" t="str">
        <f>CONCATENATE(บันทึกนำเข้าDrawing[[#This Row],[Part No]],"+",บันทึกนำเข้าDrawing[[#This Row],[Drawing No]])</f>
        <v>Drawing Set+DR-TW-2B28A117-00-15</v>
      </c>
    </row>
    <row r="381" spans="1:9">
      <c r="A381" s="33">
        <v>382</v>
      </c>
      <c r="B381" s="81">
        <v>44410</v>
      </c>
      <c r="C381" s="82" t="s">
        <v>4375</v>
      </c>
      <c r="D381" s="33" t="s">
        <v>3683</v>
      </c>
      <c r="E381" s="69" t="str">
        <f>RIGHT(บันทึกนำเข้าDrawing[[#This Row],[Drawing No]],1)</f>
        <v>1</v>
      </c>
      <c r="F381" s="68" t="s">
        <v>3982</v>
      </c>
      <c r="G381" s="118" t="s">
        <v>4029</v>
      </c>
      <c r="H381" s="83"/>
      <c r="I381" s="29" t="str">
        <f>CONCATENATE(บันทึกนำเข้าDrawing[[#This Row],[Part No]],"+",บันทึกนำเข้าDrawing[[#This Row],[Drawing No]])</f>
        <v>2B26-370-00+DR-TW-2B26-370-00-01</v>
      </c>
    </row>
    <row r="382" spans="1:9">
      <c r="A382" s="33">
        <v>383</v>
      </c>
      <c r="B382" s="85">
        <v>44410</v>
      </c>
      <c r="C382" s="100" t="s">
        <v>3941</v>
      </c>
      <c r="D382" s="33" t="s">
        <v>3685</v>
      </c>
      <c r="E382" s="69" t="str">
        <f>RIGHT(บันทึกนำเข้าDrawing[[#This Row],[Drawing No]],1)</f>
        <v>1</v>
      </c>
      <c r="F382" s="73" t="s">
        <v>3932</v>
      </c>
      <c r="G382" s="118" t="s">
        <v>4029</v>
      </c>
      <c r="H382" s="83"/>
      <c r="I382" s="29" t="str">
        <f>CONCATENATE(บันทึกนำเข้าDrawing[[#This Row],[Part No]],"+",บันทึกนำเข้าDrawing[[#This Row],[Drawing No]])</f>
        <v>2B26-371-00+DR-TW-2B26-371-00-01</v>
      </c>
    </row>
    <row r="383" spans="1:9">
      <c r="A383" s="33">
        <v>384</v>
      </c>
      <c r="B383" s="85">
        <v>44426</v>
      </c>
      <c r="C383" s="72" t="s">
        <v>4377</v>
      </c>
      <c r="D383" s="33" t="s">
        <v>4378</v>
      </c>
      <c r="E383" s="69" t="str">
        <f>RIGHT(บันทึกนำเข้าDrawing[[#This Row],[Drawing No]],1)</f>
        <v>0</v>
      </c>
      <c r="F383" s="68" t="s">
        <v>4379</v>
      </c>
      <c r="G383" s="118" t="s">
        <v>4029</v>
      </c>
      <c r="H383" s="83"/>
      <c r="I383" s="29" t="str">
        <f>CONCATENATE(บันทึกนำเข้าDrawing[[#This Row],[Part No]],"+",บันทึกนำเข้าDrawing[[#This Row],[Drawing No]])</f>
        <v>2B69M140-00+DR-TW-2B69M140-00-00</v>
      </c>
    </row>
    <row r="384" spans="1:9">
      <c r="A384" s="33">
        <v>385</v>
      </c>
      <c r="B384" s="85">
        <v>44450</v>
      </c>
      <c r="C384" s="72" t="s">
        <v>4380</v>
      </c>
      <c r="D384" s="33" t="s">
        <v>4381</v>
      </c>
      <c r="E384" s="69" t="str">
        <f>RIGHT(บันทึกนำเข้าDrawing[[#This Row],[Drawing No]],1)</f>
        <v>0</v>
      </c>
      <c r="F384" s="68" t="s">
        <v>4015</v>
      </c>
      <c r="G384" s="118" t="s">
        <v>4027</v>
      </c>
      <c r="H384" s="83">
        <v>44981</v>
      </c>
      <c r="I384" s="29" t="str">
        <f>CONCATENATE(บันทึกนำเข้าDrawing[[#This Row],[Part No]],"+",บันทึกนำเข้าDrawing[[#This Row],[Drawing No]])</f>
        <v>2B27-123-01+DR-TW-2B27-123-01-00</v>
      </c>
    </row>
    <row r="385" spans="1:9">
      <c r="A385" s="33">
        <v>386</v>
      </c>
      <c r="B385" s="85">
        <v>44450</v>
      </c>
      <c r="C385" s="72" t="s">
        <v>4383</v>
      </c>
      <c r="D385" s="33" t="s">
        <v>2076</v>
      </c>
      <c r="E385" s="69" t="str">
        <f>RIGHT(บันทึกนำเข้าDrawing[[#This Row],[Drawing No]],1)</f>
        <v>0</v>
      </c>
      <c r="F385" s="68" t="s">
        <v>4384</v>
      </c>
      <c r="G385" s="118" t="s">
        <v>4027</v>
      </c>
      <c r="H385" s="83"/>
      <c r="I385" s="29" t="str">
        <f>CONCATENATE(บันทึกนำเข้าDrawing[[#This Row],[Part No]],"+",บันทึกนำเข้าDrawing[[#This Row],[Drawing No]])</f>
        <v>2B48-034-03+DR-TW-2B48-034-03-00</v>
      </c>
    </row>
    <row r="386" spans="1:9">
      <c r="A386" s="33">
        <v>387</v>
      </c>
      <c r="B386" s="85">
        <v>44459</v>
      </c>
      <c r="C386" s="72" t="s">
        <v>4385</v>
      </c>
      <c r="D386" s="33" t="s">
        <v>1109</v>
      </c>
      <c r="E386" s="69" t="str">
        <f>RIGHT(บันทึกนำเข้าDrawing[[#This Row],[Drawing No]],1)</f>
        <v>0</v>
      </c>
      <c r="F386" s="68" t="s">
        <v>4386</v>
      </c>
      <c r="G386" s="118" t="s">
        <v>4027</v>
      </c>
      <c r="H386" s="83">
        <v>45414</v>
      </c>
      <c r="I386" s="29" t="str">
        <f>CONCATENATE(บันทึกนำเข้าDrawing[[#This Row],[Part No]],"+",บันทึกนำเข้าDrawing[[#This Row],[Drawing No]])</f>
        <v>2B26-117-00+DR-TW-2B26-117-00-00</v>
      </c>
    </row>
    <row r="387" spans="1:9">
      <c r="A387" s="33">
        <v>333</v>
      </c>
      <c r="B387" s="85">
        <v>44306</v>
      </c>
      <c r="C387" s="72" t="s">
        <v>4733</v>
      </c>
      <c r="D387" s="33" t="s">
        <v>3711</v>
      </c>
      <c r="E387" s="69" t="str">
        <f>RIGHT(บันทึกนำเข้าDrawing[[#This Row],[Drawing No]],1)</f>
        <v>1</v>
      </c>
      <c r="F387" s="68" t="s">
        <v>3943</v>
      </c>
      <c r="G387" s="118" t="s">
        <v>4027</v>
      </c>
      <c r="H387" s="83">
        <v>44740</v>
      </c>
      <c r="I387" s="29" t="str">
        <f>CONCATENATE(บันทึกนำเข้าDrawing[[#This Row],[Part No]],"+",บันทึกนำเข้าDrawing[[#This Row],[Drawing No]])</f>
        <v>2B27-180-00+DR-TW-2B27-180-00-01</v>
      </c>
    </row>
    <row r="388" spans="1:9">
      <c r="A388" s="33">
        <v>389</v>
      </c>
      <c r="B388" s="85">
        <v>44462</v>
      </c>
      <c r="C388" s="72" t="s">
        <v>4390</v>
      </c>
      <c r="D388" s="33" t="s">
        <v>4391</v>
      </c>
      <c r="E388" s="69" t="str">
        <f>RIGHT(บันทึกนำเข้าDrawing[[#This Row],[Drawing No]],1)</f>
        <v>0</v>
      </c>
      <c r="F388" s="68" t="s">
        <v>4392</v>
      </c>
      <c r="G388" s="118" t="s">
        <v>4029</v>
      </c>
      <c r="H388" s="83"/>
      <c r="I388" s="29" t="str">
        <f>CONCATENATE(บันทึกนำเข้าDrawing[[#This Row],[Part No]],"+",บันทึกนำเข้าDrawing[[#This Row],[Drawing No]])</f>
        <v>2B69M148-00+DR-TW-2B69M148-00-00</v>
      </c>
    </row>
    <row r="389" spans="1:9">
      <c r="A389" s="33">
        <v>390</v>
      </c>
      <c r="B389" s="85">
        <v>44469</v>
      </c>
      <c r="C389" s="72" t="s">
        <v>4396</v>
      </c>
      <c r="D389" s="33" t="s">
        <v>4397</v>
      </c>
      <c r="E389" s="69" t="str">
        <f>RIGHT(บันทึกนำเข้าDrawing[[#This Row],[Drawing No]],1)</f>
        <v>0</v>
      </c>
      <c r="F389" s="68" t="s">
        <v>4398</v>
      </c>
      <c r="G389" s="118" t="s">
        <v>4029</v>
      </c>
      <c r="H389" s="83"/>
      <c r="I389" s="29" t="str">
        <f>CONCATENATE(บันทึกนำเข้าDrawing[[#This Row],[Part No]],"+",บันทึกนำเข้าDrawing[[#This Row],[Drawing No]])</f>
        <v>2B69M152-00+DR-TW-2B69M152-00-00</v>
      </c>
    </row>
    <row r="390" spans="1:9">
      <c r="A390" s="33">
        <v>391</v>
      </c>
      <c r="B390" s="85">
        <v>44469</v>
      </c>
      <c r="C390" s="72" t="s">
        <v>4399</v>
      </c>
      <c r="D390" s="33" t="s">
        <v>4400</v>
      </c>
      <c r="E390" s="69" t="str">
        <f>RIGHT(บันทึกนำเข้าDrawing[[#This Row],[Drawing No]],1)</f>
        <v>0</v>
      </c>
      <c r="F390" s="68" t="s">
        <v>4401</v>
      </c>
      <c r="G390" s="118" t="s">
        <v>4029</v>
      </c>
      <c r="H390" s="83"/>
      <c r="I390" s="29" t="str">
        <f>CONCATENATE(บันทึกนำเข้าDrawing[[#This Row],[Part No]],"+",บันทึกนำเข้าDrawing[[#This Row],[Drawing No]])</f>
        <v>2B69M150-00+DR-TW-2B69M150-00-00</v>
      </c>
    </row>
    <row r="391" spans="1:9">
      <c r="A391" s="33">
        <v>392</v>
      </c>
      <c r="B391" s="85">
        <v>44469</v>
      </c>
      <c r="C391" s="72" t="s">
        <v>4403</v>
      </c>
      <c r="D391" s="33" t="s">
        <v>4402</v>
      </c>
      <c r="E391" s="69" t="str">
        <f>RIGHT(บันทึกนำเข้าDrawing[[#This Row],[Drawing No]],1)</f>
        <v>0</v>
      </c>
      <c r="F391" s="68" t="s">
        <v>4404</v>
      </c>
      <c r="G391" s="118" t="s">
        <v>4029</v>
      </c>
      <c r="H391" s="83"/>
      <c r="I391" s="29" t="str">
        <f>CONCATENATE(บันทึกนำเข้าDrawing[[#This Row],[Part No]],"+",บันทึกนำเข้าDrawing[[#This Row],[Drawing No]])</f>
        <v>2B69M151-00+DR-TW-2B69M151-00-00</v>
      </c>
    </row>
    <row r="392" spans="1:9">
      <c r="A392" s="33">
        <v>393</v>
      </c>
      <c r="B392" s="85">
        <v>44469</v>
      </c>
      <c r="C392" s="72" t="s">
        <v>4406</v>
      </c>
      <c r="D392" s="33" t="s">
        <v>4407</v>
      </c>
      <c r="E392" s="69" t="str">
        <f>RIGHT(บันทึกนำเข้าDrawing[[#This Row],[Drawing No]],1)</f>
        <v>1</v>
      </c>
      <c r="F392" s="68" t="s">
        <v>4405</v>
      </c>
      <c r="G392" s="118" t="s">
        <v>4029</v>
      </c>
      <c r="H392" s="83"/>
      <c r="I392" s="29" t="str">
        <f>CONCATENATE(บันทึกนำเข้าDrawing[[#This Row],[Part No]],"+",บันทึกนำเข้าDrawing[[#This Row],[Drawing No]])</f>
        <v>2B29-402-01+DR-TW-2B29-402-01-01</v>
      </c>
    </row>
    <row r="393" spans="1:9">
      <c r="A393" s="33">
        <v>394</v>
      </c>
      <c r="B393" s="85">
        <v>44469</v>
      </c>
      <c r="C393" s="72" t="s">
        <v>4408</v>
      </c>
      <c r="D393" s="33" t="s">
        <v>2086</v>
      </c>
      <c r="E393" s="69" t="str">
        <f>RIGHT(บันทึกนำเข้าDrawing[[#This Row],[Drawing No]],1)</f>
        <v>2</v>
      </c>
      <c r="F393" s="68" t="s">
        <v>4409</v>
      </c>
      <c r="G393" s="118" t="s">
        <v>4029</v>
      </c>
      <c r="H393" s="83"/>
      <c r="I393" s="29" t="str">
        <f>CONCATENATE(บันทึกนำเข้าDrawing[[#This Row],[Part No]],"+",บันทึกนำเข้าDrawing[[#This Row],[Drawing No]])</f>
        <v>2B48-051-01+DR-TW-2B48-051-01-02</v>
      </c>
    </row>
    <row r="394" spans="1:9">
      <c r="A394" s="33">
        <v>395</v>
      </c>
      <c r="B394" s="85">
        <v>44469</v>
      </c>
      <c r="C394" s="72" t="s">
        <v>4410</v>
      </c>
      <c r="D394" s="33" t="s">
        <v>4411</v>
      </c>
      <c r="E394" s="69" t="str">
        <f>RIGHT(บันทึกนำเข้าDrawing[[#This Row],[Drawing No]],1)</f>
        <v>0</v>
      </c>
      <c r="F394" s="68" t="s">
        <v>4392</v>
      </c>
      <c r="G394" s="118" t="s">
        <v>4029</v>
      </c>
      <c r="H394" s="83" t="s">
        <v>4244</v>
      </c>
      <c r="I394" s="29" t="str">
        <f>CONCATENATE(บันทึกนำเข้าDrawing[[#This Row],[Part No]],"+",บันทึกนำเข้าDrawing[[#This Row],[Drawing No]])</f>
        <v>2B29-401-01+DR-TW-2B29-401-01-00</v>
      </c>
    </row>
    <row r="395" spans="1:9">
      <c r="A395" s="33">
        <v>396</v>
      </c>
      <c r="B395" s="85">
        <v>44469</v>
      </c>
      <c r="C395" s="72" t="s">
        <v>4412</v>
      </c>
      <c r="D395" s="33" t="s">
        <v>1329</v>
      </c>
      <c r="E395" s="69" t="str">
        <f>RIGHT(บันทึกนำเข้าDrawing[[#This Row],[Drawing No]],1)</f>
        <v>1</v>
      </c>
      <c r="F395" s="68" t="s">
        <v>4413</v>
      </c>
      <c r="G395" s="118" t="s">
        <v>4029</v>
      </c>
      <c r="H395" s="83"/>
      <c r="I395" s="29" t="str">
        <f>CONCATENATE(บันทึกนำเข้าDrawing[[#This Row],[Part No]],"+",บันทึกนำเข้าDrawing[[#This Row],[Drawing No]])</f>
        <v>2B26-276-02+DR-TW-2B26-276-02-01</v>
      </c>
    </row>
    <row r="396" spans="1:9">
      <c r="A396" s="33">
        <v>397</v>
      </c>
      <c r="B396" s="85">
        <v>44469</v>
      </c>
      <c r="C396" s="72" t="s">
        <v>4414</v>
      </c>
      <c r="D396" s="33" t="s">
        <v>4415</v>
      </c>
      <c r="E396" s="69" t="str">
        <f>RIGHT(บันทึกนำเข้าDrawing[[#This Row],[Drawing No]],1)</f>
        <v>1</v>
      </c>
      <c r="F396" s="68" t="s">
        <v>4416</v>
      </c>
      <c r="G396" s="118" t="s">
        <v>4029</v>
      </c>
      <c r="H396" s="83"/>
      <c r="I396" s="29" t="str">
        <f>CONCATENATE(บันทึกนำเข้าDrawing[[#This Row],[Part No]],"+",บันทึกนำเข้าDrawing[[#This Row],[Drawing No]])</f>
        <v>2B26-253-01+DR-TW-2B26-253-01-01</v>
      </c>
    </row>
    <row r="397" spans="1:9">
      <c r="A397" s="33">
        <v>398</v>
      </c>
      <c r="B397" s="85">
        <v>44469</v>
      </c>
      <c r="C397" s="89" t="s">
        <v>4417</v>
      </c>
      <c r="D397" s="35" t="s">
        <v>4418</v>
      </c>
      <c r="E397" s="69" t="str">
        <f>RIGHT(บันทึกนำเข้าDrawing[[#This Row],[Drawing No]],1)</f>
        <v>1</v>
      </c>
      <c r="F397" s="73" t="s">
        <v>4419</v>
      </c>
      <c r="G397" s="118" t="s">
        <v>4029</v>
      </c>
      <c r="H397" s="83"/>
      <c r="I397" s="29" t="str">
        <f>CONCATENATE(บันทึกนำเข้าDrawing[[#This Row],[Part No]],"+",บันทึกนำเข้าDrawing[[#This Row],[Drawing No]])</f>
        <v>2B26-252-01+DR-TW-2B26-252-01-01</v>
      </c>
    </row>
    <row r="398" spans="1:9">
      <c r="A398" s="33">
        <v>399</v>
      </c>
      <c r="B398" s="85">
        <v>44481</v>
      </c>
      <c r="C398" s="89" t="s">
        <v>4331</v>
      </c>
      <c r="D398" s="35" t="s">
        <v>4288</v>
      </c>
      <c r="E398" s="69" t="str">
        <f>RIGHT(บันทึกนำเข้าDrawing[[#This Row],[Drawing No]],1)</f>
        <v>1</v>
      </c>
      <c r="F398" s="73" t="s">
        <v>2391</v>
      </c>
      <c r="G398" s="118" t="s">
        <v>4027</v>
      </c>
      <c r="H398" s="83">
        <v>45065</v>
      </c>
      <c r="I398" s="29" t="str">
        <f>CONCATENATE(บันทึกนำเข้าDrawing[[#This Row],[Part No]],"+",บันทึกนำเข้าDrawing[[#This Row],[Drawing No]])</f>
        <v>2B25-052-03+DR-TW-2B25-052-03-01</v>
      </c>
    </row>
    <row r="399" spans="1:9">
      <c r="A399" s="33">
        <v>400</v>
      </c>
      <c r="B399" s="85">
        <v>44481</v>
      </c>
      <c r="C399" s="89" t="s">
        <v>4331</v>
      </c>
      <c r="D399" s="35" t="s">
        <v>4768</v>
      </c>
      <c r="E399" s="69" t="str">
        <f>RIGHT(บันทึกนำเข้าDrawing[[#This Row],[Drawing No]],1)</f>
        <v>1</v>
      </c>
      <c r="F399" s="73" t="s">
        <v>4332</v>
      </c>
      <c r="G399" s="118" t="s">
        <v>4027</v>
      </c>
      <c r="H399" s="83">
        <v>44394</v>
      </c>
      <c r="I399" s="29" t="str">
        <f>CONCATENATE(บันทึกนำเข้าDrawing[[#This Row],[Part No]],"+",บันทึกนำเข้าDrawing[[#This Row],[Drawing No]])</f>
        <v>2B25-306-00+DR-TW-2B25-052-03-01</v>
      </c>
    </row>
    <row r="400" spans="1:9">
      <c r="A400" s="33">
        <v>401</v>
      </c>
      <c r="B400" s="85">
        <v>44481</v>
      </c>
      <c r="C400" s="89" t="s">
        <v>4331</v>
      </c>
      <c r="D400" s="35" t="s">
        <v>4393</v>
      </c>
      <c r="E400" s="69" t="str">
        <f>RIGHT(บันทึกนำเข้าDrawing[[#This Row],[Drawing No]],1)</f>
        <v>1</v>
      </c>
      <c r="F400" s="73" t="s">
        <v>2467</v>
      </c>
      <c r="G400" s="118" t="s">
        <v>4027</v>
      </c>
      <c r="H400" s="83">
        <v>44466</v>
      </c>
      <c r="I400" s="29" t="str">
        <f>CONCATENATE(บันทึกนำเข้าDrawing[[#This Row],[Part No]],"+",บันทึกนำเข้าDrawing[[#This Row],[Drawing No]])</f>
        <v>2B25-173-04+DR-TW-2B25-052-03-01</v>
      </c>
    </row>
    <row r="401" spans="1:9">
      <c r="A401" s="33">
        <v>402</v>
      </c>
      <c r="B401" s="85">
        <v>44485</v>
      </c>
      <c r="C401" s="89" t="s">
        <v>4420</v>
      </c>
      <c r="D401" s="35" t="s">
        <v>4418</v>
      </c>
      <c r="E401" s="69" t="str">
        <f>RIGHT(บันทึกนำเข้าDrawing[[#This Row],[Drawing No]],1)</f>
        <v>2</v>
      </c>
      <c r="F401" s="73" t="s">
        <v>4421</v>
      </c>
      <c r="G401" s="118" t="s">
        <v>4029</v>
      </c>
      <c r="H401" s="83"/>
      <c r="I401" s="29" t="str">
        <f>CONCATENATE(บันทึกนำเข้าDrawing[[#This Row],[Part No]],"+",บันทึกนำเข้าDrawing[[#This Row],[Drawing No]])</f>
        <v>2B26-252-01+DR-TW-2B26-252-01-02</v>
      </c>
    </row>
    <row r="402" spans="1:9">
      <c r="A402" s="33">
        <v>403</v>
      </c>
      <c r="B402" s="85">
        <v>44485</v>
      </c>
      <c r="C402" s="89" t="s">
        <v>4422</v>
      </c>
      <c r="D402" s="35" t="s">
        <v>1329</v>
      </c>
      <c r="E402" s="69" t="str">
        <f>RIGHT(บันทึกนำเข้าDrawing[[#This Row],[Drawing No]],1)</f>
        <v>2</v>
      </c>
      <c r="F402" s="73" t="s">
        <v>4413</v>
      </c>
      <c r="G402" s="118" t="s">
        <v>4027</v>
      </c>
      <c r="H402" s="83">
        <v>44981</v>
      </c>
      <c r="I402" s="29" t="str">
        <f>CONCATENATE(บันทึกนำเข้าDrawing[[#This Row],[Part No]],"+",บันทึกนำเข้าDrawing[[#This Row],[Drawing No]])</f>
        <v>2B26-276-02+DR-TW-2B26-276-02-02</v>
      </c>
    </row>
    <row r="403" spans="1:9">
      <c r="A403" s="33">
        <v>404</v>
      </c>
      <c r="B403" s="85">
        <v>44485</v>
      </c>
      <c r="C403" s="89" t="s">
        <v>4423</v>
      </c>
      <c r="D403" s="35" t="s">
        <v>4424</v>
      </c>
      <c r="E403" s="69" t="str">
        <f>RIGHT(บันทึกนำเข้าDrawing[[#This Row],[Drawing No]],1)</f>
        <v>0</v>
      </c>
      <c r="F403" s="73" t="s">
        <v>4425</v>
      </c>
      <c r="G403" s="118" t="s">
        <v>4029</v>
      </c>
      <c r="H403" s="83"/>
      <c r="I403" s="29" t="str">
        <f>CONCATENATE(บันทึกนำเข้าDrawing[[#This Row],[Part No]],"+",บันทึกนำเข้าDrawing[[#This Row],[Drawing No]])</f>
        <v>2B26-284-00+DR-TW-2B26-284-00-00</v>
      </c>
    </row>
    <row r="404" spans="1:9">
      <c r="A404" s="33">
        <v>405</v>
      </c>
      <c r="B404" s="85">
        <v>44485</v>
      </c>
      <c r="C404" s="89" t="s">
        <v>4426</v>
      </c>
      <c r="D404" s="35" t="s">
        <v>4427</v>
      </c>
      <c r="E404" s="69" t="str">
        <f>RIGHT(บันทึกนำเข้าDrawing[[#This Row],[Drawing No]],1)</f>
        <v>0</v>
      </c>
      <c r="F404" s="73" t="s">
        <v>4425</v>
      </c>
      <c r="G404" s="118" t="s">
        <v>4029</v>
      </c>
      <c r="H404" s="83"/>
      <c r="I404" s="29" t="str">
        <f>CONCATENATE(บันทึกนำเข้าDrawing[[#This Row],[Part No]],"+",บันทึกนำเข้าDrawing[[#This Row],[Drawing No]])</f>
        <v>2B26-285-00+DR-TW-2B26-285-00-00</v>
      </c>
    </row>
    <row r="405" spans="1:9">
      <c r="A405" s="33">
        <v>406</v>
      </c>
      <c r="B405" s="85">
        <v>44485</v>
      </c>
      <c r="C405" s="89" t="s">
        <v>4428</v>
      </c>
      <c r="D405" s="35" t="s">
        <v>4429</v>
      </c>
      <c r="E405" s="69" t="str">
        <f>RIGHT(บันทึกนำเข้าDrawing[[#This Row],[Drawing No]],1)</f>
        <v>0</v>
      </c>
      <c r="F405" s="73" t="s">
        <v>4430</v>
      </c>
      <c r="G405" s="118" t="s">
        <v>4521</v>
      </c>
      <c r="H405" s="83"/>
      <c r="I405" s="29" t="str">
        <f>CONCATENATE(บันทึกนำเข้าDrawing[[#This Row],[Part No]],"+",บันทึกนำเข้าDrawing[[#This Row],[Drawing No]])</f>
        <v>2B69M155-00+DR-TW-2B69M155-00-00</v>
      </c>
    </row>
    <row r="406" spans="1:9">
      <c r="A406" s="33">
        <v>407</v>
      </c>
      <c r="B406" s="85">
        <v>44485</v>
      </c>
      <c r="C406" s="89" t="s">
        <v>4431</v>
      </c>
      <c r="D406" s="35" t="s">
        <v>4432</v>
      </c>
      <c r="E406" s="69" t="str">
        <f>RIGHT(บันทึกนำเข้าDrawing[[#This Row],[Drawing No]],1)</f>
        <v>0</v>
      </c>
      <c r="F406" s="73" t="s">
        <v>4433</v>
      </c>
      <c r="G406" s="118" t="s">
        <v>4029</v>
      </c>
      <c r="H406" s="83"/>
      <c r="I406" s="29" t="str">
        <f>CONCATENATE(บันทึกนำเข้าDrawing[[#This Row],[Part No]],"+",บันทึกนำเข้าDrawing[[#This Row],[Drawing No]])</f>
        <v>2B69M156-00+DR-TW-2B69M156-00-00</v>
      </c>
    </row>
    <row r="407" spans="1:9">
      <c r="A407" s="33">
        <v>408</v>
      </c>
      <c r="B407" s="85">
        <v>44504</v>
      </c>
      <c r="C407" s="89" t="s">
        <v>4434</v>
      </c>
      <c r="D407" s="35" t="s">
        <v>4436</v>
      </c>
      <c r="E407" s="69" t="str">
        <f>RIGHT(บันทึกนำเข้าDrawing[[#This Row],[Drawing No]],1)</f>
        <v>0</v>
      </c>
      <c r="F407" s="73" t="s">
        <v>4435</v>
      </c>
      <c r="G407" s="120" t="s">
        <v>4029</v>
      </c>
      <c r="H407" s="83"/>
      <c r="I407" s="29" t="str">
        <f>CONCATENATE(บันทึกนำเข้าDrawing[[#This Row],[Part No]],"+",บันทึกนำเข้าDrawing[[#This Row],[Drawing No]])</f>
        <v>2B19B115-00+DR-TW-2B19B115-00-00</v>
      </c>
    </row>
    <row r="408" spans="1:9">
      <c r="A408" s="33">
        <v>409</v>
      </c>
      <c r="B408" s="81">
        <v>44508</v>
      </c>
      <c r="C408" s="82" t="s">
        <v>4439</v>
      </c>
      <c r="D408" s="33" t="s">
        <v>4440</v>
      </c>
      <c r="E408" s="69" t="str">
        <f>RIGHT(บันทึกนำเข้าDrawing[[#This Row],[Drawing No]],1)</f>
        <v>0</v>
      </c>
      <c r="F408" s="84" t="s">
        <v>4441</v>
      </c>
      <c r="G408" s="120" t="s">
        <v>4029</v>
      </c>
      <c r="H408" s="83"/>
      <c r="I408" s="29" t="str">
        <f>CONCATENATE(บันทึกนำเข้าDrawing[[#This Row],[Part No]],"+",บันทึกนำเข้าDrawing[[#This Row],[Drawing No]])</f>
        <v>2B69M170-00+DR-TW-2B69M170-00-00</v>
      </c>
    </row>
    <row r="409" spans="1:9">
      <c r="A409" s="33">
        <v>410</v>
      </c>
      <c r="B409" s="85">
        <v>44508</v>
      </c>
      <c r="C409" s="72" t="s">
        <v>4442</v>
      </c>
      <c r="D409" s="33" t="s">
        <v>4030</v>
      </c>
      <c r="E409" s="69" t="str">
        <f>RIGHT(บันทึกนำเข้าDrawing[[#This Row],[Drawing No]],1)</f>
        <v>8</v>
      </c>
      <c r="F409" s="68" t="s">
        <v>4443</v>
      </c>
      <c r="G409" s="118" t="s">
        <v>4027</v>
      </c>
      <c r="H409" s="83"/>
      <c r="I409" s="29" t="str">
        <f>CONCATENATE(บันทึกนำเข้าDrawing[[#This Row],[Part No]],"+",บันทึกนำเข้าDrawing[[#This Row],[Drawing No]])</f>
        <v>Drawing Set+DR-TW-2B28-115-00-08</v>
      </c>
    </row>
    <row r="410" spans="1:9">
      <c r="A410" s="33">
        <v>411</v>
      </c>
      <c r="B410" s="71">
        <v>44508</v>
      </c>
      <c r="C410" s="72" t="s">
        <v>4438</v>
      </c>
      <c r="D410" s="35" t="s">
        <v>4436</v>
      </c>
      <c r="E410" s="69" t="str">
        <f>RIGHT(บันทึกนำเข้าDrawing[[#This Row],[Drawing No]],1)</f>
        <v>1</v>
      </c>
      <c r="F410" s="73" t="s">
        <v>4435</v>
      </c>
      <c r="G410" s="118" t="s">
        <v>4029</v>
      </c>
      <c r="H410" s="83"/>
      <c r="I410" s="29" t="str">
        <f>CONCATENATE(บันทึกนำเข้าDrawing[[#This Row],[Part No]],"+",บันทึกนำเข้าDrawing[[#This Row],[Drawing No]])</f>
        <v>2B19B115-00+DR-TW-2B19B115-00-01</v>
      </c>
    </row>
    <row r="411" spans="1:9">
      <c r="A411" s="33">
        <v>412</v>
      </c>
      <c r="B411" s="71">
        <v>44508</v>
      </c>
      <c r="C411" s="72" t="s">
        <v>4446</v>
      </c>
      <c r="D411" s="35" t="s">
        <v>4447</v>
      </c>
      <c r="E411" s="69" t="str">
        <f>RIGHT(บันทึกนำเข้าDrawing[[#This Row],[Drawing No]],1)</f>
        <v>0</v>
      </c>
      <c r="F411" s="73" t="s">
        <v>4448</v>
      </c>
      <c r="G411" s="118" t="s">
        <v>4029</v>
      </c>
      <c r="H411" s="83"/>
      <c r="I411" s="29" t="str">
        <f>CONCATENATE(บันทึกนำเข้าDrawing[[#This Row],[Part No]],"+",บันทึกนำเข้าDrawing[[#This Row],[Drawing No]])</f>
        <v>2B26-284-01+DR-TW-2B26-284-01-00</v>
      </c>
    </row>
    <row r="412" spans="1:9">
      <c r="A412" s="33">
        <v>413</v>
      </c>
      <c r="B412" s="71">
        <v>44509</v>
      </c>
      <c r="C412" s="72" t="s">
        <v>4449</v>
      </c>
      <c r="D412" s="35" t="s">
        <v>4450</v>
      </c>
      <c r="E412" s="69" t="str">
        <f>RIGHT(บันทึกนำเข้าDrawing[[#This Row],[Drawing No]],1)</f>
        <v>0</v>
      </c>
      <c r="F412" s="73" t="s">
        <v>4448</v>
      </c>
      <c r="G412" s="120" t="s">
        <v>4029</v>
      </c>
      <c r="H412" s="83"/>
      <c r="I412" s="29" t="str">
        <f>CONCATENATE(บันทึกนำเข้าDrawing[[#This Row],[Part No]],"+",บันทึกนำเข้าDrawing[[#This Row],[Drawing No]])</f>
        <v>2B26-285-01+DR-TW-2B26-285-01-00</v>
      </c>
    </row>
    <row r="413" spans="1:9">
      <c r="A413" s="33">
        <v>414</v>
      </c>
      <c r="B413" s="71">
        <v>44519</v>
      </c>
      <c r="C413" s="72" t="s">
        <v>4452</v>
      </c>
      <c r="D413" s="35" t="s">
        <v>4453</v>
      </c>
      <c r="E413" s="69" t="str">
        <f>RIGHT(บันทึกนำเข้าDrawing[[#This Row],[Drawing No]],1)</f>
        <v>0</v>
      </c>
      <c r="F413" s="73" t="s">
        <v>4451</v>
      </c>
      <c r="G413" s="120" t="s">
        <v>4029</v>
      </c>
      <c r="H413" s="83"/>
      <c r="I413" s="29" t="str">
        <f>CONCATENATE(บันทึกนำเข้าDrawing[[#This Row],[Part No]],"+",บันทึกนำเข้าDrawing[[#This Row],[Drawing No]])</f>
        <v>2B69M169-00+DR-TW-2B69M169-00-00</v>
      </c>
    </row>
    <row r="414" spans="1:9">
      <c r="A414" s="33">
        <v>415</v>
      </c>
      <c r="B414" s="71">
        <v>44519</v>
      </c>
      <c r="C414" s="82" t="s">
        <v>4455</v>
      </c>
      <c r="D414" s="101" t="s">
        <v>4454</v>
      </c>
      <c r="E414" s="69" t="str">
        <f>RIGHT(บันทึกนำเข้าDrawing[[#This Row],[Drawing No]],1)</f>
        <v>0</v>
      </c>
      <c r="F414" s="102" t="s">
        <v>4456</v>
      </c>
      <c r="G414" s="120" t="s">
        <v>4029</v>
      </c>
      <c r="H414" s="83"/>
      <c r="I414" s="29" t="str">
        <f>CONCATENATE(บันทึกนำเข้าDrawing[[#This Row],[Part No]],"+",บันทึกนำเข้าDrawing[[#This Row],[Drawing No]])</f>
        <v>2B69M166-00+DR-TW-2B69M166-00-00</v>
      </c>
    </row>
    <row r="415" spans="1:9">
      <c r="A415" s="33">
        <v>416</v>
      </c>
      <c r="B415" s="81">
        <v>44519</v>
      </c>
      <c r="C415" s="82" t="s">
        <v>4458</v>
      </c>
      <c r="D415" s="70" t="s">
        <v>4457</v>
      </c>
      <c r="E415" s="69" t="str">
        <f>RIGHT(บันทึกนำเข้าDrawing[[#This Row],[Drawing No]],1)</f>
        <v>0</v>
      </c>
      <c r="F415" s="84" t="s">
        <v>4459</v>
      </c>
      <c r="G415" s="120" t="s">
        <v>4029</v>
      </c>
      <c r="H415" s="83"/>
      <c r="I415" s="29" t="str">
        <f>CONCATENATE(บันทึกนำเข้าDrawing[[#This Row],[Part No]],"+",บันทึกนำเข้าDrawing[[#This Row],[Drawing No]])</f>
        <v>2B69M165-00+DR-TW-2B69M165-00-00</v>
      </c>
    </row>
    <row r="416" spans="1:9">
      <c r="A416" s="33">
        <v>417</v>
      </c>
      <c r="B416" s="81">
        <v>44519</v>
      </c>
      <c r="C416" s="82" t="s">
        <v>4460</v>
      </c>
      <c r="D416" s="33" t="s">
        <v>4461</v>
      </c>
      <c r="E416" s="69" t="str">
        <f>RIGHT(บันทึกนำเข้าDrawing[[#This Row],[Drawing No]],1)</f>
        <v>0</v>
      </c>
      <c r="F416" s="84" t="s">
        <v>4462</v>
      </c>
      <c r="G416" s="120" t="s">
        <v>4029</v>
      </c>
      <c r="H416" s="83"/>
      <c r="I416" s="29" t="str">
        <f>CONCATENATE(บันทึกนำเข้าDrawing[[#This Row],[Part No]],"+",บันทึกนำเข้าDrawing[[#This Row],[Drawing No]])</f>
        <v>2B69M154-00+DR-TW-2B69M154-00-00</v>
      </c>
    </row>
    <row r="417" spans="1:9">
      <c r="A417" s="33">
        <v>418</v>
      </c>
      <c r="B417" s="81">
        <v>44519</v>
      </c>
      <c r="C417" s="82" t="s">
        <v>4463</v>
      </c>
      <c r="D417" s="33" t="s">
        <v>841</v>
      </c>
      <c r="E417" s="69" t="str">
        <f>RIGHT(บันทึกนำเข้าDrawing[[#This Row],[Drawing No]],1)</f>
        <v>1</v>
      </c>
      <c r="F417" s="84" t="s">
        <v>4464</v>
      </c>
      <c r="G417" s="120" t="s">
        <v>4029</v>
      </c>
      <c r="H417" s="83"/>
      <c r="I417" s="29" t="str">
        <f>CONCATENATE(บันทึกนำเข้าDrawing[[#This Row],[Part No]],"+",บันทึกนำเข้าDrawing[[#This Row],[Drawing No]])</f>
        <v>2B25-120-01+DR-TW-2B25-120-01-01</v>
      </c>
    </row>
    <row r="418" spans="1:9">
      <c r="A418" s="33">
        <v>419</v>
      </c>
      <c r="B418" s="81">
        <v>44519</v>
      </c>
      <c r="C418" s="82" t="s">
        <v>4465</v>
      </c>
      <c r="D418" s="33" t="s">
        <v>1387</v>
      </c>
      <c r="E418" s="69" t="str">
        <f>RIGHT(บันทึกนำเข้าDrawing[[#This Row],[Drawing No]],1)</f>
        <v>0</v>
      </c>
      <c r="F418" s="84" t="s">
        <v>4466</v>
      </c>
      <c r="G418" s="120" t="s">
        <v>4027</v>
      </c>
      <c r="H418" s="83">
        <v>43238</v>
      </c>
      <c r="I418" s="29" t="str">
        <f>CONCATENATE(บันทึกนำเข้าDrawing[[#This Row],[Part No]],"+",บันทึกนำเข้าDrawing[[#This Row],[Drawing No]])</f>
        <v>2B27-117-03+DR-TW-2B27-117-03-00</v>
      </c>
    </row>
    <row r="419" spans="1:9">
      <c r="A419" s="33">
        <v>420</v>
      </c>
      <c r="B419" s="81">
        <v>44519</v>
      </c>
      <c r="C419" s="78" t="s">
        <v>4467</v>
      </c>
      <c r="D419" s="33" t="s">
        <v>2169</v>
      </c>
      <c r="E419" s="69" t="str">
        <f>RIGHT(บันทึกนำเข้าDrawing[[#This Row],[Drawing No]],1)</f>
        <v>2</v>
      </c>
      <c r="F419" s="84" t="s">
        <v>4023</v>
      </c>
      <c r="G419" s="120" t="s">
        <v>4029</v>
      </c>
      <c r="H419" s="83"/>
      <c r="I419" s="29" t="str">
        <f>CONCATENATE(บันทึกนำเข้าDrawing[[#This Row],[Part No]],"+",บันทึกนำเข้าDrawing[[#This Row],[Drawing No]])</f>
        <v>2B55-205-00+DR-TW-2B55-205-00-02</v>
      </c>
    </row>
    <row r="420" spans="1:9">
      <c r="A420" s="33">
        <v>421</v>
      </c>
      <c r="B420" s="81">
        <v>44519</v>
      </c>
      <c r="C420" s="82" t="s">
        <v>4470</v>
      </c>
      <c r="D420" s="33" t="s">
        <v>4312</v>
      </c>
      <c r="E420" s="69" t="str">
        <f>RIGHT(บันทึกนำเข้าDrawing[[#This Row],[Drawing No]],1)</f>
        <v>1</v>
      </c>
      <c r="F420" s="84" t="s">
        <v>4175</v>
      </c>
      <c r="G420" s="120" t="s">
        <v>4029</v>
      </c>
      <c r="H420" s="83"/>
      <c r="I420" s="29" t="str">
        <f>CONCATENATE(บันทึกนำเข้าDrawing[[#This Row],[Part No]],"+",บันทึกนำเข้าDrawing[[#This Row],[Drawing No]])</f>
        <v>2B91-450-01+DR-TW-2B91-450-01-01</v>
      </c>
    </row>
    <row r="421" spans="1:9">
      <c r="A421" s="33">
        <v>422</v>
      </c>
      <c r="B421" s="81">
        <v>44519</v>
      </c>
      <c r="C421" s="82" t="s">
        <v>4313</v>
      </c>
      <c r="D421" s="33" t="s">
        <v>4314</v>
      </c>
      <c r="E421" s="69" t="str">
        <f>RIGHT(บันทึกนำเข้าDrawing[[#This Row],[Drawing No]],1)</f>
        <v>0</v>
      </c>
      <c r="F421" s="84" t="s">
        <v>4187</v>
      </c>
      <c r="G421" s="120" t="s">
        <v>4029</v>
      </c>
      <c r="H421" s="83"/>
      <c r="I421" s="29" t="str">
        <f>CONCATENATE(บันทึกนำเข้าDrawing[[#This Row],[Part No]],"+",บันทึกนำเข้าDrawing[[#This Row],[Drawing No]])</f>
        <v>2B91-451-01+DR-TW-2B91-451-01-00</v>
      </c>
    </row>
    <row r="422" spans="1:9">
      <c r="A422" s="33">
        <v>423</v>
      </c>
      <c r="B422" s="81">
        <v>44519</v>
      </c>
      <c r="C422" s="82" t="s">
        <v>4315</v>
      </c>
      <c r="D422" s="33" t="s">
        <v>4316</v>
      </c>
      <c r="E422" s="69" t="str">
        <f>RIGHT(บันทึกนำเข้าDrawing[[#This Row],[Drawing No]],1)</f>
        <v>0</v>
      </c>
      <c r="F422" s="84" t="s">
        <v>4181</v>
      </c>
      <c r="G422" s="120" t="s">
        <v>4027</v>
      </c>
      <c r="H422" s="83"/>
      <c r="I422" s="29" t="str">
        <f>CONCATENATE(บันทึกนำเข้าDrawing[[#This Row],[Part No]],"+",บันทึกนำเข้าDrawing[[#This Row],[Drawing No]])</f>
        <v>2B91-452-01+DR-TW-2B91-452-01-00</v>
      </c>
    </row>
    <row r="423" spans="1:9">
      <c r="A423" s="33">
        <v>424</v>
      </c>
      <c r="B423" s="81">
        <v>44519</v>
      </c>
      <c r="C423" s="82" t="s">
        <v>4472</v>
      </c>
      <c r="D423" s="33" t="s">
        <v>4320</v>
      </c>
      <c r="E423" s="69" t="str">
        <f>RIGHT(บันทึกนำเข้าDrawing[[#This Row],[Drawing No]],1)</f>
        <v>1</v>
      </c>
      <c r="F423" s="84" t="s">
        <v>4187</v>
      </c>
      <c r="G423" s="120" t="s">
        <v>4029</v>
      </c>
      <c r="H423" s="83"/>
      <c r="I423" s="29" t="str">
        <f>CONCATENATE(บันทึกนำเข้าDrawing[[#This Row],[Part No]],"+",บันทึกนำเข้าDrawing[[#This Row],[Drawing No]])</f>
        <v>2B91-454-01+DR-TW-2B91-454-01-01</v>
      </c>
    </row>
    <row r="424" spans="1:9">
      <c r="A424" s="33">
        <v>425</v>
      </c>
      <c r="B424" s="81">
        <v>44519</v>
      </c>
      <c r="C424" s="82" t="s">
        <v>4473</v>
      </c>
      <c r="D424" s="33" t="s">
        <v>4322</v>
      </c>
      <c r="E424" s="69" t="str">
        <f>RIGHT(บันทึกนำเข้าDrawing[[#This Row],[Drawing No]],1)</f>
        <v>1</v>
      </c>
      <c r="F424" s="84" t="s">
        <v>4189</v>
      </c>
      <c r="G424" s="120" t="s">
        <v>4027</v>
      </c>
      <c r="H424" s="83">
        <v>44518</v>
      </c>
      <c r="I424" s="29" t="str">
        <f>CONCATENATE(บันทึกนำเข้าDrawing[[#This Row],[Part No]],"+",บันทึกนำเข้าDrawing[[#This Row],[Drawing No]])</f>
        <v>2B91-455-01+DR-TW-2B91-455-01-01</v>
      </c>
    </row>
    <row r="425" spans="1:9">
      <c r="A425" s="33">
        <v>426</v>
      </c>
      <c r="B425" s="81">
        <v>44519</v>
      </c>
      <c r="C425" s="82" t="s">
        <v>4474</v>
      </c>
      <c r="D425" s="33" t="s">
        <v>4324</v>
      </c>
      <c r="E425" s="69" t="str">
        <f>RIGHT(บันทึกนำเข้าDrawing[[#This Row],[Drawing No]],1)</f>
        <v>1</v>
      </c>
      <c r="F425" s="84" t="s">
        <v>4193</v>
      </c>
      <c r="G425" s="120" t="s">
        <v>4029</v>
      </c>
      <c r="H425" s="83"/>
      <c r="I425" s="29" t="str">
        <f>CONCATENATE(บันทึกนำเข้าDrawing[[#This Row],[Part No]],"+",บันทึกนำเข้าDrawing[[#This Row],[Drawing No]])</f>
        <v>2B91-456-01+DR-TW-2B91-456-01-01</v>
      </c>
    </row>
    <row r="426" spans="1:9">
      <c r="A426" s="33">
        <v>427</v>
      </c>
      <c r="B426" s="81">
        <v>44519</v>
      </c>
      <c r="C426" s="82" t="s">
        <v>4475</v>
      </c>
      <c r="D426" s="33" t="s">
        <v>4326</v>
      </c>
      <c r="E426" s="69" t="str">
        <f>RIGHT(บันทึกนำเข้าDrawing[[#This Row],[Drawing No]],1)</f>
        <v>1</v>
      </c>
      <c r="F426" s="84" t="s">
        <v>4184</v>
      </c>
      <c r="G426" s="118" t="s">
        <v>4029</v>
      </c>
      <c r="H426" s="83"/>
      <c r="I426" s="29" t="str">
        <f>CONCATENATE(บันทึกนำเข้าDrawing[[#This Row],[Part No]],"+",บันทึกนำเข้าDrawing[[#This Row],[Drawing No]])</f>
        <v>2B91-457-01+DR-TW-2B91-457-01-01</v>
      </c>
    </row>
    <row r="427" spans="1:9">
      <c r="A427" s="33">
        <v>428</v>
      </c>
      <c r="B427" s="81">
        <v>44527</v>
      </c>
      <c r="C427" s="82" t="s">
        <v>4476</v>
      </c>
      <c r="D427" s="33" t="s">
        <v>4477</v>
      </c>
      <c r="E427" s="69" t="str">
        <f>RIGHT(บันทึกนำเข้าDrawing[[#This Row],[Drawing No]],1)</f>
        <v>0</v>
      </c>
      <c r="F427" s="84" t="s">
        <v>4478</v>
      </c>
      <c r="G427" s="118" t="s">
        <v>4029</v>
      </c>
      <c r="H427" s="83"/>
      <c r="I427" s="29" t="str">
        <f>CONCATENATE(บันทึกนำเข้าDrawing[[#This Row],[Part No]],"+",บันทึกนำเข้าDrawing[[#This Row],[Drawing No]])</f>
        <v>2B69M171-00+DR-TW-2B69M171-00-00</v>
      </c>
    </row>
    <row r="428" spans="1:9">
      <c r="A428" s="33">
        <v>429</v>
      </c>
      <c r="B428" s="81">
        <v>44527</v>
      </c>
      <c r="C428" s="82" t="s">
        <v>4479</v>
      </c>
      <c r="D428" s="33" t="s">
        <v>4480</v>
      </c>
      <c r="E428" s="69" t="str">
        <f>RIGHT(บันทึกนำเข้าDrawing[[#This Row],[Drawing No]],1)</f>
        <v>0</v>
      </c>
      <c r="F428" s="84" t="s">
        <v>4481</v>
      </c>
      <c r="G428" s="120" t="s">
        <v>4029</v>
      </c>
      <c r="H428" s="83"/>
      <c r="I428" s="29" t="str">
        <f>CONCATENATE(บันทึกนำเข้าDrawing[[#This Row],[Part No]],"+",บันทึกนำเข้าDrawing[[#This Row],[Drawing No]])</f>
        <v>2B69M172-00+DR-TW-2B69M172-00-00</v>
      </c>
    </row>
    <row r="429" spans="1:9">
      <c r="A429" s="33">
        <v>430</v>
      </c>
      <c r="B429" s="81">
        <v>44527</v>
      </c>
      <c r="C429" s="82" t="s">
        <v>4483</v>
      </c>
      <c r="D429" s="33" t="s">
        <v>4454</v>
      </c>
      <c r="E429" s="69" t="str">
        <f>RIGHT(บันทึกนำเข้าDrawing[[#This Row],[Drawing No]],1)</f>
        <v>1</v>
      </c>
      <c r="F429" s="84" t="s">
        <v>4456</v>
      </c>
      <c r="G429" s="120" t="s">
        <v>4029</v>
      </c>
      <c r="H429" s="83"/>
      <c r="I429" s="29" t="str">
        <f>CONCATENATE(บันทึกนำเข้าDrawing[[#This Row],[Part No]],"+",บันทึกนำเข้าDrawing[[#This Row],[Drawing No]])</f>
        <v>2B69M166-00+DR-TW-2B69M166-00-01</v>
      </c>
    </row>
    <row r="430" spans="1:9">
      <c r="A430" s="33">
        <v>431</v>
      </c>
      <c r="B430" s="81">
        <v>44527</v>
      </c>
      <c r="C430" s="72" t="s">
        <v>4484</v>
      </c>
      <c r="D430" s="33" t="s">
        <v>4457</v>
      </c>
      <c r="E430" s="69" t="str">
        <f>RIGHT(บันทึกนำเข้าDrawing[[#This Row],[Drawing No]],1)</f>
        <v>1</v>
      </c>
      <c r="F430" s="68" t="s">
        <v>4459</v>
      </c>
      <c r="G430" s="118" t="s">
        <v>4029</v>
      </c>
      <c r="H430" s="83"/>
      <c r="I430" s="29" t="str">
        <f>CONCATENATE(บันทึกนำเข้าDrawing[[#This Row],[Part No]],"+",บันทึกนำเข้าDrawing[[#This Row],[Drawing No]])</f>
        <v>2B69M165-00+DR-TW-2B69M165-00-01</v>
      </c>
    </row>
    <row r="431" spans="1:9">
      <c r="A431" s="33">
        <v>432</v>
      </c>
      <c r="B431" s="81">
        <v>44527</v>
      </c>
      <c r="C431" s="78" t="s">
        <v>4485</v>
      </c>
      <c r="D431" s="33" t="s">
        <v>1057</v>
      </c>
      <c r="E431" s="69" t="str">
        <f>RIGHT(บันทึกนำเข้าDrawing[[#This Row],[Drawing No]],1)</f>
        <v>1</v>
      </c>
      <c r="F431" s="84" t="s">
        <v>3793</v>
      </c>
      <c r="G431" s="120" t="s">
        <v>4027</v>
      </c>
      <c r="H431" s="83">
        <v>45458</v>
      </c>
      <c r="I431" s="29" t="str">
        <f>CONCATENATE(บันทึกนำเข้าDrawing[[#This Row],[Part No]],"+",บันทึกนำเข้าDrawing[[#This Row],[Drawing No]])</f>
        <v>2B26-051-05+DR-TW-2B26-051-05-01</v>
      </c>
    </row>
    <row r="432" spans="1:9">
      <c r="A432" s="33">
        <v>433</v>
      </c>
      <c r="B432" s="81">
        <v>44527</v>
      </c>
      <c r="C432" s="72" t="s">
        <v>4486</v>
      </c>
      <c r="D432" s="33" t="s">
        <v>1064</v>
      </c>
      <c r="E432" s="69" t="str">
        <f>RIGHT(บันทึกนำเข้าDrawing[[#This Row],[Drawing No]],1)</f>
        <v>1</v>
      </c>
      <c r="F432" s="84" t="s">
        <v>3829</v>
      </c>
      <c r="G432" s="120" t="s">
        <v>3779</v>
      </c>
      <c r="H432" s="83"/>
      <c r="I432" s="29" t="str">
        <f>CONCATENATE(บันทึกนำเข้าDrawing[[#This Row],[Part No]],"+",บันทึกนำเข้าDrawing[[#This Row],[Drawing No]])</f>
        <v>2B26-055-03+DR-TW-2B26-055-03-01</v>
      </c>
    </row>
    <row r="433" spans="1:9">
      <c r="A433" s="33">
        <v>434</v>
      </c>
      <c r="B433" s="81">
        <v>44527</v>
      </c>
      <c r="C433" s="72" t="s">
        <v>4487</v>
      </c>
      <c r="D433" s="33" t="s">
        <v>1137</v>
      </c>
      <c r="E433" s="69" t="str">
        <f>RIGHT(บันทึกนำเข้าDrawing[[#This Row],[Drawing No]],1)</f>
        <v>2</v>
      </c>
      <c r="F433" s="68" t="s">
        <v>3810</v>
      </c>
      <c r="G433" s="118" t="s">
        <v>4029</v>
      </c>
      <c r="H433" s="83">
        <v>43963</v>
      </c>
      <c r="I433" s="29" t="str">
        <f>CONCATENATE(บันทึกนำเข้าDrawing[[#This Row],[Part No]],"+",บันทึกนำเข้าDrawing[[#This Row],[Drawing No]])</f>
        <v>2B26-126-0J+DR-TW-2B26-126-0J-02</v>
      </c>
    </row>
    <row r="434" spans="1:9">
      <c r="A434" s="33">
        <v>435</v>
      </c>
      <c r="B434" s="81">
        <v>44527</v>
      </c>
      <c r="C434" s="78" t="s">
        <v>4488</v>
      </c>
      <c r="D434" s="33" t="s">
        <v>1146</v>
      </c>
      <c r="E434" s="69" t="str">
        <f>RIGHT(บันทึกนำเข้าDrawing[[#This Row],[Drawing No]],1)</f>
        <v>1</v>
      </c>
      <c r="F434" s="84" t="s">
        <v>3833</v>
      </c>
      <c r="G434" s="120" t="s">
        <v>4029</v>
      </c>
      <c r="H434" s="83"/>
      <c r="I434" s="29" t="str">
        <f>CONCATENATE(บันทึกนำเข้าDrawing[[#This Row],[Part No]],"+",บันทึกนำเข้าDrawing[[#This Row],[Drawing No]])</f>
        <v>2B26-132-01+DR-TW-2B26-132-01-01</v>
      </c>
    </row>
    <row r="435" spans="1:9">
      <c r="A435" s="33">
        <v>436</v>
      </c>
      <c r="B435" s="81">
        <v>44527</v>
      </c>
      <c r="C435" s="82" t="s">
        <v>4491</v>
      </c>
      <c r="D435" s="33" t="s">
        <v>4490</v>
      </c>
      <c r="E435" s="69" t="str">
        <f>RIGHT(บันทึกนำเข้าDrawing[[#This Row],[Drawing No]],1)</f>
        <v>0</v>
      </c>
      <c r="F435" s="84" t="s">
        <v>4287</v>
      </c>
      <c r="G435" s="120" t="s">
        <v>4027</v>
      </c>
      <c r="H435" s="83">
        <v>44533</v>
      </c>
      <c r="I435" s="29" t="str">
        <f>CONCATENATE(บันทึกนำเข้าDrawing[[#This Row],[Part No]],"+",บันทึกนำเข้าDrawing[[#This Row],[Drawing No]])</f>
        <v>2B53-400-04+DR-TW-2B53-400-04-00</v>
      </c>
    </row>
    <row r="436" spans="1:9">
      <c r="A436" s="33">
        <v>437</v>
      </c>
      <c r="B436" s="81">
        <v>44527</v>
      </c>
      <c r="C436" s="82" t="s">
        <v>4492</v>
      </c>
      <c r="D436" s="33" t="s">
        <v>4493</v>
      </c>
      <c r="E436" s="69" t="str">
        <f>RIGHT(บันทึกนำเข้าDrawing[[#This Row],[Drawing No]],1)</f>
        <v>0</v>
      </c>
      <c r="F436" s="84" t="s">
        <v>4494</v>
      </c>
      <c r="G436" s="120" t="s">
        <v>4029</v>
      </c>
      <c r="H436" s="83"/>
      <c r="I436" s="29" t="str">
        <f>CONCATENATE(บันทึกนำเข้าDrawing[[#This Row],[Part No]],"+",บันทึกนำเข้าDrawing[[#This Row],[Drawing No]])</f>
        <v>2B26-286-00+DR-TW-2B26-286-00-00</v>
      </c>
    </row>
    <row r="437" spans="1:9">
      <c r="A437" s="33">
        <v>438</v>
      </c>
      <c r="B437" s="81">
        <v>44527</v>
      </c>
      <c r="C437" s="82" t="s">
        <v>4495</v>
      </c>
      <c r="D437" s="33" t="s">
        <v>4496</v>
      </c>
      <c r="E437" s="69" t="str">
        <f>RIGHT(บันทึกนำเข้าDrawing[[#This Row],[Drawing No]],1)</f>
        <v>0</v>
      </c>
      <c r="F437" s="84" t="s">
        <v>4448</v>
      </c>
      <c r="G437" s="120" t="s">
        <v>4027</v>
      </c>
      <c r="H437" s="83">
        <v>44881</v>
      </c>
      <c r="I437" s="29" t="str">
        <f>CONCATENATE(บันทึกนำเข้าDrawing[[#This Row],[Part No]],"+",บันทึกนำเข้าDrawing[[#This Row],[Drawing No]])</f>
        <v>2B26-284-02+DR-TW-2B26-284-02-00</v>
      </c>
    </row>
    <row r="438" spans="1:9">
      <c r="A438" s="33">
        <v>439</v>
      </c>
      <c r="B438" s="81">
        <v>44553</v>
      </c>
      <c r="C438" s="82" t="s">
        <v>4504</v>
      </c>
      <c r="D438" s="33" t="s">
        <v>4030</v>
      </c>
      <c r="E438" s="69" t="str">
        <f>RIGHT(บันทึกนำเข้าDrawing[[#This Row],[Drawing No]],1)</f>
        <v>6</v>
      </c>
      <c r="F438" s="84" t="s">
        <v>3974</v>
      </c>
      <c r="G438" s="120" t="s">
        <v>3779</v>
      </c>
      <c r="H438" s="83"/>
      <c r="I438" s="29" t="str">
        <f>CONCATENATE(บันทึกนำเข้าDrawing[[#This Row],[Part No]],"+",บันทึกนำเข้าDrawing[[#This Row],[Drawing No]])</f>
        <v>Drawing Set+DR-TW-2B28A117-00-16</v>
      </c>
    </row>
    <row r="439" spans="1:9">
      <c r="A439" s="33">
        <v>440</v>
      </c>
      <c r="B439" s="81">
        <v>44553</v>
      </c>
      <c r="C439" s="82" t="s">
        <v>4507</v>
      </c>
      <c r="D439" s="33" t="s">
        <v>4508</v>
      </c>
      <c r="E439" s="69" t="str">
        <f>RIGHT(บันทึกนำเข้าDrawing[[#This Row],[Drawing No]],1)</f>
        <v>0</v>
      </c>
      <c r="F439" s="84" t="s">
        <v>4509</v>
      </c>
      <c r="G439" s="120" t="s">
        <v>4029</v>
      </c>
      <c r="H439" s="83"/>
      <c r="I439" s="29" t="str">
        <f>CONCATENATE(บันทึกนำเข้าDrawing[[#This Row],[Part No]],"+",บันทึกนำเข้าDrawing[[#This Row],[Drawing No]])</f>
        <v>2B26-451-00+DR-TW-2B26-451-00-00</v>
      </c>
    </row>
    <row r="440" spans="1:9">
      <c r="A440" s="33">
        <v>441</v>
      </c>
      <c r="B440" s="81">
        <v>44575</v>
      </c>
      <c r="C440" s="82" t="s">
        <v>5124</v>
      </c>
      <c r="D440" s="33" t="s">
        <v>5125</v>
      </c>
      <c r="E440" s="69" t="str">
        <f>RIGHT(บันทึกนำเข้าDrawing[[#This Row],[Drawing No]],1)</f>
        <v>0</v>
      </c>
      <c r="F440" s="84" t="s">
        <v>4893</v>
      </c>
      <c r="G440" s="120" t="s">
        <v>4029</v>
      </c>
      <c r="H440" s="83">
        <v>45418</v>
      </c>
      <c r="I440" s="29" t="str">
        <f>CONCATENATE(บันทึกนำเข้าDrawing[[#This Row],[Part No]],"+",บันทึกนำเข้าDrawing[[#This Row],[Drawing No]])</f>
        <v>2B04B500-00+DR-TW-2B04B500-00-00</v>
      </c>
    </row>
    <row r="441" spans="1:9">
      <c r="A441" s="33">
        <v>442</v>
      </c>
      <c r="B441" s="81">
        <v>44575</v>
      </c>
      <c r="C441" s="82" t="s">
        <v>5126</v>
      </c>
      <c r="D441" s="33" t="s">
        <v>547</v>
      </c>
      <c r="E441" s="69" t="str">
        <f>RIGHT(บันทึกนำเข้าDrawing[[#This Row],[Drawing No]],1)</f>
        <v>0</v>
      </c>
      <c r="F441" s="84" t="s">
        <v>4022</v>
      </c>
      <c r="G441" s="120" t="s">
        <v>4027</v>
      </c>
      <c r="H441" s="83">
        <v>44964</v>
      </c>
      <c r="I441" s="29" t="str">
        <f>CONCATENATE(บันทึกนำเข้าDrawing[[#This Row],[Part No]],"+",บันทึกนำเข้าDrawing[[#This Row],[Drawing No]])</f>
        <v>2B24-065-00+DR-TW-2B24-065-00-00</v>
      </c>
    </row>
    <row r="442" spans="1:9">
      <c r="A442" s="33">
        <v>443</v>
      </c>
      <c r="B442" s="81">
        <v>44580</v>
      </c>
      <c r="C442" s="82" t="s">
        <v>4518</v>
      </c>
      <c r="D442" s="33" t="s">
        <v>4519</v>
      </c>
      <c r="E442" s="69" t="str">
        <f>RIGHT(บันทึกนำเข้าDrawing[[#This Row],[Drawing No]],1)</f>
        <v>0</v>
      </c>
      <c r="F442" s="84" t="s">
        <v>4520</v>
      </c>
      <c r="G442" s="120" t="s">
        <v>4029</v>
      </c>
      <c r="H442" s="83"/>
      <c r="I442" s="29" t="str">
        <f>CONCATENATE(บันทึกนำเข้าDrawing[[#This Row],[Part No]],"+",บันทึกนำเข้าDrawing[[#This Row],[Drawing No]])</f>
        <v>2B69M181-00+DR-TW-2B69M181-00-00</v>
      </c>
    </row>
    <row r="443" spans="1:9">
      <c r="A443" s="33">
        <v>444</v>
      </c>
      <c r="B443" s="81">
        <v>44587</v>
      </c>
      <c r="C443" s="82" t="s">
        <v>4530</v>
      </c>
      <c r="D443" s="33" t="s">
        <v>4529</v>
      </c>
      <c r="E443" s="69" t="str">
        <f>RIGHT(บันทึกนำเข้าDrawing[[#This Row],[Drawing No]],1)</f>
        <v>0</v>
      </c>
      <c r="F443" s="84" t="s">
        <v>4531</v>
      </c>
      <c r="G443" s="120" t="s">
        <v>4027</v>
      </c>
      <c r="H443" s="83">
        <v>44940</v>
      </c>
      <c r="I443" s="29" t="str">
        <f>CONCATENATE(บันทึกนำเข้าDrawing[[#This Row],[Part No]],"+",บันทึกนำเข้าDrawing[[#This Row],[Drawing No]])</f>
        <v>2B26-090-01+DR-TW-2B26-090-01-00</v>
      </c>
    </row>
    <row r="444" spans="1:9">
      <c r="A444" s="33">
        <v>445</v>
      </c>
      <c r="B444" s="81">
        <v>44587</v>
      </c>
      <c r="C444" s="82" t="s">
        <v>4532</v>
      </c>
      <c r="D444" s="33" t="s">
        <v>4533</v>
      </c>
      <c r="E444" s="69" t="str">
        <f>RIGHT(บันทึกนำเข้าDrawing[[#This Row],[Drawing No]],1)</f>
        <v>0</v>
      </c>
      <c r="F444" s="84" t="s">
        <v>4534</v>
      </c>
      <c r="G444" s="120" t="s">
        <v>3772</v>
      </c>
      <c r="H444" s="83"/>
      <c r="I444" s="29" t="str">
        <f>CONCATENATE(บันทึกนำเข้าDrawing[[#This Row],[Part No]],"+",บันทึกนำเข้าDrawing[[#This Row],[Drawing No]])</f>
        <v>2B91-210-00+DR-TW-2B91-210-00-00</v>
      </c>
    </row>
    <row r="445" spans="1:9">
      <c r="A445" s="33">
        <v>446</v>
      </c>
      <c r="B445" s="81">
        <v>44587</v>
      </c>
      <c r="C445" s="82" t="s">
        <v>4535</v>
      </c>
      <c r="D445" s="33" t="s">
        <v>4536</v>
      </c>
      <c r="E445" s="69" t="str">
        <f>RIGHT(บันทึกนำเข้าDrawing[[#This Row],[Drawing No]],1)</f>
        <v>0</v>
      </c>
      <c r="F445" s="84" t="s">
        <v>4537</v>
      </c>
      <c r="G445" s="120" t="s">
        <v>4027</v>
      </c>
      <c r="H445" s="83"/>
      <c r="I445" s="29" t="str">
        <f>CONCATENATE(บันทึกนำเข้าDrawing[[#This Row],[Part No]],"+",บันทึกนำเข้าDrawing[[#This Row],[Drawing No]])</f>
        <v>2B26-131-00+DR-TW-2B26-131-00-00</v>
      </c>
    </row>
    <row r="446" spans="1:9">
      <c r="A446" s="33">
        <v>447</v>
      </c>
      <c r="B446" s="81">
        <v>44587</v>
      </c>
      <c r="C446" s="72" t="s">
        <v>4538</v>
      </c>
      <c r="D446" s="33" t="s">
        <v>4539</v>
      </c>
      <c r="E446" s="69" t="str">
        <f>RIGHT(บันทึกนำเข้าDrawing[[#This Row],[Drawing No]],1)</f>
        <v>0</v>
      </c>
      <c r="F446" s="68" t="s">
        <v>4540</v>
      </c>
      <c r="G446" s="118" t="s">
        <v>4521</v>
      </c>
      <c r="H446" s="80"/>
      <c r="I446" s="29" t="str">
        <f>CONCATENATE(บันทึกนำเข้าDrawing[[#This Row],[Part No]],"+",บันทึกนำเข้าDrawing[[#This Row],[Drawing No]])</f>
        <v>2B69A009-00+DR-TW-2B69A009-00-00</v>
      </c>
    </row>
    <row r="447" spans="1:9">
      <c r="A447" s="33">
        <v>448</v>
      </c>
      <c r="B447" s="85">
        <v>44593</v>
      </c>
      <c r="C447" s="72" t="s">
        <v>4548</v>
      </c>
      <c r="D447" s="33" t="s">
        <v>4547</v>
      </c>
      <c r="E447" s="69" t="str">
        <f>RIGHT(บันทึกนำเข้าDrawing[[#This Row],[Drawing No]],1)</f>
        <v>0</v>
      </c>
      <c r="F447" s="68" t="s">
        <v>4549</v>
      </c>
      <c r="G447" s="118" t="s">
        <v>4027</v>
      </c>
      <c r="H447" s="80">
        <v>44592</v>
      </c>
      <c r="I447" s="29" t="str">
        <f>CONCATENATE(บันทึกนำเข้าDrawing[[#This Row],[Part No]],"+",บันทึกนำเข้าDrawing[[#This Row],[Drawing No]])</f>
        <v>2B29-433-01+DR-TW-2B29-433-01-00</v>
      </c>
    </row>
    <row r="448" spans="1:9">
      <c r="A448" s="33">
        <v>449</v>
      </c>
      <c r="B448" s="85">
        <v>44593</v>
      </c>
      <c r="C448" s="72" t="s">
        <v>5422</v>
      </c>
      <c r="D448" s="33" t="s">
        <v>5423</v>
      </c>
      <c r="E448" s="69" t="str">
        <f>RIGHT(บันทึกนำเข้าDrawing[[#This Row],[Drawing No]],1)</f>
        <v>0</v>
      </c>
      <c r="F448" s="68" t="s">
        <v>5424</v>
      </c>
      <c r="G448" s="118" t="s">
        <v>4029</v>
      </c>
      <c r="H448" s="80"/>
      <c r="I448" s="29" t="str">
        <f>CONCATENATE(บันทึกนำเข้าDrawing[[#This Row],[Part No]],"+",บันทึกนำเข้าDrawing[[#This Row],[Drawing No]])</f>
        <v>2B52-283A00+DR-TW-2B52-283A00-00</v>
      </c>
    </row>
    <row r="449" spans="1:9">
      <c r="A449" s="33">
        <v>450</v>
      </c>
      <c r="B449" s="71">
        <v>44593</v>
      </c>
      <c r="C449" s="72" t="s">
        <v>4550</v>
      </c>
      <c r="D449" s="33" t="s">
        <v>4551</v>
      </c>
      <c r="E449" s="69" t="str">
        <f>RIGHT(บันทึกนำเข้าDrawing[[#This Row],[Drawing No]],1)</f>
        <v>0</v>
      </c>
      <c r="F449" s="73" t="s">
        <v>4509</v>
      </c>
      <c r="G449" s="118" t="s">
        <v>4027</v>
      </c>
      <c r="H449" s="80"/>
      <c r="I449" s="29" t="str">
        <f>CONCATENATE(บันทึกนำเข้าDrawing[[#This Row],[Part No]],"+",บันทึกนำเข้าDrawing[[#This Row],[Drawing No]])</f>
        <v>2B69M192-00+DR-TW-2B69M192-00-00</v>
      </c>
    </row>
    <row r="450" spans="1:9">
      <c r="A450" s="33">
        <v>451</v>
      </c>
      <c r="B450" s="71">
        <v>44593</v>
      </c>
      <c r="C450" s="72" t="s">
        <v>4552</v>
      </c>
      <c r="D450" s="33" t="s">
        <v>4553</v>
      </c>
      <c r="E450" s="69" t="str">
        <f>RIGHT(บันทึกนำเข้าDrawing[[#This Row],[Drawing No]],1)</f>
        <v>0</v>
      </c>
      <c r="F450" s="73" t="s">
        <v>4554</v>
      </c>
      <c r="G450" s="118" t="s">
        <v>4029</v>
      </c>
      <c r="H450" s="80"/>
      <c r="I450" s="29" t="str">
        <f>CONCATENATE(บันทึกนำเข้าDrawing[[#This Row],[Part No]],"+",บันทึกนำเข้าDrawing[[#This Row],[Drawing No]])</f>
        <v>2B69M193-00+DR-TW-2B69M193-00-00</v>
      </c>
    </row>
    <row r="451" spans="1:9">
      <c r="A451" s="33">
        <v>452</v>
      </c>
      <c r="B451" s="71">
        <v>44603</v>
      </c>
      <c r="C451" s="72" t="s">
        <v>4556</v>
      </c>
      <c r="D451" s="33" t="s">
        <v>4436</v>
      </c>
      <c r="E451" s="69" t="str">
        <f>RIGHT(บันทึกนำเข้าDrawing[[#This Row],[Drawing No]],1)</f>
        <v>2</v>
      </c>
      <c r="F451" s="73" t="s">
        <v>4435</v>
      </c>
      <c r="G451" s="118" t="s">
        <v>4029</v>
      </c>
      <c r="H451" s="80">
        <v>44603</v>
      </c>
      <c r="I451" s="29" t="str">
        <f>CONCATENATE(บันทึกนำเข้าDrawing[[#This Row],[Part No]],"+",บันทึกนำเข้าDrawing[[#This Row],[Drawing No]])</f>
        <v>2B19B115-00+DR-TW-2B19B115-00-02</v>
      </c>
    </row>
    <row r="452" spans="1:9">
      <c r="A452" s="33">
        <v>453</v>
      </c>
      <c r="B452" s="85">
        <v>44603</v>
      </c>
      <c r="C452" s="72" t="s">
        <v>4558</v>
      </c>
      <c r="D452" s="33" t="s">
        <v>4395</v>
      </c>
      <c r="E452" s="69" t="str">
        <f>RIGHT(บันทึกนำเข้าDrawing[[#This Row],[Drawing No]],1)</f>
        <v>1</v>
      </c>
      <c r="F452" s="68" t="s">
        <v>4559</v>
      </c>
      <c r="G452" s="118" t="s">
        <v>4029</v>
      </c>
      <c r="H452" s="80"/>
      <c r="I452" s="29" t="str">
        <f>CONCATENATE(บันทึกนำเข้าDrawing[[#This Row],[Part No]],"+",บันทึกนำเข้าDrawing[[#This Row],[Drawing No]])</f>
        <v>2B25-066-02+DR-TW-2B25-066-02-01</v>
      </c>
    </row>
    <row r="453" spans="1:9">
      <c r="A453" s="33">
        <v>454</v>
      </c>
      <c r="B453" s="85">
        <v>44603</v>
      </c>
      <c r="C453" s="72" t="s">
        <v>4560</v>
      </c>
      <c r="D453" s="33" t="s">
        <v>4536</v>
      </c>
      <c r="E453" s="69" t="str">
        <f>RIGHT(บันทึกนำเข้าDrawing[[#This Row],[Drawing No]],1)</f>
        <v>1</v>
      </c>
      <c r="F453" s="68" t="s">
        <v>4537</v>
      </c>
      <c r="G453" s="118" t="s">
        <v>4029</v>
      </c>
      <c r="H453" s="83">
        <v>44762</v>
      </c>
      <c r="I453" s="29" t="str">
        <f>CONCATENATE(บันทึกนำเข้าDrawing[[#This Row],[Part No]],"+",บันทึกนำเข้าDrawing[[#This Row],[Drawing No]])</f>
        <v>2B26-131-00+DR-TW-2B26-131-00-01</v>
      </c>
    </row>
    <row r="454" spans="1:9">
      <c r="A454" s="33">
        <v>455</v>
      </c>
      <c r="B454" s="85">
        <v>44607</v>
      </c>
      <c r="C454" s="72" t="s">
        <v>4563</v>
      </c>
      <c r="D454" s="33" t="s">
        <v>4564</v>
      </c>
      <c r="E454" s="69" t="str">
        <f>RIGHT(บันทึกนำเข้าDrawing[[#This Row],[Drawing No]],1)</f>
        <v>0</v>
      </c>
      <c r="F454" s="68" t="s">
        <v>4565</v>
      </c>
      <c r="G454" s="118" t="s">
        <v>4027</v>
      </c>
      <c r="H454" s="83"/>
      <c r="I454" s="29" t="str">
        <f>CONCATENATE(บันทึกนำเข้าDrawing[[#This Row],[Part No]],"+",บันทึกนำเข้าDrawing[[#This Row],[Drawing No]])</f>
        <v>2B69M196-00+DR-TW-2B69M196-00-00</v>
      </c>
    </row>
    <row r="455" spans="1:9">
      <c r="A455" s="33">
        <v>342</v>
      </c>
      <c r="B455" s="85">
        <v>44347</v>
      </c>
      <c r="C455" s="72" t="s">
        <v>4258</v>
      </c>
      <c r="D455" s="33" t="s">
        <v>4259</v>
      </c>
      <c r="E455" s="69" t="str">
        <f>RIGHT(บันทึกนำเข้าDrawing[[#This Row],[Drawing No]],1)</f>
        <v>0</v>
      </c>
      <c r="F455" s="68" t="s">
        <v>4260</v>
      </c>
      <c r="G455" s="118" t="s">
        <v>4029</v>
      </c>
      <c r="H455" s="80"/>
      <c r="I455" s="29" t="str">
        <f>CONCATENATE(บันทึกนำเข้าDrawing[[#This Row],[Part No]],"+",บันทึกนำเข้าDrawing[[#This Row],[Drawing No]])</f>
        <v>2B94-071-02+DR-TW-2B94-071-02-00</v>
      </c>
    </row>
    <row r="456" spans="1:9">
      <c r="A456" s="33">
        <v>457</v>
      </c>
      <c r="B456" s="92">
        <v>44608</v>
      </c>
      <c r="C456" s="72" t="s">
        <v>4572</v>
      </c>
      <c r="D456" s="33" t="s">
        <v>4573</v>
      </c>
      <c r="E456" s="69" t="str">
        <f>RIGHT(บันทึกนำเข้าDrawing[[#This Row],[Drawing No]],1)</f>
        <v>0</v>
      </c>
      <c r="F456" s="22" t="s">
        <v>4574</v>
      </c>
      <c r="G456" s="118" t="s">
        <v>4027</v>
      </c>
      <c r="H456" s="80"/>
      <c r="I456" s="29" t="str">
        <f>CONCATENATE(บันทึกนำเข้าDrawing[[#This Row],[Part No]],"+",บันทึกนำเข้าDrawing[[#This Row],[Drawing No]])</f>
        <v>2B69M199-00+DR-TW-2B69M199-00-00</v>
      </c>
    </row>
    <row r="457" spans="1:9">
      <c r="A457" s="33">
        <v>458</v>
      </c>
      <c r="B457" s="85">
        <v>44615</v>
      </c>
      <c r="C457" s="75" t="s">
        <v>4575</v>
      </c>
      <c r="D457" s="33" t="s">
        <v>4576</v>
      </c>
      <c r="E457" s="69" t="str">
        <f>RIGHT(บันทึกนำเข้าDrawing[[#This Row],[Drawing No]],1)</f>
        <v>0</v>
      </c>
      <c r="F457" s="68" t="s">
        <v>3986</v>
      </c>
      <c r="G457" s="118" t="s">
        <v>4029</v>
      </c>
      <c r="H457" s="80"/>
      <c r="I457" s="29" t="str">
        <f>CONCATENATE(บันทึกนำเข้าDrawing[[#This Row],[Part No]],"+",บันทึกนำเข้าDrawing[[#This Row],[Drawing No]])</f>
        <v>2B29-421-01+DR-TW-2B29-421-01-00</v>
      </c>
    </row>
    <row r="458" spans="1:9">
      <c r="A458" s="33">
        <v>459</v>
      </c>
      <c r="B458" s="85">
        <v>44618</v>
      </c>
      <c r="C458" s="72" t="s">
        <v>4577</v>
      </c>
      <c r="D458" s="33" t="s">
        <v>4578</v>
      </c>
      <c r="E458" s="69" t="str">
        <f>RIGHT(บันทึกนำเข้าDrawing[[#This Row],[Drawing No]],1)</f>
        <v>0</v>
      </c>
      <c r="F458" s="68" t="s">
        <v>4590</v>
      </c>
      <c r="G458" s="118" t="s">
        <v>4029</v>
      </c>
      <c r="H458" s="80"/>
      <c r="I458" s="29" t="str">
        <f>CONCATENATE(บันทึกนำเข้าDrawing[[#This Row],[Part No]],"+",บันทึกนำเข้าDrawing[[#This Row],[Drawing No]])</f>
        <v>2B26-125-00+DR-TW-2B26-125-00-00</v>
      </c>
    </row>
    <row r="459" spans="1:9">
      <c r="A459" s="33">
        <v>460</v>
      </c>
      <c r="B459" s="85">
        <v>44621</v>
      </c>
      <c r="C459" s="72" t="s">
        <v>4579</v>
      </c>
      <c r="D459" s="33" t="s">
        <v>4436</v>
      </c>
      <c r="E459" s="69" t="str">
        <f>RIGHT(บันทึกนำเข้าDrawing[[#This Row],[Drawing No]],1)</f>
        <v>3</v>
      </c>
      <c r="F459" s="68" t="s">
        <v>4435</v>
      </c>
      <c r="G459" s="118" t="s">
        <v>3779</v>
      </c>
      <c r="H459" s="80"/>
      <c r="I459" s="29" t="str">
        <f>CONCATENATE(บันทึกนำเข้าDrawing[[#This Row],[Part No]],"+",บันทึกนำเข้าDrawing[[#This Row],[Drawing No]])</f>
        <v>2B19B115-00+DR-TW-2B19B115-00-03</v>
      </c>
    </row>
    <row r="460" spans="1:9">
      <c r="A460" s="33">
        <v>461</v>
      </c>
      <c r="B460" s="85">
        <v>44621</v>
      </c>
      <c r="C460" s="72" t="s">
        <v>4581</v>
      </c>
      <c r="D460" s="33" t="s">
        <v>4582</v>
      </c>
      <c r="E460" s="69" t="str">
        <f>RIGHT(บันทึกนำเข้าDrawing[[#This Row],[Drawing No]],1)</f>
        <v>2</v>
      </c>
      <c r="F460" s="68" t="s">
        <v>4585</v>
      </c>
      <c r="G460" s="118" t="s">
        <v>4029</v>
      </c>
      <c r="H460" s="80">
        <v>44622</v>
      </c>
      <c r="I460" s="29" t="str">
        <f>CONCATENATE(บันทึกนำเข้าDrawing[[#This Row],[Part No]],"+",บันทึกนำเข้าDrawing[[#This Row],[Drawing No]])</f>
        <v>2B19E100-00+DR-TW-2B19E100-00-02</v>
      </c>
    </row>
    <row r="461" spans="1:9">
      <c r="A461" s="33">
        <v>462</v>
      </c>
      <c r="B461" s="85">
        <v>44621</v>
      </c>
      <c r="C461" s="72" t="s">
        <v>4591</v>
      </c>
      <c r="D461" s="33" t="s">
        <v>4578</v>
      </c>
      <c r="E461" s="69" t="str">
        <f>RIGHT(บันทึกนำเข้าDrawing[[#This Row],[Drawing No]],1)</f>
        <v>1</v>
      </c>
      <c r="F461" s="68" t="s">
        <v>4590</v>
      </c>
      <c r="G461" s="118" t="s">
        <v>4027</v>
      </c>
      <c r="H461" s="80">
        <v>44620</v>
      </c>
      <c r="I461" s="29" t="str">
        <f>CONCATENATE(บันทึกนำเข้าDrawing[[#This Row],[Part No]],"+",บันทึกนำเข้าDrawing[[#This Row],[Drawing No]])</f>
        <v>2B26-125-00+DR-TW-2B26-125-00-01</v>
      </c>
    </row>
    <row r="462" spans="1:9">
      <c r="A462" s="33">
        <v>463</v>
      </c>
      <c r="B462" s="81">
        <v>44621</v>
      </c>
      <c r="C462" s="82" t="s">
        <v>4581</v>
      </c>
      <c r="D462" s="33" t="s">
        <v>4583</v>
      </c>
      <c r="E462" s="69" t="str">
        <f>RIGHT(บันทึกนำเข้าDrawing[[#This Row],[Drawing No]],1)</f>
        <v>2</v>
      </c>
      <c r="F462" s="84" t="s">
        <v>4827</v>
      </c>
      <c r="G462" s="118" t="s">
        <v>4029</v>
      </c>
      <c r="H462" s="80">
        <v>44622</v>
      </c>
      <c r="I462" s="29" t="str">
        <f>CONCATENATE(บันทึกนำเข้าDrawing[[#This Row],[Part No]],"+",บันทึกนำเข้าDrawing[[#This Row],[Drawing No]])</f>
        <v>2B19E085-00+DR-TW-2B19E100-00-02</v>
      </c>
    </row>
    <row r="463" spans="1:9">
      <c r="A463" s="33">
        <v>464</v>
      </c>
      <c r="B463" s="85">
        <v>44621</v>
      </c>
      <c r="C463" s="72" t="s">
        <v>4581</v>
      </c>
      <c r="D463" s="33" t="s">
        <v>4584</v>
      </c>
      <c r="E463" s="69" t="str">
        <f>RIGHT(บันทึกนำเข้าDrawing[[#This Row],[Drawing No]],1)</f>
        <v>2</v>
      </c>
      <c r="F463" s="68" t="s">
        <v>4828</v>
      </c>
      <c r="G463" s="118" t="s">
        <v>4029</v>
      </c>
      <c r="H463" s="80">
        <v>44622</v>
      </c>
      <c r="I463" s="29" t="str">
        <f>CONCATENATE(บันทึกนำเข้าDrawing[[#This Row],[Part No]],"+",บันทึกนำเข้าDrawing[[#This Row],[Drawing No]])</f>
        <v>2B19E090-00+DR-TW-2B19E100-00-02</v>
      </c>
    </row>
    <row r="464" spans="1:9">
      <c r="A464" s="33">
        <v>465</v>
      </c>
      <c r="B464" s="85">
        <v>44621</v>
      </c>
      <c r="C464" s="72" t="s">
        <v>4581</v>
      </c>
      <c r="D464" s="33" t="s">
        <v>4586</v>
      </c>
      <c r="E464" s="69" t="str">
        <f>RIGHT(บันทึกนำเข้าDrawing[[#This Row],[Drawing No]],1)</f>
        <v>2</v>
      </c>
      <c r="F464" s="68" t="s">
        <v>4587</v>
      </c>
      <c r="G464" s="118" t="s">
        <v>4029</v>
      </c>
      <c r="H464" s="80">
        <v>44622</v>
      </c>
      <c r="I464" s="29" t="str">
        <f>CONCATENATE(บันทึกนำเข้าDrawing[[#This Row],[Part No]],"+",บันทึกนำเข้าDrawing[[#This Row],[Drawing No]])</f>
        <v>2B19E110-00+DR-TW-2B19E100-00-02</v>
      </c>
    </row>
    <row r="465" spans="1:9">
      <c r="A465" s="33">
        <v>466</v>
      </c>
      <c r="B465" s="85">
        <v>44621</v>
      </c>
      <c r="C465" s="72" t="s">
        <v>4581</v>
      </c>
      <c r="D465" s="33" t="s">
        <v>4612</v>
      </c>
      <c r="E465" s="69" t="str">
        <f>RIGHT(บันทึกนำเข้าDrawing[[#This Row],[Drawing No]],1)</f>
        <v>2</v>
      </c>
      <c r="F465" s="68" t="s">
        <v>4829</v>
      </c>
      <c r="G465" s="118" t="s">
        <v>4029</v>
      </c>
      <c r="H465" s="80">
        <v>44622</v>
      </c>
      <c r="I465" s="29" t="str">
        <f>CONCATENATE(บันทึกนำเข้าDrawing[[#This Row],[Part No]],"+",บันทึกนำเข้าDrawing[[#This Row],[Drawing No]])</f>
        <v>2B19E115-00+DR-TW-2B19E100-00-02</v>
      </c>
    </row>
    <row r="466" spans="1:9">
      <c r="A466" s="33">
        <v>467</v>
      </c>
      <c r="B466" s="85">
        <v>44621</v>
      </c>
      <c r="C466" s="72" t="s">
        <v>4581</v>
      </c>
      <c r="D466" s="33" t="s">
        <v>4588</v>
      </c>
      <c r="E466" s="69" t="str">
        <f>RIGHT(บันทึกนำเข้าDrawing[[#This Row],[Drawing No]],1)</f>
        <v>2</v>
      </c>
      <c r="F466" s="68" t="s">
        <v>4589</v>
      </c>
      <c r="G466" s="118" t="s">
        <v>4029</v>
      </c>
      <c r="H466" s="80">
        <v>44622</v>
      </c>
      <c r="I466" s="29" t="str">
        <f>CONCATENATE(บันทึกนำเข้าDrawing[[#This Row],[Part No]],"+",บันทึกนำเข้าDrawing[[#This Row],[Drawing No]])</f>
        <v>2B19E120-00+DR-TW-2B19E100-00-02</v>
      </c>
    </row>
    <row r="467" spans="1:9">
      <c r="A467" s="33">
        <v>468</v>
      </c>
      <c r="B467" s="85">
        <v>44625</v>
      </c>
      <c r="C467" s="72" t="s">
        <v>4592</v>
      </c>
      <c r="D467" s="33" t="s">
        <v>4593</v>
      </c>
      <c r="E467" s="69" t="str">
        <f>RIGHT(บันทึกนำเข้าDrawing[[#This Row],[Drawing No]],1)</f>
        <v>0</v>
      </c>
      <c r="F467" s="68" t="s">
        <v>4594</v>
      </c>
      <c r="G467" s="118" t="s">
        <v>3772</v>
      </c>
      <c r="H467" s="80"/>
      <c r="I467" s="29" t="str">
        <f>CONCATENATE(บันทึกนำเข้าDrawing[[#This Row],[Part No]],"+",บันทึกนำเข้าDrawing[[#This Row],[Drawing No]])</f>
        <v>2B04-463-00+DR-TW-2B04-463-00-00</v>
      </c>
    </row>
    <row r="468" spans="1:9">
      <c r="A468" s="33">
        <v>388</v>
      </c>
      <c r="B468" s="85">
        <v>44459</v>
      </c>
      <c r="C468" s="72" t="s">
        <v>4387</v>
      </c>
      <c r="D468" s="33" t="s">
        <v>4388</v>
      </c>
      <c r="E468" s="69" t="str">
        <f>RIGHT(บันทึกนำเข้าDrawing[[#This Row],[Drawing No]],1)</f>
        <v>0</v>
      </c>
      <c r="F468" s="68" t="s">
        <v>4389</v>
      </c>
      <c r="G468" s="118" t="s">
        <v>4029</v>
      </c>
      <c r="H468" s="80"/>
      <c r="I468" s="29" t="str">
        <f>CONCATENATE(บันทึกนำเข้าDrawing[[#This Row],[Part No]],"+",บันทึกนำเข้าDrawing[[#This Row],[Drawing No]])</f>
        <v>2B69M146-01+DR-TW-2B69M146-01-00</v>
      </c>
    </row>
    <row r="469" spans="1:9">
      <c r="A469" s="33">
        <v>470</v>
      </c>
      <c r="B469" s="85">
        <v>44625</v>
      </c>
      <c r="C469" s="72" t="s">
        <v>4598</v>
      </c>
      <c r="D469" s="33" t="s">
        <v>4599</v>
      </c>
      <c r="E469" s="69" t="str">
        <f>RIGHT(บันทึกนำเข้าDrawing[[#This Row],[Drawing No]],1)</f>
        <v>0</v>
      </c>
      <c r="F469" s="68" t="s">
        <v>4600</v>
      </c>
      <c r="G469" s="118" t="s">
        <v>4027</v>
      </c>
      <c r="H469" s="80"/>
      <c r="I469" s="29" t="str">
        <f>CONCATENATE(บันทึกนำเข้าDrawing[[#This Row],[Part No]],"+",บันทึกนำเข้าDrawing[[#This Row],[Drawing No]])</f>
        <v>2B69M205-00+DR-TW-2B69M205-00-00</v>
      </c>
    </row>
    <row r="470" spans="1:9">
      <c r="A470" s="33">
        <v>471</v>
      </c>
      <c r="B470" s="85">
        <v>44625</v>
      </c>
      <c r="C470" s="72" t="s">
        <v>4601</v>
      </c>
      <c r="D470" s="33" t="s">
        <v>4602</v>
      </c>
      <c r="E470" s="69" t="str">
        <f>RIGHT(บันทึกนำเข้าDrawing[[#This Row],[Drawing No]],1)</f>
        <v>0</v>
      </c>
      <c r="F470" s="68" t="s">
        <v>4603</v>
      </c>
      <c r="G470" s="118" t="s">
        <v>4027</v>
      </c>
      <c r="H470" s="83"/>
      <c r="I470" s="29" t="str">
        <f>CONCATENATE(บันทึกนำเข้าDrawing[[#This Row],[Part No]],"+",บันทึกนำเข้าDrawing[[#This Row],[Drawing No]])</f>
        <v>2B69M206-00+DR-TW-2B69M206-00-00</v>
      </c>
    </row>
    <row r="471" spans="1:9">
      <c r="A471" s="33">
        <v>472</v>
      </c>
      <c r="B471" s="85">
        <v>44625</v>
      </c>
      <c r="C471" s="72" t="s">
        <v>4604</v>
      </c>
      <c r="D471" s="33" t="s">
        <v>4605</v>
      </c>
      <c r="E471" s="69" t="str">
        <f>RIGHT(บันทึกนำเข้าDrawing[[#This Row],[Drawing No]],1)</f>
        <v>0</v>
      </c>
      <c r="F471" s="68" t="s">
        <v>4606</v>
      </c>
      <c r="G471" s="118" t="s">
        <v>4027</v>
      </c>
      <c r="H471" s="83"/>
      <c r="I471" s="29" t="str">
        <f>CONCATENATE(บันทึกนำเข้าDrawing[[#This Row],[Part No]],"+",บันทึกนำเข้าDrawing[[#This Row],[Drawing No]])</f>
        <v>2B69M207-00+DR-TW-2B69M207-00-00</v>
      </c>
    </row>
    <row r="472" spans="1:9">
      <c r="A472" s="33">
        <v>473</v>
      </c>
      <c r="B472" s="85">
        <v>44656</v>
      </c>
      <c r="C472" s="72" t="s">
        <v>4616</v>
      </c>
      <c r="D472" s="33" t="s">
        <v>4582</v>
      </c>
      <c r="E472" s="69" t="str">
        <f>RIGHT(บันทึกนำเข้าDrawing[[#This Row],[Drawing No]],1)</f>
        <v>3</v>
      </c>
      <c r="F472" s="68" t="s">
        <v>4585</v>
      </c>
      <c r="G472" s="118" t="s">
        <v>4029</v>
      </c>
      <c r="H472" s="83">
        <v>44656</v>
      </c>
      <c r="I472" s="29" t="str">
        <f>CONCATENATE(บันทึกนำเข้าDrawing[[#This Row],[Part No]],"+",บันทึกนำเข้าDrawing[[#This Row],[Drawing No]])</f>
        <v>2B19E100-00+DR-TW-2B19E100-00-03</v>
      </c>
    </row>
    <row r="473" spans="1:9">
      <c r="A473" s="33">
        <v>474</v>
      </c>
      <c r="B473" s="85">
        <v>44656</v>
      </c>
      <c r="C473" s="72" t="s">
        <v>4616</v>
      </c>
      <c r="D473" s="33" t="s">
        <v>4583</v>
      </c>
      <c r="E473" s="69" t="str">
        <f>RIGHT(บันทึกนำเข้าDrawing[[#This Row],[Drawing No]],1)</f>
        <v>3</v>
      </c>
      <c r="F473" s="68" t="s">
        <v>4827</v>
      </c>
      <c r="G473" s="118" t="s">
        <v>4029</v>
      </c>
      <c r="H473" s="83">
        <v>44656</v>
      </c>
      <c r="I473" s="29" t="str">
        <f>CONCATENATE(บันทึกนำเข้าDrawing[[#This Row],[Part No]],"+",บันทึกนำเข้าDrawing[[#This Row],[Drawing No]])</f>
        <v>2B19E085-00+DR-TW-2B19E100-00-03</v>
      </c>
    </row>
    <row r="474" spans="1:9">
      <c r="A474" s="33">
        <v>475</v>
      </c>
      <c r="B474" s="85">
        <v>44656</v>
      </c>
      <c r="C474" s="72" t="s">
        <v>4616</v>
      </c>
      <c r="D474" s="33" t="s">
        <v>4584</v>
      </c>
      <c r="E474" s="69" t="str">
        <f>RIGHT(บันทึกนำเข้าDrawing[[#This Row],[Drawing No]],1)</f>
        <v>3</v>
      </c>
      <c r="F474" s="68" t="s">
        <v>4828</v>
      </c>
      <c r="G474" s="118" t="s">
        <v>4029</v>
      </c>
      <c r="H474" s="83">
        <v>44656</v>
      </c>
      <c r="I474" s="29" t="str">
        <f>CONCATENATE(บันทึกนำเข้าDrawing[[#This Row],[Part No]],"+",บันทึกนำเข้าDrawing[[#This Row],[Drawing No]])</f>
        <v>2B19E090-00+DR-TW-2B19E100-00-03</v>
      </c>
    </row>
    <row r="475" spans="1:9">
      <c r="A475" s="33">
        <v>476</v>
      </c>
      <c r="B475" s="85">
        <v>44656</v>
      </c>
      <c r="C475" s="72" t="s">
        <v>4616</v>
      </c>
      <c r="D475" s="33" t="s">
        <v>4586</v>
      </c>
      <c r="E475" s="69" t="str">
        <f>RIGHT(บันทึกนำเข้าDrawing[[#This Row],[Drawing No]],1)</f>
        <v>3</v>
      </c>
      <c r="F475" s="68" t="s">
        <v>4587</v>
      </c>
      <c r="G475" s="118" t="s">
        <v>4029</v>
      </c>
      <c r="H475" s="83">
        <v>44656</v>
      </c>
      <c r="I475" s="29" t="str">
        <f>CONCATENATE(บันทึกนำเข้าDrawing[[#This Row],[Part No]],"+",บันทึกนำเข้าDrawing[[#This Row],[Drawing No]])</f>
        <v>2B19E110-00+DR-TW-2B19E100-00-03</v>
      </c>
    </row>
    <row r="476" spans="1:9">
      <c r="A476" s="33">
        <v>477</v>
      </c>
      <c r="B476" s="81">
        <v>44656</v>
      </c>
      <c r="C476" s="82" t="s">
        <v>4616</v>
      </c>
      <c r="D476" s="33" t="s">
        <v>4612</v>
      </c>
      <c r="E476" s="69" t="str">
        <f>RIGHT(บันทึกนำเข้าDrawing[[#This Row],[Drawing No]],1)</f>
        <v>3</v>
      </c>
      <c r="F476" s="84" t="s">
        <v>4829</v>
      </c>
      <c r="G476" s="118" t="s">
        <v>4029</v>
      </c>
      <c r="H476" s="83">
        <v>44656</v>
      </c>
      <c r="I476" s="29" t="str">
        <f>CONCATENATE(บันทึกนำเข้าDrawing[[#This Row],[Part No]],"+",บันทึกนำเข้าDrawing[[#This Row],[Drawing No]])</f>
        <v>2B19E115-00+DR-TW-2B19E100-00-03</v>
      </c>
    </row>
    <row r="477" spans="1:9">
      <c r="A477" s="33">
        <v>478</v>
      </c>
      <c r="B477" s="81">
        <v>44656</v>
      </c>
      <c r="C477" s="82" t="s">
        <v>4616</v>
      </c>
      <c r="D477" s="33" t="s">
        <v>4588</v>
      </c>
      <c r="E477" s="69" t="str">
        <f>RIGHT(บันทึกนำเข้าDrawing[[#This Row],[Drawing No]],1)</f>
        <v>3</v>
      </c>
      <c r="F477" s="84" t="s">
        <v>4589</v>
      </c>
      <c r="G477" s="118" t="s">
        <v>4029</v>
      </c>
      <c r="H477" s="83">
        <v>44656</v>
      </c>
      <c r="I477" s="29" t="str">
        <f>CONCATENATE(บันทึกนำเข้าDrawing[[#This Row],[Part No]],"+",บันทึกนำเข้าDrawing[[#This Row],[Drawing No]])</f>
        <v>2B19E120-00+DR-TW-2B19E100-00-03</v>
      </c>
    </row>
    <row r="478" spans="1:9">
      <c r="A478" s="33">
        <v>479</v>
      </c>
      <c r="B478" s="81">
        <v>44656</v>
      </c>
      <c r="C478" s="82" t="s">
        <v>4616</v>
      </c>
      <c r="D478" s="33" t="s">
        <v>4615</v>
      </c>
      <c r="E478" s="69" t="str">
        <f>RIGHT(บันทึกนำเข้าDrawing[[#This Row],[Drawing No]],1)</f>
        <v>3</v>
      </c>
      <c r="F478" s="84" t="s">
        <v>4830</v>
      </c>
      <c r="G478" s="118" t="s">
        <v>4029</v>
      </c>
      <c r="H478" s="83">
        <v>44656</v>
      </c>
      <c r="I478" s="29" t="str">
        <f>CONCATENATE(บันทึกนำเข้าDrawing[[#This Row],[Part No]],"+",บันทึกนำเข้าDrawing[[#This Row],[Drawing No]])</f>
        <v>2B19E105-00+DR-TW-2B19E100-00-03</v>
      </c>
    </row>
    <row r="479" spans="1:9">
      <c r="A479" s="33">
        <v>480</v>
      </c>
      <c r="B479" s="81">
        <v>44660</v>
      </c>
      <c r="C479" s="82" t="s">
        <v>4618</v>
      </c>
      <c r="D479" s="33" t="s">
        <v>4619</v>
      </c>
      <c r="E479" s="69" t="str">
        <f>RIGHT(บันทึกนำเข้าDrawing[[#This Row],[Drawing No]],1)</f>
        <v>0</v>
      </c>
      <c r="F479" s="84" t="s">
        <v>4617</v>
      </c>
      <c r="G479" s="118" t="s">
        <v>4029</v>
      </c>
      <c r="H479" s="83"/>
      <c r="I479" s="29" t="str">
        <f>CONCATENATE(บันทึกนำเข้าDrawing[[#This Row],[Part No]],"+",บันทึกนำเข้าDrawing[[#This Row],[Drawing No]])</f>
        <v>2B69M225-00+DR-TW-2B69M225-00-00</v>
      </c>
    </row>
    <row r="480" spans="1:9">
      <c r="A480" s="33">
        <v>481</v>
      </c>
      <c r="B480" s="81">
        <v>44660</v>
      </c>
      <c r="C480" s="82" t="s">
        <v>4621</v>
      </c>
      <c r="D480" s="33" t="s">
        <v>4620</v>
      </c>
      <c r="E480" s="69" t="str">
        <f>RIGHT(บันทึกนำเข้าDrawing[[#This Row],[Drawing No]],1)</f>
        <v>0</v>
      </c>
      <c r="F480" s="84" t="s">
        <v>4622</v>
      </c>
      <c r="G480" s="118" t="s">
        <v>4029</v>
      </c>
      <c r="H480" s="83"/>
      <c r="I480" s="29" t="str">
        <f>CONCATENATE(บันทึกนำเข้าDrawing[[#This Row],[Part No]],"+",บันทึกนำเข้าDrawing[[#This Row],[Drawing No]])</f>
        <v>2B69M226-00+DR-TW-2B69M226-00-00</v>
      </c>
    </row>
    <row r="481" spans="1:9">
      <c r="A481" s="33">
        <v>456</v>
      </c>
      <c r="B481" s="81">
        <v>44608</v>
      </c>
      <c r="C481" s="82" t="s">
        <v>4570</v>
      </c>
      <c r="D481" s="33" t="s">
        <v>4569</v>
      </c>
      <c r="E481" s="69" t="str">
        <f>RIGHT(บันทึกนำเข้าDrawing[[#This Row],[Drawing No]],1)</f>
        <v>0</v>
      </c>
      <c r="F481" s="84" t="s">
        <v>4571</v>
      </c>
      <c r="G481" s="120" t="s">
        <v>4027</v>
      </c>
      <c r="H481" s="83"/>
      <c r="I481" s="29" t="str">
        <f>CONCATENATE(บันทึกนำเข้าDrawing[[#This Row],[Part No]],"+",บันทึกนำเข้าDrawing[[#This Row],[Drawing No]])</f>
        <v>2B69M200-00+DR-TW-2B69M200-00-00</v>
      </c>
    </row>
    <row r="482" spans="1:9">
      <c r="A482" s="33">
        <v>483</v>
      </c>
      <c r="B482" s="81">
        <v>44671</v>
      </c>
      <c r="C482" s="82" t="s">
        <v>4626</v>
      </c>
      <c r="D482" s="33" t="s">
        <v>4627</v>
      </c>
      <c r="E482" s="69" t="str">
        <f>RIGHT(บันทึกนำเข้าDrawing[[#This Row],[Drawing No]],1)</f>
        <v>0</v>
      </c>
      <c r="F482" s="84" t="s">
        <v>4628</v>
      </c>
      <c r="G482" s="118" t="s">
        <v>4029</v>
      </c>
      <c r="H482" s="83"/>
      <c r="I482" s="29" t="str">
        <f>CONCATENATE(บันทึกนำเข้าDrawing[[#This Row],[Part No]],"+",บันทึกนำเข้าDrawing[[#This Row],[Drawing No]])</f>
        <v>2B69M219-00+DR-TW-2B69M219-00-00</v>
      </c>
    </row>
    <row r="483" spans="1:9">
      <c r="A483" s="33">
        <v>484</v>
      </c>
      <c r="B483" s="81">
        <v>44671</v>
      </c>
      <c r="C483" s="82" t="s">
        <v>4629</v>
      </c>
      <c r="D483" s="33" t="s">
        <v>4630</v>
      </c>
      <c r="E483" s="69" t="str">
        <f>RIGHT(บันทึกนำเข้าDrawing[[#This Row],[Drawing No]],1)</f>
        <v>0</v>
      </c>
      <c r="F483" s="84" t="s">
        <v>4631</v>
      </c>
      <c r="G483" s="118" t="s">
        <v>4027</v>
      </c>
      <c r="H483" s="83"/>
      <c r="I483" s="29" t="str">
        <f>CONCATENATE(บันทึกนำเข้าDrawing[[#This Row],[Part No]],"+",บันทึกนำเข้าDrawing[[#This Row],[Drawing No]])</f>
        <v>2B69M220-00+DR-TW-2B69M220-00-00</v>
      </c>
    </row>
    <row r="484" spans="1:9">
      <c r="A484" s="33">
        <v>485</v>
      </c>
      <c r="B484" s="81">
        <v>44671</v>
      </c>
      <c r="C484" s="82" t="s">
        <v>4632</v>
      </c>
      <c r="D484" s="33" t="s">
        <v>4633</v>
      </c>
      <c r="E484" s="69" t="str">
        <f>RIGHT(บันทึกนำเข้าDrawing[[#This Row],[Drawing No]],1)</f>
        <v>0</v>
      </c>
      <c r="F484" s="84" t="s">
        <v>4634</v>
      </c>
      <c r="G484" s="118" t="s">
        <v>4029</v>
      </c>
      <c r="H484" s="83"/>
      <c r="I484" s="29" t="str">
        <f>CONCATENATE(บันทึกนำเข้าDrawing[[#This Row],[Part No]],"+",บันทึกนำเข้าDrawing[[#This Row],[Drawing No]])</f>
        <v>2B69M221-00+DR-TW-2B69M221-00-00</v>
      </c>
    </row>
    <row r="485" spans="1:9">
      <c r="A485" s="33">
        <v>486</v>
      </c>
      <c r="B485" s="81">
        <v>44671</v>
      </c>
      <c r="C485" s="82" t="s">
        <v>4636</v>
      </c>
      <c r="D485" s="33" t="s">
        <v>4635</v>
      </c>
      <c r="E485" s="69" t="str">
        <f>RIGHT(บันทึกนำเข้าDrawing[[#This Row],[Drawing No]],1)</f>
        <v>0</v>
      </c>
      <c r="F485" s="84" t="s">
        <v>4637</v>
      </c>
      <c r="G485" s="118" t="s">
        <v>4027</v>
      </c>
      <c r="H485" s="83"/>
      <c r="I485" s="29" t="str">
        <f>CONCATENATE(บันทึกนำเข้าDrawing[[#This Row],[Part No]],"+",บันทึกนำเข้าDrawing[[#This Row],[Drawing No]])</f>
        <v>2B69M222-00+DR-TW-2B69M222-00-00</v>
      </c>
    </row>
    <row r="486" spans="1:9">
      <c r="A486" s="33">
        <v>487</v>
      </c>
      <c r="B486" s="81">
        <v>44699</v>
      </c>
      <c r="C486" s="82" t="s">
        <v>4662</v>
      </c>
      <c r="D486" s="33" t="s">
        <v>4663</v>
      </c>
      <c r="E486" s="69" t="str">
        <f>RIGHT(บันทึกนำเข้าDrawing[[#This Row],[Drawing No]],1)</f>
        <v>0</v>
      </c>
      <c r="F486" s="84" t="s">
        <v>4664</v>
      </c>
      <c r="G486" s="118" t="s">
        <v>4027</v>
      </c>
      <c r="H486" s="83">
        <v>45335</v>
      </c>
      <c r="I486" s="29" t="str">
        <f>CONCATENATE(บันทึกนำเข้าDrawing[[#This Row],[Part No]],"+",บันทึกนำเข้าDrawing[[#This Row],[Drawing No]])</f>
        <v>2B24-260-00+DR-TW-2B24-260-00-00</v>
      </c>
    </row>
    <row r="487" spans="1:9">
      <c r="A487" s="33">
        <v>488</v>
      </c>
      <c r="B487" s="81">
        <v>44699</v>
      </c>
      <c r="C487" s="82" t="s">
        <v>5877</v>
      </c>
      <c r="D487" s="33" t="s">
        <v>4665</v>
      </c>
      <c r="E487" s="69" t="str">
        <f>RIGHT(บันทึกนำเข้าDrawing[[#This Row],[Drawing No]],1)</f>
        <v>1</v>
      </c>
      <c r="F487" s="84" t="s">
        <v>4928</v>
      </c>
      <c r="G487" s="118" t="s">
        <v>4027</v>
      </c>
      <c r="H487" s="83">
        <v>44723</v>
      </c>
      <c r="I487" s="29" t="str">
        <f>CONCATENATE(บันทึกนำเข้าDrawing[[#This Row],[Part No]],"+",บันทึกนำเข้าDrawing[[#This Row],[Drawing No]])</f>
        <v>2B25-120-02+DR-TW-2B25-120-02-01</v>
      </c>
    </row>
    <row r="488" spans="1:9">
      <c r="A488" s="33">
        <v>489</v>
      </c>
      <c r="B488" s="85">
        <v>44699</v>
      </c>
      <c r="C488" s="72" t="s">
        <v>5877</v>
      </c>
      <c r="D488" s="33" t="s">
        <v>4666</v>
      </c>
      <c r="E488" s="69" t="str">
        <f>RIGHT(บันทึกนำเข้าDrawing[[#This Row],[Drawing No]],1)</f>
        <v>1</v>
      </c>
      <c r="F488" s="68" t="s">
        <v>4929</v>
      </c>
      <c r="G488" s="118" t="s">
        <v>4027</v>
      </c>
      <c r="H488" s="80">
        <v>44723</v>
      </c>
      <c r="I488" s="29" t="str">
        <f>CONCATENATE(บันทึกนำเข้าDrawing[[#This Row],[Part No]],"+",บันทึกนำเข้าDrawing[[#This Row],[Drawing No]])</f>
        <v>2B25-121-02+DR-TW-2B25-120-02-01</v>
      </c>
    </row>
    <row r="489" spans="1:9">
      <c r="A489" s="33">
        <v>490</v>
      </c>
      <c r="B489" s="85">
        <v>44700</v>
      </c>
      <c r="C489" s="72" t="s">
        <v>4668</v>
      </c>
      <c r="D489" s="33" t="s">
        <v>4669</v>
      </c>
      <c r="E489" s="69" t="str">
        <f>RIGHT(บันทึกนำเข้าDrawing[[#This Row],[Drawing No]],1)</f>
        <v>0</v>
      </c>
      <c r="F489" s="68" t="s">
        <v>4670</v>
      </c>
      <c r="G489" s="118" t="s">
        <v>4027</v>
      </c>
      <c r="H489" s="80">
        <v>44702</v>
      </c>
      <c r="I489" s="29" t="str">
        <f>CONCATENATE(บันทึกนำเข้าDrawing[[#This Row],[Part No]],"+",บันทึกนำเข้าDrawing[[#This Row],[Drawing No]])</f>
        <v>2B30-070-00+DR-TW-2B30-070-00-00</v>
      </c>
    </row>
    <row r="490" spans="1:9">
      <c r="A490" s="33">
        <v>491</v>
      </c>
      <c r="B490" s="71">
        <v>44700</v>
      </c>
      <c r="C490" s="72" t="s">
        <v>4671</v>
      </c>
      <c r="D490" s="33" t="s">
        <v>4672</v>
      </c>
      <c r="E490" s="69" t="str">
        <f>RIGHT(บันทึกนำเข้าDrawing[[#This Row],[Drawing No]],1)</f>
        <v>0</v>
      </c>
      <c r="F490" s="68" t="s">
        <v>4673</v>
      </c>
      <c r="G490" s="118" t="s">
        <v>4027</v>
      </c>
      <c r="H490" s="80">
        <v>44776</v>
      </c>
      <c r="I490" s="29" t="str">
        <f>CONCATENATE(บันทึกนำเข้าDrawing[[#This Row],[Part No]],"+",บันทึกนำเข้าDrawing[[#This Row],[Drawing No]])</f>
        <v>2B25-247-02+DR-TW-2B25-247-02-00</v>
      </c>
    </row>
    <row r="491" spans="1:9">
      <c r="A491" s="33">
        <v>492</v>
      </c>
      <c r="B491" s="85">
        <v>44700</v>
      </c>
      <c r="C491" s="72" t="s">
        <v>4674</v>
      </c>
      <c r="D491" s="33" t="s">
        <v>4675</v>
      </c>
      <c r="E491" s="69" t="str">
        <f>RIGHT(บันทึกนำเข้าDrawing[[#This Row],[Drawing No]],1)</f>
        <v>0</v>
      </c>
      <c r="F491" s="68" t="s">
        <v>4676</v>
      </c>
      <c r="G491" s="118" t="s">
        <v>4029</v>
      </c>
      <c r="H491" s="80"/>
      <c r="I491" s="29" t="str">
        <f>CONCATENATE(บันทึกนำเข้าDrawing[[#This Row],[Part No]],"+",บันทึกนำเข้าDrawing[[#This Row],[Drawing No]])</f>
        <v>2B26-116-06+DR-TW-2B26-116-06-00</v>
      </c>
    </row>
    <row r="492" spans="1:9">
      <c r="A492" s="33">
        <v>493</v>
      </c>
      <c r="B492" s="85">
        <v>44700</v>
      </c>
      <c r="C492" s="72" t="s">
        <v>3872</v>
      </c>
      <c r="D492" s="33" t="s">
        <v>1128</v>
      </c>
      <c r="E492" s="69" t="str">
        <f>RIGHT(บันทึกนำเข้าDrawing[[#This Row],[Drawing No]],1)</f>
        <v>0</v>
      </c>
      <c r="F492" s="68" t="s">
        <v>3841</v>
      </c>
      <c r="G492" s="118" t="s">
        <v>4029</v>
      </c>
      <c r="H492" s="80"/>
      <c r="I492" s="29" t="str">
        <f>CONCATENATE(บันทึกนำเข้าDrawing[[#This Row],[Part No]],"+",บันทึกนำเข้าDrawing[[#This Row],[Drawing No]])</f>
        <v>2B26-123-07+DR-TW-2B26-123-07-00</v>
      </c>
    </row>
    <row r="493" spans="1:9">
      <c r="A493" s="33">
        <v>469</v>
      </c>
      <c r="B493" s="85">
        <v>44625</v>
      </c>
      <c r="C493" s="72" t="s">
        <v>4595</v>
      </c>
      <c r="D493" s="33" t="s">
        <v>4596</v>
      </c>
      <c r="E493" s="69" t="str">
        <f>RIGHT(บันทึกนำเข้าDrawing[[#This Row],[Drawing No]],1)</f>
        <v>0</v>
      </c>
      <c r="F493" s="68" t="s">
        <v>4597</v>
      </c>
      <c r="G493" s="118" t="s">
        <v>4027</v>
      </c>
      <c r="H493" s="80"/>
      <c r="I493" s="29" t="str">
        <f>CONCATENATE(บันทึกนำเข้าDrawing[[#This Row],[Part No]],"+",บันทึกนำเข้าDrawing[[#This Row],[Drawing No]])</f>
        <v>2B69M204-00+DR-TW-2B69M204-00-00</v>
      </c>
    </row>
    <row r="494" spans="1:9">
      <c r="A494" s="33">
        <v>482</v>
      </c>
      <c r="B494" s="71">
        <v>44660</v>
      </c>
      <c r="C494" s="72" t="s">
        <v>4623</v>
      </c>
      <c r="D494" s="33" t="s">
        <v>4624</v>
      </c>
      <c r="E494" s="69" t="str">
        <f>RIGHT(บันทึกนำเข้าDrawing[[#This Row],[Drawing No]],1)</f>
        <v>0</v>
      </c>
      <c r="F494" s="68" t="s">
        <v>4625</v>
      </c>
      <c r="G494" s="118" t="s">
        <v>4029</v>
      </c>
      <c r="H494" s="80"/>
      <c r="I494" s="29" t="str">
        <f>CONCATENATE(บันทึกนำเข้าDrawing[[#This Row],[Part No]],"+",บันทึกนำเข้าDrawing[[#This Row],[Drawing No]])</f>
        <v>2B69M228-00+DR-TW-2B69M228-00-00</v>
      </c>
    </row>
    <row r="495" spans="1:9">
      <c r="A495" s="33">
        <v>496</v>
      </c>
      <c r="B495" s="85">
        <v>44713</v>
      </c>
      <c r="C495" s="72" t="s">
        <v>4687</v>
      </c>
      <c r="D495" s="33" t="s">
        <v>4688</v>
      </c>
      <c r="E495" s="69" t="str">
        <f>RIGHT(บันทึกนำเข้าDrawing[[#This Row],[Drawing No]],1)</f>
        <v>0</v>
      </c>
      <c r="F495" s="105" t="s">
        <v>4686</v>
      </c>
      <c r="G495" s="118" t="s">
        <v>4029</v>
      </c>
      <c r="H495" s="80"/>
      <c r="I495" s="29" t="str">
        <f>CONCATENATE(บันทึกนำเข้าDrawing[[#This Row],[Part No]],"+",บันทึกนำเข้าDrawing[[#This Row],[Drawing No]])</f>
        <v>2B69M236-00+DR-TW-2B69N236-00-00</v>
      </c>
    </row>
    <row r="496" spans="1:9">
      <c r="A496" s="33">
        <v>497</v>
      </c>
      <c r="B496" s="85">
        <v>44714</v>
      </c>
      <c r="C496" s="72" t="s">
        <v>4691</v>
      </c>
      <c r="D496" s="33" t="s">
        <v>4690</v>
      </c>
      <c r="E496" s="69" t="str">
        <f>RIGHT(บันทึกนำเข้าDrawing[[#This Row],[Drawing No]],1)</f>
        <v>0</v>
      </c>
      <c r="F496" s="68" t="s">
        <v>4686</v>
      </c>
      <c r="G496" s="118" t="s">
        <v>4029</v>
      </c>
      <c r="H496" s="80"/>
      <c r="I496" s="29" t="str">
        <f>CONCATENATE(บันทึกนำเข้าDrawing[[#This Row],[Part No]],"+",บันทึกนำเข้าDrawing[[#This Row],[Drawing No]])</f>
        <v>2B26-500-00+DR-TW-2B26-500-00-00</v>
      </c>
    </row>
    <row r="497" spans="1:9">
      <c r="A497" s="33">
        <v>498</v>
      </c>
      <c r="B497" s="85">
        <v>44714</v>
      </c>
      <c r="C497" s="72" t="s">
        <v>4692</v>
      </c>
      <c r="D497" s="33" t="s">
        <v>4693</v>
      </c>
      <c r="E497" s="69" t="str">
        <f>RIGHT(บันทึกนำเข้าDrawing[[#This Row],[Drawing No]],1)</f>
        <v>0</v>
      </c>
      <c r="F497" s="68" t="s">
        <v>4694</v>
      </c>
      <c r="G497" s="118" t="s">
        <v>4027</v>
      </c>
      <c r="H497" s="80">
        <v>44718</v>
      </c>
      <c r="I497" s="29" t="str">
        <f>CONCATENATE(บันทึกนำเข้าDrawing[[#This Row],[Part No]],"+",บันทึกนำเข้าDrawing[[#This Row],[Drawing No]])</f>
        <v>2B25-502-00+DR-TW-2B25-502-00-00</v>
      </c>
    </row>
    <row r="498" spans="1:9">
      <c r="A498" s="33">
        <v>499</v>
      </c>
      <c r="B498" s="85">
        <v>44718</v>
      </c>
      <c r="C498" s="72" t="s">
        <v>4697</v>
      </c>
      <c r="D498" s="33" t="s">
        <v>4698</v>
      </c>
      <c r="E498" s="69" t="str">
        <f>RIGHT(บันทึกนำเข้าDrawing[[#This Row],[Drawing No]],1)</f>
        <v>0</v>
      </c>
      <c r="F498" s="68" t="s">
        <v>4699</v>
      </c>
      <c r="G498" s="118" t="s">
        <v>4029</v>
      </c>
      <c r="H498" s="80"/>
      <c r="I498" s="29" t="str">
        <f>CONCATENATE(บันทึกนำเข้าDrawing[[#This Row],[Part No]],"+",บันทึกนำเข้าDrawing[[#This Row],[Drawing No]])</f>
        <v>2B69M238-00+DR-TW-2B69M238-00-00</v>
      </c>
    </row>
    <row r="499" spans="1:9">
      <c r="A499" s="33">
        <v>500</v>
      </c>
      <c r="B499" s="85">
        <v>44718</v>
      </c>
      <c r="C499" s="72" t="s">
        <v>4700</v>
      </c>
      <c r="D499" s="33" t="s">
        <v>4701</v>
      </c>
      <c r="E499" s="69" t="str">
        <f>RIGHT(บันทึกนำเข้าDrawing[[#This Row],[Drawing No]],1)</f>
        <v>0</v>
      </c>
      <c r="F499" s="68" t="s">
        <v>4702</v>
      </c>
      <c r="G499" s="118" t="s">
        <v>4029</v>
      </c>
      <c r="H499" s="80"/>
      <c r="I499" s="29" t="str">
        <f>CONCATENATE(บันทึกนำเข้าDrawing[[#This Row],[Part No]],"+",บันทึกนำเข้าDrawing[[#This Row],[Drawing No]])</f>
        <v>2B69M240-00+DR-TW-2B69M240-00-00</v>
      </c>
    </row>
    <row r="500" spans="1:9">
      <c r="A500" s="33">
        <v>501</v>
      </c>
      <c r="B500" s="85">
        <v>44718</v>
      </c>
      <c r="C500" s="72" t="s">
        <v>4703</v>
      </c>
      <c r="D500" s="33" t="s">
        <v>4704</v>
      </c>
      <c r="E500" s="69" t="str">
        <f>RIGHT(บันทึกนำเข้าDrawing[[#This Row],[Drawing No]],1)</f>
        <v>0</v>
      </c>
      <c r="F500" s="68" t="s">
        <v>4705</v>
      </c>
      <c r="G500" s="118" t="s">
        <v>4029</v>
      </c>
      <c r="H500" s="80"/>
      <c r="I500" s="29" t="str">
        <f>CONCATENATE(บันทึกนำเข้าDrawing[[#This Row],[Part No]],"+",บันทึกนำเข้าDrawing[[#This Row],[Drawing No]])</f>
        <v>2B69M237-00+DR-TW-2B69M237-00-00</v>
      </c>
    </row>
    <row r="501" spans="1:9">
      <c r="A501" s="33">
        <v>502</v>
      </c>
      <c r="B501" s="85">
        <v>44718</v>
      </c>
      <c r="C501" s="72" t="s">
        <v>4707</v>
      </c>
      <c r="D501" s="33" t="s">
        <v>4706</v>
      </c>
      <c r="E501" s="69" t="str">
        <f>RIGHT(บันทึกนำเข้าDrawing[[#This Row],[Drawing No]],1)</f>
        <v>0</v>
      </c>
      <c r="F501" s="68" t="s">
        <v>4708</v>
      </c>
      <c r="G501" s="118" t="s">
        <v>4029</v>
      </c>
      <c r="H501" s="80"/>
      <c r="I501" s="29" t="str">
        <f>CONCATENATE(บันทึกนำเข้าDrawing[[#This Row],[Part No]],"+",บันทึกนำเข้าDrawing[[#This Row],[Drawing No]])</f>
        <v>2B69M241-00+DR-TW-2B69M241-00-00</v>
      </c>
    </row>
    <row r="502" spans="1:9">
      <c r="A502" s="33">
        <v>503</v>
      </c>
      <c r="B502" s="85">
        <v>44726</v>
      </c>
      <c r="C502" s="72" t="s">
        <v>4710</v>
      </c>
      <c r="D502" s="33" t="s">
        <v>4711</v>
      </c>
      <c r="E502" s="69" t="str">
        <f>RIGHT(บันทึกนำเข้าDrawing[[#This Row],[Drawing No]],1)</f>
        <v>0</v>
      </c>
      <c r="F502" s="68" t="s">
        <v>4712</v>
      </c>
      <c r="G502" s="118" t="s">
        <v>4029</v>
      </c>
      <c r="H502" s="80"/>
      <c r="I502" s="29" t="str">
        <f>CONCATENATE(บันทึกนำเข้าDrawing[[#This Row],[Part No]],"+",บันทึกนำเข้าDrawing[[#This Row],[Drawing No]])</f>
        <v>2B69M242-00+DR-TW-2B69M242-00-00</v>
      </c>
    </row>
    <row r="503" spans="1:9">
      <c r="A503" s="33">
        <v>504</v>
      </c>
      <c r="B503" s="85">
        <v>44727</v>
      </c>
      <c r="C503" s="72" t="s">
        <v>4719</v>
      </c>
      <c r="D503" s="33" t="s">
        <v>4720</v>
      </c>
      <c r="E503" s="69" t="str">
        <f>RIGHT(บันทึกนำเข้าDrawing[[#This Row],[Drawing No]],1)</f>
        <v>0</v>
      </c>
      <c r="F503" s="68" t="s">
        <v>4721</v>
      </c>
      <c r="G503" s="118" t="s">
        <v>4029</v>
      </c>
      <c r="H503" s="80"/>
      <c r="I503" s="29" t="str">
        <f>CONCATENATE(บันทึกนำเข้าDrawing[[#This Row],[Part No]],"+",บันทึกนำเข้าDrawing[[#This Row],[Drawing No]])</f>
        <v>2B69M250-00+DR-TW-2B69M250-00-00</v>
      </c>
    </row>
    <row r="504" spans="1:9">
      <c r="A504" s="33">
        <v>505</v>
      </c>
      <c r="B504" s="71">
        <v>44733</v>
      </c>
      <c r="C504" s="75" t="s">
        <v>4724</v>
      </c>
      <c r="D504" s="33" t="s">
        <v>1087</v>
      </c>
      <c r="E504" s="69" t="str">
        <f>RIGHT(บันทึกนำเข้าDrawing[[#This Row],[Drawing No]],1)</f>
        <v>2</v>
      </c>
      <c r="F504" s="68" t="s">
        <v>4725</v>
      </c>
      <c r="G504" s="118" t="s">
        <v>4029</v>
      </c>
      <c r="H504" s="80">
        <v>44762</v>
      </c>
      <c r="I504" s="29" t="str">
        <f>CONCATENATE(บันทึกนำเข้าDrawing[[#This Row],[Part No]],"+",บันทึกนำเข้าDrawing[[#This Row],[Drawing No]])</f>
        <v>2B26-081-01+DR-TW-2B26-081-01-02</v>
      </c>
    </row>
    <row r="505" spans="1:9">
      <c r="A505" s="33">
        <v>506</v>
      </c>
      <c r="B505" s="85">
        <v>44733</v>
      </c>
      <c r="C505" s="75" t="s">
        <v>4727</v>
      </c>
      <c r="D505" s="33" t="s">
        <v>1089</v>
      </c>
      <c r="E505" s="69" t="str">
        <f>RIGHT(บันทึกนำเข้าDrawing[[#This Row],[Drawing No]],1)</f>
        <v>2</v>
      </c>
      <c r="F505" s="68" t="s">
        <v>4728</v>
      </c>
      <c r="G505" s="118" t="s">
        <v>4029</v>
      </c>
      <c r="H505" s="80"/>
      <c r="I505" s="29" t="str">
        <f>CONCATENATE(บันทึกนำเข้าDrawing[[#This Row],[Part No]],"+",บันทึกนำเข้าDrawing[[#This Row],[Drawing No]])</f>
        <v>2B26-082-01+DR-TW-2B26-082-01-02</v>
      </c>
    </row>
    <row r="506" spans="1:9">
      <c r="A506" s="33">
        <v>507</v>
      </c>
      <c r="B506" s="85">
        <v>44733</v>
      </c>
      <c r="C506" s="72" t="s">
        <v>4729</v>
      </c>
      <c r="D506" s="33" t="s">
        <v>4730</v>
      </c>
      <c r="E506" s="69" t="str">
        <f>RIGHT(บันทึกนำเข้าDrawing[[#This Row],[Drawing No]],1)</f>
        <v>0</v>
      </c>
      <c r="F506" s="68" t="s">
        <v>4705</v>
      </c>
      <c r="G506" s="120" t="s">
        <v>4027</v>
      </c>
      <c r="H506" s="80">
        <v>44748</v>
      </c>
      <c r="I506" s="29" t="str">
        <f>CONCATENATE(บันทึกนำเข้าDrawing[[#This Row],[Part No]],"+",บันทึกนำเข้าDrawing[[#This Row],[Drawing No]])</f>
        <v>2B25-273-00+DR-TW-2B25-273-00-00</v>
      </c>
    </row>
    <row r="507" spans="1:9">
      <c r="A507" s="33">
        <v>508</v>
      </c>
      <c r="B507" s="71">
        <v>44733</v>
      </c>
      <c r="C507" s="72" t="s">
        <v>4731</v>
      </c>
      <c r="D507" s="33" t="s">
        <v>4732</v>
      </c>
      <c r="E507" s="69" t="str">
        <f>RIGHT(บันทึกนำเข้าDrawing[[#This Row],[Drawing No]],1)</f>
        <v>0</v>
      </c>
      <c r="F507" s="68" t="s">
        <v>4634</v>
      </c>
      <c r="G507" s="118" t="s">
        <v>4027</v>
      </c>
      <c r="H507" s="80">
        <v>44784</v>
      </c>
      <c r="I507" s="29" t="str">
        <f>CONCATENATE(บันทึกนำเข้าDrawing[[#This Row],[Part No]],"+",บันทึกนำเข้าDrawing[[#This Row],[Drawing No]])</f>
        <v>2B69M221-01+DR-TW-2B69M221-01-00</v>
      </c>
    </row>
    <row r="508" spans="1:9">
      <c r="A508" s="33">
        <v>509</v>
      </c>
      <c r="B508" s="85">
        <v>44733</v>
      </c>
      <c r="C508" s="72" t="s">
        <v>4734</v>
      </c>
      <c r="D508" s="33" t="s">
        <v>4735</v>
      </c>
      <c r="E508" s="69" t="str">
        <f>RIGHT(บันทึกนำเข้าDrawing[[#This Row],[Drawing No]],1)</f>
        <v>0</v>
      </c>
      <c r="F508" s="84" t="s">
        <v>4736</v>
      </c>
      <c r="G508" s="118" t="s">
        <v>4029</v>
      </c>
      <c r="H508" s="80">
        <v>44736</v>
      </c>
      <c r="I508" s="29" t="str">
        <f>CONCATENATE(บันทึกนำเข้าDrawing[[#This Row],[Part No]],"+",บันทึกนำเข้าDrawing[[#This Row],[Drawing No]])</f>
        <v>2B69A014-00+DR-TW-2B69A014-00-00</v>
      </c>
    </row>
    <row r="509" spans="1:9">
      <c r="A509" s="33">
        <v>510</v>
      </c>
      <c r="B509" s="85">
        <v>44733</v>
      </c>
      <c r="C509" s="72" t="s">
        <v>4738</v>
      </c>
      <c r="D509" s="33" t="s">
        <v>4737</v>
      </c>
      <c r="E509" s="69" t="str">
        <f>RIGHT(บันทึกนำเข้าDrawing[[#This Row],[Drawing No]],1)</f>
        <v>0</v>
      </c>
      <c r="F509" s="68" t="s">
        <v>4739</v>
      </c>
      <c r="G509" s="118" t="s">
        <v>4029</v>
      </c>
      <c r="H509" s="80">
        <v>44740</v>
      </c>
      <c r="I509" s="29" t="str">
        <f>CONCATENATE(บันทึกนำเข้าDrawing[[#This Row],[Part No]],"+",บันทึกนำเข้าDrawing[[#This Row],[Drawing No]])</f>
        <v>2B69A015-00+DR-TW-2B69A015-00-00</v>
      </c>
    </row>
    <row r="510" spans="1:9">
      <c r="A510" s="33">
        <v>511</v>
      </c>
      <c r="B510" s="85">
        <v>44733</v>
      </c>
      <c r="C510" s="72" t="s">
        <v>4741</v>
      </c>
      <c r="D510" s="33" t="s">
        <v>648</v>
      </c>
      <c r="E510" s="69" t="str">
        <f>RIGHT(บันทึกนำเข้าDrawing[[#This Row],[Drawing No]],1)</f>
        <v>3</v>
      </c>
      <c r="F510" s="68" t="s">
        <v>3278</v>
      </c>
      <c r="G510" s="118" t="s">
        <v>4029</v>
      </c>
      <c r="H510" s="80">
        <v>43538</v>
      </c>
      <c r="I510" s="29" t="str">
        <f>CONCATENATE(บันทึกนำเข้าDrawing[[#This Row],[Part No]],"+",บันทึกนำเข้าDrawing[[#This Row],[Drawing No]])</f>
        <v>2B24B075-00+DR-TW-2B24B090-00-03</v>
      </c>
    </row>
    <row r="511" spans="1:9">
      <c r="A511" s="33">
        <v>512</v>
      </c>
      <c r="B511" s="85">
        <v>44733</v>
      </c>
      <c r="C511" s="72" t="s">
        <v>4741</v>
      </c>
      <c r="D511" s="33" t="s">
        <v>650</v>
      </c>
      <c r="E511" s="33" t="str">
        <f>RIGHT(บันทึกนำเข้าDrawing[[#This Row],[Drawing No]],1)</f>
        <v>3</v>
      </c>
      <c r="F511" s="73" t="s">
        <v>4742</v>
      </c>
      <c r="G511" s="118" t="s">
        <v>4029</v>
      </c>
      <c r="H511" s="80">
        <v>43538</v>
      </c>
      <c r="I511" s="29" t="str">
        <f>CONCATENATE(บันทึกนำเข้าDrawing[[#This Row],[Part No]],"+",บันทึกนำเข้าDrawing[[#This Row],[Drawing No]])</f>
        <v>2B24B090-00+DR-TW-2B24B090-00-03</v>
      </c>
    </row>
    <row r="512" spans="1:9">
      <c r="A512" s="33">
        <v>513</v>
      </c>
      <c r="B512" s="85">
        <v>44733</v>
      </c>
      <c r="C512" s="86" t="s">
        <v>3593</v>
      </c>
      <c r="D512" s="33" t="s">
        <v>654</v>
      </c>
      <c r="E512" s="33" t="str">
        <f>RIGHT(บันทึกนำเข้าDrawing[[#This Row],[Drawing No]],1)</f>
        <v>1</v>
      </c>
      <c r="F512" s="10" t="s">
        <v>3163</v>
      </c>
      <c r="G512" s="118" t="s">
        <v>4029</v>
      </c>
      <c r="H512" s="80">
        <v>43404</v>
      </c>
      <c r="I512" s="29" t="str">
        <f>CONCATENATE(บันทึกนำเข้าDrawing[[#This Row],[Part No]],"+",บันทึกนำเข้าDrawing[[#This Row],[Drawing No]])</f>
        <v>2B24C110-00+DR-TW-2B24C110-00-01</v>
      </c>
    </row>
    <row r="513" spans="1:9">
      <c r="A513" s="33">
        <v>60</v>
      </c>
      <c r="B513" s="85">
        <v>43409</v>
      </c>
      <c r="C513" s="72" t="s">
        <v>3308</v>
      </c>
      <c r="D513" s="33" t="s">
        <v>660</v>
      </c>
      <c r="E513" s="33" t="str">
        <f>RIGHT(บันทึกนำเข้าDrawing[[#This Row],[Drawing No]],1)</f>
        <v>0</v>
      </c>
      <c r="F513" s="73" t="s">
        <v>3166</v>
      </c>
      <c r="G513" s="118" t="s">
        <v>4029</v>
      </c>
      <c r="H513" s="80">
        <v>44469</v>
      </c>
      <c r="I513" s="29" t="str">
        <f>CONCATENATE(บันทึกนำเข้าDrawing[[#This Row],[Part No]],"+",บันทึกนำเข้าDrawing[[#This Row],[Drawing No]])</f>
        <v>2B24D120-00+DR-TW-2B24D085-00-00</v>
      </c>
    </row>
    <row r="514" spans="1:9">
      <c r="A514" s="33">
        <v>515</v>
      </c>
      <c r="B514" s="85">
        <v>44733</v>
      </c>
      <c r="C514" s="86" t="s">
        <v>4489</v>
      </c>
      <c r="D514" s="33" t="s">
        <v>1147</v>
      </c>
      <c r="E514" s="33" t="str">
        <f>RIGHT(บันทึกนำเข้าDrawing[[#This Row],[Drawing No]],1)</f>
        <v>1</v>
      </c>
      <c r="F514" s="10" t="s">
        <v>3110</v>
      </c>
      <c r="G514" s="118" t="s">
        <v>4029</v>
      </c>
      <c r="H514" s="80">
        <v>44740</v>
      </c>
      <c r="I514" s="29" t="str">
        <f>CONCATENATE(บันทึกนำเข้าDrawing[[#This Row],[Part No]],"+",บันทึกนำเข้าDrawing[[#This Row],[Drawing No]])</f>
        <v>2B26-132-02+DR-TW-2B26-132-02-01</v>
      </c>
    </row>
    <row r="515" spans="1:9">
      <c r="A515" s="33">
        <v>516</v>
      </c>
      <c r="B515" s="85">
        <v>44733</v>
      </c>
      <c r="C515" s="86" t="s">
        <v>4743</v>
      </c>
      <c r="D515" s="33" t="s">
        <v>1189</v>
      </c>
      <c r="E515" s="33" t="str">
        <f>RIGHT(บันทึกนำเข้าDrawing[[#This Row],[Drawing No]],1)</f>
        <v>1</v>
      </c>
      <c r="F515" s="104" t="s">
        <v>2573</v>
      </c>
      <c r="G515" s="118" t="s">
        <v>4029</v>
      </c>
      <c r="H515" s="80">
        <v>43624</v>
      </c>
      <c r="I515" s="29" t="str">
        <f>CONCATENATE(บันทึกนำเข้าDrawing[[#This Row],[Part No]],"+",บันทึกนำเข้าDrawing[[#This Row],[Drawing No]])</f>
        <v>2B26-207-03+DR-TW-2B26-207-03-01</v>
      </c>
    </row>
    <row r="516" spans="1:9">
      <c r="A516" s="33">
        <v>517</v>
      </c>
      <c r="B516" s="85">
        <v>44733</v>
      </c>
      <c r="C516" s="8" t="s">
        <v>3720</v>
      </c>
      <c r="D516" s="35" t="s">
        <v>1195</v>
      </c>
      <c r="E516" s="69" t="str">
        <f>RIGHT(บันทึกนำเข้าDrawing[[#This Row],[Drawing No]],1)</f>
        <v>2</v>
      </c>
      <c r="F516" s="10" t="s">
        <v>3176</v>
      </c>
      <c r="G516" s="118" t="s">
        <v>4029</v>
      </c>
      <c r="H516" s="80">
        <v>45422</v>
      </c>
      <c r="I516" s="29" t="str">
        <f>CONCATENATE(บันทึกนำเข้าDrawing[[#This Row],[Part No]],"+",บันทึกนำเข้าDrawing[[#This Row],[Drawing No]])</f>
        <v>2B26-211-03+DR-TW-2B26-211-03-02</v>
      </c>
    </row>
    <row r="517" spans="1:9">
      <c r="A517" s="33">
        <v>518</v>
      </c>
      <c r="B517" s="85">
        <v>44733</v>
      </c>
      <c r="C517" s="86" t="s">
        <v>3731</v>
      </c>
      <c r="D517" s="33" t="s">
        <v>1399</v>
      </c>
      <c r="E517" s="69" t="str">
        <f>RIGHT(บันทึกนำเข้าDrawing[[#This Row],[Drawing No]],1)</f>
        <v>0</v>
      </c>
      <c r="F517" s="37" t="s">
        <v>1400</v>
      </c>
      <c r="G517" s="118" t="s">
        <v>4027</v>
      </c>
      <c r="H517" s="80">
        <v>44036</v>
      </c>
      <c r="I517" s="29" t="str">
        <f>CONCATENATE(บันทึกนำเข้าDrawing[[#This Row],[Part No]],"+",บันทึกนำเข้าDrawing[[#This Row],[Drawing No]])</f>
        <v>2B27-128-01+DR-TW-2B27-128-01-00</v>
      </c>
    </row>
    <row r="518" spans="1:9">
      <c r="A518" s="33">
        <v>519</v>
      </c>
      <c r="B518" s="85">
        <v>44733</v>
      </c>
      <c r="C518" s="86" t="s">
        <v>3576</v>
      </c>
      <c r="D518" s="33" t="s">
        <v>1780</v>
      </c>
      <c r="E518" s="69" t="str">
        <f>RIGHT(บันทึกนำเข้าDrawing[[#This Row],[Drawing No]],1)</f>
        <v>0</v>
      </c>
      <c r="F518" s="37" t="s">
        <v>4745</v>
      </c>
      <c r="G518" s="118" t="s">
        <v>4029</v>
      </c>
      <c r="H518" s="80">
        <v>43475</v>
      </c>
      <c r="I518" s="29" t="str">
        <f>CONCATENATE(บันทึกนำเข้าDrawing[[#This Row],[Part No]],"+",บันทึกนำเข้าDrawing[[#This Row],[Drawing No]])</f>
        <v>2B29-431-01+DR-TW-2B29-431-01-00</v>
      </c>
    </row>
    <row r="519" spans="1:9">
      <c r="A519" s="33">
        <v>494</v>
      </c>
      <c r="B519" s="85">
        <v>44700</v>
      </c>
      <c r="C519" s="72" t="s">
        <v>4678</v>
      </c>
      <c r="D519" s="33" t="s">
        <v>4677</v>
      </c>
      <c r="E519" s="69" t="str">
        <f>RIGHT(บันทึกนำเข้าDrawing[[#This Row],[Drawing No]],1)</f>
        <v>0</v>
      </c>
      <c r="F519" s="68" t="s">
        <v>4625</v>
      </c>
      <c r="G519" s="118" t="s">
        <v>4027</v>
      </c>
      <c r="H519" s="80">
        <v>44670</v>
      </c>
      <c r="I519" s="29" t="str">
        <f>CONCATENATE(บันทึกนำเข้าDrawing[[#This Row],[Part No]],"+",บันทึกนำเข้าDrawing[[#This Row],[Drawing No]])</f>
        <v>2B27-414-00+DR-TW-2B27-414-00-00</v>
      </c>
    </row>
    <row r="520" spans="1:9">
      <c r="A520" s="33">
        <v>520</v>
      </c>
      <c r="B520" s="85">
        <v>44733</v>
      </c>
      <c r="C520" s="86" t="s">
        <v>3732</v>
      </c>
      <c r="D520" s="33" t="s">
        <v>2295</v>
      </c>
      <c r="E520" s="69" t="str">
        <f>RIGHT(บันทึกนำเข้าDrawing[[#This Row],[Drawing No]],1)</f>
        <v>0</v>
      </c>
      <c r="F520" s="37" t="s">
        <v>4747</v>
      </c>
      <c r="G520" s="118" t="s">
        <v>4027</v>
      </c>
      <c r="H520" s="80">
        <v>43526</v>
      </c>
      <c r="I520" s="29" t="str">
        <f>CONCATENATE(บันทึกนำเข้าDrawing[[#This Row],[Part No]],"+",บันทึกนำเข้าDrawing[[#This Row],[Drawing No]])</f>
        <v>2B94-030-01+DR-TW-2B94-030-01-00</v>
      </c>
    </row>
    <row r="521" spans="1:9">
      <c r="A521" s="33">
        <v>521</v>
      </c>
      <c r="B521" s="85">
        <v>44733</v>
      </c>
      <c r="C521" s="86" t="s">
        <v>3730</v>
      </c>
      <c r="D521" s="33" t="s">
        <v>2297</v>
      </c>
      <c r="E521" s="69" t="str">
        <f>RIGHT(บันทึกนำเข้าDrawing[[#This Row],[Drawing No]],1)</f>
        <v>0</v>
      </c>
      <c r="F521" s="37" t="s">
        <v>3215</v>
      </c>
      <c r="G521" s="118" t="s">
        <v>4027</v>
      </c>
      <c r="H521" s="80">
        <v>43196</v>
      </c>
      <c r="I521" s="29" t="str">
        <f>CONCATENATE(บันทึกนำเข้าDrawing[[#This Row],[Part No]],"+",บันทึกนำเข้าDrawing[[#This Row],[Drawing No]])</f>
        <v>2B94-055-01+DR-TW-2B94-055-01-00</v>
      </c>
    </row>
    <row r="522" spans="1:9">
      <c r="A522" s="33">
        <v>523</v>
      </c>
      <c r="B522" s="85">
        <v>44733</v>
      </c>
      <c r="C522" s="86" t="s">
        <v>4346</v>
      </c>
      <c r="D522" s="33" t="s">
        <v>4349</v>
      </c>
      <c r="E522" s="69" t="str">
        <f>RIGHT(บันทึกนำเข้าDrawing[[#This Row],[Drawing No]],1)</f>
        <v>0</v>
      </c>
      <c r="F522" s="68" t="s">
        <v>4818</v>
      </c>
      <c r="G522" s="118" t="s">
        <v>4027</v>
      </c>
      <c r="H522" s="80">
        <v>44760</v>
      </c>
      <c r="I522" s="29" t="str">
        <f>CONCATENATE(บันทึกนำเข้าDrawing[[#This Row],[Part No]],"+",บันทึกนำเข้าDrawing[[#This Row],[Drawing No]])</f>
        <v>2B19-120-06+DR-TW-2B19-110-06-00</v>
      </c>
    </row>
    <row r="523" spans="1:9">
      <c r="A523" s="33">
        <v>524</v>
      </c>
      <c r="B523" s="85">
        <v>44733</v>
      </c>
      <c r="C523" s="86" t="s">
        <v>4346</v>
      </c>
      <c r="D523" s="33" t="s">
        <v>4350</v>
      </c>
      <c r="E523" s="69" t="str">
        <f>RIGHT(บันทึกนำเข้าDrawing[[#This Row],[Drawing No]],1)</f>
        <v>0</v>
      </c>
      <c r="F523" s="37" t="s">
        <v>3219</v>
      </c>
      <c r="G523" s="118" t="s">
        <v>4027</v>
      </c>
      <c r="H523" s="80">
        <v>44510</v>
      </c>
      <c r="I523" s="29" t="str">
        <f>CONCATENATE(บันทึกนำเข้าDrawing[[#This Row],[Part No]],"+",บันทึกนำเข้าDrawing[[#This Row],[Drawing No]])</f>
        <v>2B19-125-06+DR-TW-2B19-110-06-00</v>
      </c>
    </row>
    <row r="524" spans="1:9">
      <c r="A524" s="33">
        <v>525</v>
      </c>
      <c r="B524" s="85">
        <v>44733</v>
      </c>
      <c r="C524" s="86" t="s">
        <v>4346</v>
      </c>
      <c r="D524" s="33" t="s">
        <v>4351</v>
      </c>
      <c r="E524" s="69" t="str">
        <f>RIGHT(บันทึกนำเข้าDrawing[[#This Row],[Drawing No]],1)</f>
        <v>0</v>
      </c>
      <c r="F524" s="37" t="s">
        <v>4748</v>
      </c>
      <c r="G524" s="118" t="s">
        <v>4027</v>
      </c>
      <c r="H524" s="80">
        <v>44510</v>
      </c>
      <c r="I524" s="29" t="str">
        <f>CONCATENATE(บันทึกนำเข้าDrawing[[#This Row],[Part No]],"+",บันทึกนำเข้าDrawing[[#This Row],[Drawing No]])</f>
        <v>2B19-130-06+DR-TW-2B19-110-06-00</v>
      </c>
    </row>
    <row r="525" spans="1:9">
      <c r="A525" s="33">
        <v>526</v>
      </c>
      <c r="B525" s="85">
        <v>44733</v>
      </c>
      <c r="C525" s="86" t="s">
        <v>4346</v>
      </c>
      <c r="D525" s="33" t="s">
        <v>4352</v>
      </c>
      <c r="E525" s="69" t="str">
        <f>RIGHT(บันทึกนำเข้าDrawing[[#This Row],[Drawing No]],1)</f>
        <v>0</v>
      </c>
      <c r="F525" s="37" t="s">
        <v>4749</v>
      </c>
      <c r="G525" s="118" t="s">
        <v>4027</v>
      </c>
      <c r="H525" s="80">
        <v>44509</v>
      </c>
      <c r="I525" s="29" t="str">
        <f>CONCATENATE(บันทึกนำเข้าDrawing[[#This Row],[Part No]],"+",บันทึกนำเข้าDrawing[[#This Row],[Drawing No]])</f>
        <v>2B19-135-06+DR-TW-2B19-110-06-00</v>
      </c>
    </row>
    <row r="526" spans="1:9">
      <c r="A526" s="33">
        <v>527</v>
      </c>
      <c r="B526" s="85">
        <v>44733</v>
      </c>
      <c r="C526" s="86" t="s">
        <v>4346</v>
      </c>
      <c r="D526" s="33" t="s">
        <v>4353</v>
      </c>
      <c r="E526" s="69" t="str">
        <f>RIGHT(บันทึกนำเข้าDrawing[[#This Row],[Drawing No]],1)</f>
        <v>0</v>
      </c>
      <c r="F526" s="37" t="s">
        <v>4750</v>
      </c>
      <c r="G526" s="118" t="s">
        <v>4027</v>
      </c>
      <c r="H526" s="80">
        <v>44510</v>
      </c>
      <c r="I526" s="29" t="str">
        <f>CONCATENATE(บันทึกนำเข้าDrawing[[#This Row],[Part No]],"+",บันทึกนำเข้าDrawing[[#This Row],[Drawing No]])</f>
        <v>2B19-140-06+DR-TW-2B19-110-06-00</v>
      </c>
    </row>
    <row r="527" spans="1:9">
      <c r="A527" s="33">
        <v>528</v>
      </c>
      <c r="B527" s="85">
        <v>44733</v>
      </c>
      <c r="C527" s="86" t="s">
        <v>3310</v>
      </c>
      <c r="D527" s="4" t="s">
        <v>522</v>
      </c>
      <c r="E527" s="69" t="str">
        <f>RIGHT(บันทึกนำเข้าDrawing[[#This Row],[Drawing No]],1)</f>
        <v>0</v>
      </c>
      <c r="F527" s="66" t="s">
        <v>4752</v>
      </c>
      <c r="G527" s="118" t="s">
        <v>4027</v>
      </c>
      <c r="H527" s="80">
        <v>43507</v>
      </c>
      <c r="I527" s="29" t="str">
        <f>CONCATENATE(บันทึกนำเข้าDrawing[[#This Row],[Part No]],"+",บันทึกนำเข้าDrawing[[#This Row],[Drawing No]])</f>
        <v>2B19C205-02+DR-TW-2B19C140-02-00</v>
      </c>
    </row>
    <row r="528" spans="1:9">
      <c r="A528" s="33">
        <v>529</v>
      </c>
      <c r="B528" s="85">
        <v>44733</v>
      </c>
      <c r="C528" s="86" t="s">
        <v>3310</v>
      </c>
      <c r="D528" s="4" t="s">
        <v>503</v>
      </c>
      <c r="E528" s="69" t="str">
        <f>RIGHT(บันทึกนำเข้าDrawing[[#This Row],[Drawing No]],1)</f>
        <v>0</v>
      </c>
      <c r="F528" s="66" t="s">
        <v>504</v>
      </c>
      <c r="G528" s="118" t="s">
        <v>4027</v>
      </c>
      <c r="H528" s="80">
        <v>43507</v>
      </c>
      <c r="I528" s="29" t="str">
        <f>CONCATENATE(บันทึกนำเข้าDrawing[[#This Row],[Part No]],"+",บันทึกนำเข้าDrawing[[#This Row],[Drawing No]])</f>
        <v>2B19C140-02+DR-TW-2B19C140-02-00</v>
      </c>
    </row>
    <row r="529" spans="1:9">
      <c r="A529" s="33">
        <v>530</v>
      </c>
      <c r="B529" s="85">
        <v>44733</v>
      </c>
      <c r="C529" s="86" t="s">
        <v>3310</v>
      </c>
      <c r="D529" s="4" t="s">
        <v>505</v>
      </c>
      <c r="E529" s="69" t="str">
        <f>RIGHT(บันทึกนำเข้าDrawing[[#This Row],[Drawing No]],1)</f>
        <v>0</v>
      </c>
      <c r="F529" s="106" t="s">
        <v>4885</v>
      </c>
      <c r="G529" s="118" t="s">
        <v>4027</v>
      </c>
      <c r="H529" s="80">
        <v>43507</v>
      </c>
      <c r="I529" s="29" t="str">
        <f>CONCATENATE(บันทึกนำเข้าDrawing[[#This Row],[Part No]],"+",บันทึกนำเข้าDrawing[[#This Row],[Drawing No]])</f>
        <v>2B19C145-02+DR-TW-2B19C140-02-00</v>
      </c>
    </row>
    <row r="530" spans="1:9">
      <c r="A530" s="33">
        <v>531</v>
      </c>
      <c r="B530" s="85">
        <v>44733</v>
      </c>
      <c r="C530" s="86" t="s">
        <v>3310</v>
      </c>
      <c r="D530" s="4" t="s">
        <v>506</v>
      </c>
      <c r="E530" s="69" t="str">
        <f>RIGHT(บันทึกนำเข้าDrawing[[#This Row],[Drawing No]],1)</f>
        <v>0</v>
      </c>
      <c r="F530" s="66" t="s">
        <v>507</v>
      </c>
      <c r="G530" s="118" t="s">
        <v>4027</v>
      </c>
      <c r="H530" s="80">
        <v>43507</v>
      </c>
      <c r="I530" s="29" t="str">
        <f>CONCATENATE(บันทึกนำเข้าDrawing[[#This Row],[Part No]],"+",บันทึกนำเข้าDrawing[[#This Row],[Drawing No]])</f>
        <v>2B19C150-02+DR-TW-2B19C140-02-00</v>
      </c>
    </row>
    <row r="531" spans="1:9">
      <c r="A531" s="33">
        <v>532</v>
      </c>
      <c r="B531" s="85">
        <v>44733</v>
      </c>
      <c r="C531" s="86" t="s">
        <v>3310</v>
      </c>
      <c r="D531" s="4" t="s">
        <v>508</v>
      </c>
      <c r="E531" s="69" t="str">
        <f>RIGHT(บันทึกนำเข้าDrawing[[#This Row],[Drawing No]],1)</f>
        <v>0</v>
      </c>
      <c r="F531" s="66" t="s">
        <v>509</v>
      </c>
      <c r="G531" s="118" t="s">
        <v>4027</v>
      </c>
      <c r="H531" s="80">
        <v>43507</v>
      </c>
      <c r="I531" s="29" t="str">
        <f>CONCATENATE(บันทึกนำเข้าDrawing[[#This Row],[Part No]],"+",บันทึกนำเข้าDrawing[[#This Row],[Drawing No]])</f>
        <v>2B19C155-02+DR-TW-2B19C140-02-00</v>
      </c>
    </row>
    <row r="532" spans="1:9">
      <c r="A532" s="33">
        <v>533</v>
      </c>
      <c r="B532" s="85">
        <v>44733</v>
      </c>
      <c r="C532" s="86" t="s">
        <v>3310</v>
      </c>
      <c r="D532" s="4" t="s">
        <v>510</v>
      </c>
      <c r="E532" s="69" t="str">
        <f>RIGHT(บันทึกนำเข้าDrawing[[#This Row],[Drawing No]],1)</f>
        <v>0</v>
      </c>
      <c r="F532" s="66" t="s">
        <v>511</v>
      </c>
      <c r="G532" s="118" t="s">
        <v>4027</v>
      </c>
      <c r="H532" s="80">
        <v>43507</v>
      </c>
      <c r="I532" s="29" t="str">
        <f>CONCATENATE(บันทึกนำเข้าDrawing[[#This Row],[Part No]],"+",บันทึกนำเข้าDrawing[[#This Row],[Drawing No]])</f>
        <v>2B19C160-02+DR-TW-2B19C140-02-00</v>
      </c>
    </row>
    <row r="533" spans="1:9">
      <c r="A533" s="33">
        <v>534</v>
      </c>
      <c r="B533" s="85">
        <v>44733</v>
      </c>
      <c r="C533" s="86" t="s">
        <v>3310</v>
      </c>
      <c r="D533" s="4" t="s">
        <v>512</v>
      </c>
      <c r="E533" s="69" t="str">
        <f>RIGHT(บันทึกนำเข้าDrawing[[#This Row],[Drawing No]],1)</f>
        <v>0</v>
      </c>
      <c r="F533" s="66" t="s">
        <v>513</v>
      </c>
      <c r="G533" s="118" t="s">
        <v>4027</v>
      </c>
      <c r="H533" s="80">
        <v>43507</v>
      </c>
      <c r="I533" s="29" t="str">
        <f>CONCATENATE(บันทึกนำเข้าDrawing[[#This Row],[Part No]],"+",บันทึกนำเข้าDrawing[[#This Row],[Drawing No]])</f>
        <v>2B19C165-02+DR-TW-2B19C140-02-00</v>
      </c>
    </row>
    <row r="534" spans="1:9">
      <c r="A534" s="33">
        <v>535</v>
      </c>
      <c r="B534" s="85">
        <v>44733</v>
      </c>
      <c r="C534" s="86" t="s">
        <v>3310</v>
      </c>
      <c r="D534" s="4" t="s">
        <v>514</v>
      </c>
      <c r="E534" s="69" t="str">
        <f>RIGHT(บันทึกนำเข้าDrawing[[#This Row],[Drawing No]],1)</f>
        <v>0</v>
      </c>
      <c r="F534" s="66" t="s">
        <v>515</v>
      </c>
      <c r="G534" s="118" t="s">
        <v>4027</v>
      </c>
      <c r="H534" s="80">
        <v>43507</v>
      </c>
      <c r="I534" s="29" t="str">
        <f>CONCATENATE(บันทึกนำเข้าDrawing[[#This Row],[Part No]],"+",บันทึกนำเข้าDrawing[[#This Row],[Drawing No]])</f>
        <v>2B19C170-02+DR-TW-2B19C140-02-00</v>
      </c>
    </row>
    <row r="535" spans="1:9">
      <c r="A535" s="33">
        <v>536</v>
      </c>
      <c r="B535" s="85">
        <v>44733</v>
      </c>
      <c r="C535" s="86" t="s">
        <v>3310</v>
      </c>
      <c r="D535" s="4" t="s">
        <v>516</v>
      </c>
      <c r="E535" s="69" t="str">
        <f>RIGHT(บันทึกนำเข้าDrawing[[#This Row],[Drawing No]],1)</f>
        <v>0</v>
      </c>
      <c r="F535" s="66" t="s">
        <v>517</v>
      </c>
      <c r="G535" s="118" t="s">
        <v>4027</v>
      </c>
      <c r="H535" s="80">
        <v>43507</v>
      </c>
      <c r="I535" s="29" t="str">
        <f>CONCATENATE(บันทึกนำเข้าDrawing[[#This Row],[Part No]],"+",บันทึกนำเข้าDrawing[[#This Row],[Drawing No]])</f>
        <v>2B19C175-02+DR-TW-2B19C140-02-00</v>
      </c>
    </row>
    <row r="536" spans="1:9">
      <c r="A536" s="33">
        <v>537</v>
      </c>
      <c r="B536" s="81">
        <v>44733</v>
      </c>
      <c r="C536" s="88" t="s">
        <v>3310</v>
      </c>
      <c r="D536" s="4" t="s">
        <v>518</v>
      </c>
      <c r="E536" s="69" t="str">
        <f>RIGHT(บันทึกนำเข้าDrawing[[#This Row],[Drawing No]],1)</f>
        <v>0</v>
      </c>
      <c r="F536" s="95" t="s">
        <v>519</v>
      </c>
      <c r="G536" s="118" t="s">
        <v>4027</v>
      </c>
      <c r="H536" s="83">
        <v>43507</v>
      </c>
      <c r="I536" s="29" t="str">
        <f>CONCATENATE(บันทึกนำเข้าDrawing[[#This Row],[Part No]],"+",บันทึกนำเข้าDrawing[[#This Row],[Drawing No]])</f>
        <v>2B19C180-02+DR-TW-2B19C140-02-00</v>
      </c>
    </row>
    <row r="537" spans="1:9">
      <c r="A537" s="33">
        <v>538</v>
      </c>
      <c r="B537" s="85">
        <v>44733</v>
      </c>
      <c r="C537" s="86" t="s">
        <v>3310</v>
      </c>
      <c r="D537" s="4" t="s">
        <v>520</v>
      </c>
      <c r="E537" s="69" t="str">
        <f>RIGHT(บันทึกนำเข้าDrawing[[#This Row],[Drawing No]],1)</f>
        <v>0</v>
      </c>
      <c r="F537" s="66" t="s">
        <v>521</v>
      </c>
      <c r="G537" s="118" t="s">
        <v>4027</v>
      </c>
      <c r="H537" s="80">
        <v>43507</v>
      </c>
      <c r="I537" s="29" t="str">
        <f>CONCATENATE(บันทึกนำเข้าDrawing[[#This Row],[Part No]],"+",บันทึกนำเข้าDrawing[[#This Row],[Drawing No]])</f>
        <v>2B19C200-02+DR-TW-2B19C140-02-00</v>
      </c>
    </row>
    <row r="538" spans="1:9">
      <c r="A538" s="33">
        <v>539</v>
      </c>
      <c r="B538" s="85">
        <v>44733</v>
      </c>
      <c r="C538" s="86" t="s">
        <v>4346</v>
      </c>
      <c r="D538" s="33" t="s">
        <v>4355</v>
      </c>
      <c r="E538" s="69" t="str">
        <f>RIGHT(บันทึกนำเข้าDrawing[[#This Row],[Drawing No]],1)</f>
        <v>0</v>
      </c>
      <c r="F538" s="37" t="s">
        <v>3216</v>
      </c>
      <c r="G538" s="118" t="s">
        <v>4027</v>
      </c>
      <c r="H538" s="80">
        <v>44510</v>
      </c>
      <c r="I538" s="29" t="str">
        <f>CONCATENATE(บันทึกนำเข้าDrawing[[#This Row],[Part No]],"+",บันทึกนำเข้าDrawing[[#This Row],[Drawing No]])</f>
        <v>2B19-150-06+DR-TW-2B19-110-06-00</v>
      </c>
    </row>
    <row r="539" spans="1:9">
      <c r="A539" s="33">
        <v>540</v>
      </c>
      <c r="B539" s="85">
        <v>44733</v>
      </c>
      <c r="C539" s="86" t="s">
        <v>4346</v>
      </c>
      <c r="D539" s="33" t="s">
        <v>4356</v>
      </c>
      <c r="E539" s="69" t="str">
        <f>RIGHT(บันทึกนำเข้าDrawing[[#This Row],[Drawing No]],1)</f>
        <v>0</v>
      </c>
      <c r="F539" s="37" t="s">
        <v>4751</v>
      </c>
      <c r="G539" s="118" t="s">
        <v>4027</v>
      </c>
      <c r="H539" s="80">
        <v>44510</v>
      </c>
      <c r="I539" s="29" t="str">
        <f>CONCATENATE(บันทึกนำเข้าDrawing[[#This Row],[Part No]],"+",บันทึกนำเข้าDrawing[[#This Row],[Drawing No]])</f>
        <v>2B19-155-06+DR-TW-2B19-110-06-00</v>
      </c>
    </row>
    <row r="540" spans="1:9">
      <c r="A540" s="33">
        <v>541</v>
      </c>
      <c r="B540" s="85">
        <v>44733</v>
      </c>
      <c r="C540" s="86" t="s">
        <v>4346</v>
      </c>
      <c r="D540" s="33" t="s">
        <v>4499</v>
      </c>
      <c r="E540" s="69" t="str">
        <f>RIGHT(บันทึกนำเข้าDrawing[[#This Row],[Drawing No]],1)</f>
        <v>0</v>
      </c>
      <c r="F540" s="68" t="s">
        <v>4821</v>
      </c>
      <c r="G540" s="118" t="s">
        <v>4027</v>
      </c>
      <c r="H540" s="80">
        <v>44540</v>
      </c>
      <c r="I540" s="29" t="str">
        <f>CONCATENATE(บันทึกนำเข้าDrawing[[#This Row],[Part No]],"+",บันทึกนำเข้าDrawing[[#This Row],[Drawing No]])</f>
        <v>2B19-160-07+DR-TW-2B19-110-06-00</v>
      </c>
    </row>
    <row r="541" spans="1:9">
      <c r="A541" s="33">
        <v>542</v>
      </c>
      <c r="B541" s="85">
        <v>44733</v>
      </c>
      <c r="C541" s="86" t="s">
        <v>4346</v>
      </c>
      <c r="D541" s="33" t="s">
        <v>4614</v>
      </c>
      <c r="E541" s="69" t="str">
        <f>RIGHT(บันทึกนำเข้าDrawing[[#This Row],[Drawing No]],1)</f>
        <v>0</v>
      </c>
      <c r="F541" s="68" t="s">
        <v>4613</v>
      </c>
      <c r="G541" s="118" t="s">
        <v>4027</v>
      </c>
      <c r="H541" s="80">
        <v>44540</v>
      </c>
      <c r="I541" s="29" t="str">
        <f>CONCATENATE(บันทึกนำเข้าDrawing[[#This Row],[Part No]],"+",บันทึกนำเข้าDrawing[[#This Row],[Drawing No]])</f>
        <v>2B19-165-07+DR-TW-2B19-110-06-00</v>
      </c>
    </row>
    <row r="542" spans="1:9">
      <c r="A542" s="33">
        <v>543</v>
      </c>
      <c r="B542" s="85">
        <v>44733</v>
      </c>
      <c r="C542" s="86" t="s">
        <v>4346</v>
      </c>
      <c r="D542" s="33" t="s">
        <v>4511</v>
      </c>
      <c r="E542" s="69" t="str">
        <f>RIGHT(บันทึกนำเข้าDrawing[[#This Row],[Drawing No]],1)</f>
        <v>0</v>
      </c>
      <c r="F542" s="37" t="s">
        <v>4512</v>
      </c>
      <c r="G542" s="118" t="s">
        <v>4027</v>
      </c>
      <c r="H542" s="80">
        <v>44510</v>
      </c>
      <c r="I542" s="29" t="str">
        <f>CONCATENATE(บันทึกนำเข้าDrawing[[#This Row],[Part No]],"+",บันทึกนำเข้าDrawing[[#This Row],[Drawing No]])</f>
        <v>2B19-175-07+DR-TW-2B19-110-06-00</v>
      </c>
    </row>
    <row r="543" spans="1:9">
      <c r="A543" s="33">
        <v>544</v>
      </c>
      <c r="B543" s="71">
        <v>44733</v>
      </c>
      <c r="C543" s="86" t="s">
        <v>4346</v>
      </c>
      <c r="D543" s="33" t="s">
        <v>4497</v>
      </c>
      <c r="E543" s="69" t="str">
        <f>RIGHT(บันทึกนำเข้าDrawing[[#This Row],[Drawing No]],1)</f>
        <v>0</v>
      </c>
      <c r="F543" s="37" t="s">
        <v>4822</v>
      </c>
      <c r="G543" s="118" t="s">
        <v>4027</v>
      </c>
      <c r="H543" s="80">
        <v>44510</v>
      </c>
      <c r="I543" s="29" t="str">
        <f>CONCATENATE(บันทึกนำเข้าDrawing[[#This Row],[Part No]],"+",บันทึกนำเข้าDrawing[[#This Row],[Drawing No]])</f>
        <v>2B19-180-07+DR-TW-2B19-110-06-00</v>
      </c>
    </row>
    <row r="544" spans="1:9">
      <c r="A544" s="33">
        <v>545</v>
      </c>
      <c r="B544" s="85">
        <v>44733</v>
      </c>
      <c r="C544" s="86" t="s">
        <v>4346</v>
      </c>
      <c r="D544" s="33" t="s">
        <v>4823</v>
      </c>
      <c r="E544" s="69" t="str">
        <f>RIGHT(บันทึกนำเข้าDrawing[[#This Row],[Drawing No]],1)</f>
        <v>0</v>
      </c>
      <c r="F544" s="37" t="s">
        <v>4824</v>
      </c>
      <c r="G544" s="118" t="s">
        <v>4027</v>
      </c>
      <c r="H544" s="80">
        <v>44510</v>
      </c>
      <c r="I544" s="29" t="str">
        <f>CONCATENATE(บันทึกนำเข้าDrawing[[#This Row],[Part No]],"+",บันทึกนำเข้าDrawing[[#This Row],[Drawing No]])</f>
        <v>2B19-190-07+DR-TW-2B19-110-06-00</v>
      </c>
    </row>
    <row r="545" spans="1:9">
      <c r="A545" s="33">
        <v>546</v>
      </c>
      <c r="B545" s="85">
        <v>44733</v>
      </c>
      <c r="C545" s="86" t="s">
        <v>4346</v>
      </c>
      <c r="D545" s="33" t="s">
        <v>4498</v>
      </c>
      <c r="E545" s="69" t="str">
        <f>RIGHT(บันทึกนำเข้าDrawing[[#This Row],[Drawing No]],1)</f>
        <v>0</v>
      </c>
      <c r="F545" s="37" t="s">
        <v>4825</v>
      </c>
      <c r="G545" s="118" t="s">
        <v>4027</v>
      </c>
      <c r="H545" s="80">
        <v>44510</v>
      </c>
      <c r="I545" s="29" t="str">
        <f>CONCATENATE(บันทึกนำเข้าDrawing[[#This Row],[Part No]],"+",บันทึกนำเข้าDrawing[[#This Row],[Drawing No]])</f>
        <v>2B19-195-07+DR-TW-2B19-110-06-00</v>
      </c>
    </row>
    <row r="546" spans="1:9">
      <c r="A546" s="33">
        <v>547</v>
      </c>
      <c r="B546" s="85">
        <v>44733</v>
      </c>
      <c r="C546" s="86" t="s">
        <v>4346</v>
      </c>
      <c r="D546" s="33" t="s">
        <v>4513</v>
      </c>
      <c r="E546" s="69" t="str">
        <f>RIGHT(บันทึกนำเข้าDrawing[[#This Row],[Drawing No]],1)</f>
        <v>0</v>
      </c>
      <c r="F546" s="68" t="s">
        <v>4514</v>
      </c>
      <c r="G546" s="118" t="s">
        <v>4027</v>
      </c>
      <c r="H546" s="80">
        <v>44510</v>
      </c>
      <c r="I546" s="29" t="str">
        <f>CONCATENATE(บันทึกนำเข้าDrawing[[#This Row],[Part No]],"+",บันทึกนำเข้าDrawing[[#This Row],[Drawing No]])</f>
        <v>2B19-200-07+DR-TW-2B19-110-06-00</v>
      </c>
    </row>
    <row r="547" spans="1:9">
      <c r="A547" s="33">
        <v>548</v>
      </c>
      <c r="B547" s="85">
        <v>44733</v>
      </c>
      <c r="C547" s="86" t="s">
        <v>4346</v>
      </c>
      <c r="D547" s="33" t="s">
        <v>4500</v>
      </c>
      <c r="E547" s="69" t="str">
        <f>RIGHT(บันทึกนำเข้าDrawing[[#This Row],[Drawing No]],1)</f>
        <v>0</v>
      </c>
      <c r="F547" s="37" t="s">
        <v>4801</v>
      </c>
      <c r="G547" s="118" t="s">
        <v>4027</v>
      </c>
      <c r="H547" s="80">
        <v>44510</v>
      </c>
      <c r="I547" s="29" t="str">
        <f>CONCATENATE(บันทึกนำเข้าDrawing[[#This Row],[Part No]],"+",บันทึกนำเข้าDrawing[[#This Row],[Drawing No]])</f>
        <v>2B19-215-01+DR-TW-2B19-110-06-00</v>
      </c>
    </row>
    <row r="548" spans="1:9">
      <c r="A548" s="33">
        <v>549</v>
      </c>
      <c r="B548" s="85">
        <v>44733</v>
      </c>
      <c r="C548" s="86" t="s">
        <v>4346</v>
      </c>
      <c r="D548" s="33" t="s">
        <v>4510</v>
      </c>
      <c r="E548" s="69" t="str">
        <f>RIGHT(บันทึกนำเข้าDrawing[[#This Row],[Drawing No]],1)</f>
        <v>0</v>
      </c>
      <c r="F548" s="37" t="s">
        <v>4826</v>
      </c>
      <c r="G548" s="118" t="s">
        <v>4027</v>
      </c>
      <c r="H548" s="80">
        <v>44510</v>
      </c>
      <c r="I548" s="29" t="str">
        <f>CONCATENATE(บันทึกนำเข้าDrawing[[#This Row],[Part No]],"+",บันทึกนำเข้าDrawing[[#This Row],[Drawing No]])</f>
        <v>2B19-205-01+DR-TW-2B19-110-06-00</v>
      </c>
    </row>
    <row r="549" spans="1:9">
      <c r="A549" s="33">
        <v>550</v>
      </c>
      <c r="B549" s="85">
        <v>44733</v>
      </c>
      <c r="C549" s="86" t="s">
        <v>4346</v>
      </c>
      <c r="D549" s="33" t="s">
        <v>4516</v>
      </c>
      <c r="E549" s="69" t="str">
        <f>RIGHT(บันทึกนำเข้าDrawing[[#This Row],[Drawing No]],1)</f>
        <v>0</v>
      </c>
      <c r="F549" s="37" t="s">
        <v>4515</v>
      </c>
      <c r="G549" s="118" t="s">
        <v>4027</v>
      </c>
      <c r="H549" s="80">
        <v>44512</v>
      </c>
      <c r="I549" s="29" t="str">
        <f>CONCATENATE(บันทึกนำเข้าDrawing[[#This Row],[Part No]],"+",บันทึกนำเข้าDrawing[[#This Row],[Drawing No]])</f>
        <v>2B19-220-01+DR-TW-2B19-110-06-00</v>
      </c>
    </row>
    <row r="550" spans="1:9">
      <c r="A550" s="33">
        <v>551</v>
      </c>
      <c r="B550" s="85">
        <v>44733</v>
      </c>
      <c r="C550" s="86" t="s">
        <v>4346</v>
      </c>
      <c r="D550" s="33" t="s">
        <v>4865</v>
      </c>
      <c r="E550" s="69" t="str">
        <f>RIGHT(บันทึกนำเข้าDrawing[[#This Row],[Drawing No]],1)</f>
        <v>0</v>
      </c>
      <c r="F550" s="37" t="s">
        <v>4866</v>
      </c>
      <c r="G550" s="118" t="s">
        <v>4027</v>
      </c>
      <c r="H550" s="80">
        <v>44789</v>
      </c>
      <c r="I550" s="29" t="str">
        <f>CONCATENATE(บันทึกนำเข้าDrawing[[#This Row],[Part No]],"+",บันทึกนำเข้าDrawing[[#This Row],[Drawing No]])</f>
        <v>2B19-210-01+DR-TW-2B19-110-06-00</v>
      </c>
    </row>
    <row r="551" spans="1:9">
      <c r="A551" s="33">
        <v>552</v>
      </c>
      <c r="B551" s="85">
        <v>44733</v>
      </c>
      <c r="C551" s="86" t="s">
        <v>4346</v>
      </c>
      <c r="D551" s="33" t="s">
        <v>4354</v>
      </c>
      <c r="E551" s="69" t="str">
        <f>RIGHT(บันทึกนำเข้าDrawing[[#This Row],[Drawing No]],1)</f>
        <v>0</v>
      </c>
      <c r="F551" s="37" t="s">
        <v>4867</v>
      </c>
      <c r="G551" s="118" t="s">
        <v>4027</v>
      </c>
      <c r="H551" s="80">
        <v>44789</v>
      </c>
      <c r="I551" s="29" t="str">
        <f>CONCATENATE(บันทึกนำเข้าDrawing[[#This Row],[Part No]],"+",บันทึกนำเข้าDrawing[[#This Row],[Drawing No]])</f>
        <v>2B19-145-06+DR-TW-2B19-110-06-00</v>
      </c>
    </row>
    <row r="552" spans="1:9">
      <c r="A552" s="33">
        <v>553</v>
      </c>
      <c r="B552" s="85">
        <v>44733</v>
      </c>
      <c r="C552" s="86" t="s">
        <v>4346</v>
      </c>
      <c r="D552" s="33" t="s">
        <v>4347</v>
      </c>
      <c r="E552" s="69" t="str">
        <f>RIGHT(บันทึกนำเข้าDrawing[[#This Row],[Drawing No]],1)</f>
        <v>0</v>
      </c>
      <c r="F552" s="37" t="s">
        <v>5645</v>
      </c>
      <c r="G552" s="118" t="s">
        <v>4027</v>
      </c>
      <c r="H552" s="80">
        <v>45014</v>
      </c>
      <c r="I552" s="29" t="str">
        <f>CONCATENATE(บันทึกนำเข้าDrawing[[#This Row],[Part No]],"+",บันทึกนำเข้าDrawing[[#This Row],[Drawing No]])</f>
        <v>2B19-110-06+DR-TW-2B19-110-06-00</v>
      </c>
    </row>
    <row r="553" spans="1:9">
      <c r="A553" s="33">
        <v>554</v>
      </c>
      <c r="B553" s="85">
        <v>44733</v>
      </c>
      <c r="C553" s="86" t="s">
        <v>4346</v>
      </c>
      <c r="D553" s="33" t="s">
        <v>4348</v>
      </c>
      <c r="E553" s="69" t="str">
        <f>RIGHT(บันทึกนำเข้าDrawing[[#This Row],[Drawing No]],1)</f>
        <v>0</v>
      </c>
      <c r="F553" s="37" t="s">
        <v>474</v>
      </c>
      <c r="G553" s="118" t="s">
        <v>4027</v>
      </c>
      <c r="H553" s="80">
        <v>45139</v>
      </c>
      <c r="I553" s="29" t="str">
        <f>CONCATENATE(บันทึกนำเข้าDrawing[[#This Row],[Part No]],"+",บันทึกนำเข้าDrawing[[#This Row],[Drawing No]])</f>
        <v>2B19-115-06+DR-TW-2B19-110-06-00</v>
      </c>
    </row>
    <row r="554" spans="1:9">
      <c r="A554" s="33">
        <v>555</v>
      </c>
      <c r="B554" s="85">
        <v>44736</v>
      </c>
      <c r="C554" s="72" t="s">
        <v>4757</v>
      </c>
      <c r="D554" s="33" t="s">
        <v>4758</v>
      </c>
      <c r="E554" s="69" t="str">
        <f>RIGHT(บันทึกนำเข้าDrawing[[#This Row],[Drawing No]],1)</f>
        <v>0</v>
      </c>
      <c r="F554" s="68" t="s">
        <v>4759</v>
      </c>
      <c r="G554" s="118" t="s">
        <v>4029</v>
      </c>
      <c r="H554" s="80">
        <v>44740</v>
      </c>
      <c r="I554" s="29" t="str">
        <f>CONCATENATE(บันทึกนำเข้าDrawing[[#This Row],[Part No]],"+",บันทึกนำเข้าDrawing[[#This Row],[Drawing No]])</f>
        <v>2B69A017-00+DR-TW-2B69A017-00-00</v>
      </c>
    </row>
    <row r="555" spans="1:9">
      <c r="A555" s="33">
        <v>556</v>
      </c>
      <c r="B555" s="85">
        <v>44736</v>
      </c>
      <c r="C555" s="72" t="s">
        <v>4741</v>
      </c>
      <c r="D555" s="33" t="s">
        <v>647</v>
      </c>
      <c r="E555" s="69" t="str">
        <f>RIGHT(บันทึกนำเข้าDrawing[[#This Row],[Drawing No]],1)</f>
        <v>3</v>
      </c>
      <c r="F555" s="68" t="s">
        <v>4760</v>
      </c>
      <c r="G555" s="118" t="s">
        <v>4029</v>
      </c>
      <c r="H555" s="80">
        <v>44377</v>
      </c>
      <c r="I555" s="29" t="str">
        <f>CONCATENATE(บันทึกนำเข้าDrawing[[#This Row],[Part No]],"+",บันทึกนำเข้าDrawing[[#This Row],[Drawing No]])</f>
        <v>2B24B065-00+DR-TW-2B24B090-00-03</v>
      </c>
    </row>
    <row r="556" spans="1:9">
      <c r="A556" s="33">
        <v>557</v>
      </c>
      <c r="B556" s="85">
        <v>44736</v>
      </c>
      <c r="C556" s="72" t="s">
        <v>4741</v>
      </c>
      <c r="D556" s="33" t="s">
        <v>651</v>
      </c>
      <c r="E556" s="69" t="str">
        <f>RIGHT(บันทึกนำเข้าDrawing[[#This Row],[Drawing No]],1)</f>
        <v>3</v>
      </c>
      <c r="F556" s="68" t="s">
        <v>4685</v>
      </c>
      <c r="G556" s="118" t="s">
        <v>4029</v>
      </c>
      <c r="H556" s="80">
        <v>44377</v>
      </c>
      <c r="I556" s="29" t="str">
        <f>CONCATENATE(บันทึกนำเข้าDrawing[[#This Row],[Part No]],"+",บันทึกนำเข้าDrawing[[#This Row],[Drawing No]])</f>
        <v>2B24B105-00+DR-TW-2B24B090-00-03</v>
      </c>
    </row>
    <row r="557" spans="1:9">
      <c r="A557" s="33">
        <v>558</v>
      </c>
      <c r="B557" s="85">
        <v>44736</v>
      </c>
      <c r="C557" s="72" t="s">
        <v>4741</v>
      </c>
      <c r="D557" s="33" t="s">
        <v>652</v>
      </c>
      <c r="E557" s="69" t="str">
        <f>RIGHT(บันทึกนำเข้าDrawing[[#This Row],[Drawing No]],1)</f>
        <v>3</v>
      </c>
      <c r="F557" s="68" t="s">
        <v>4761</v>
      </c>
      <c r="G557" s="118" t="s">
        <v>4029</v>
      </c>
      <c r="H557" s="80">
        <v>44377</v>
      </c>
      <c r="I557" s="29" t="str">
        <f>CONCATENATE(บันทึกนำเข้าDrawing[[#This Row],[Part No]],"+",บันทึกนำเข้าDrawing[[#This Row],[Drawing No]])</f>
        <v>2B24B120-00+DR-TW-2B24B090-00-03</v>
      </c>
    </row>
    <row r="558" spans="1:9">
      <c r="A558" s="33">
        <v>559</v>
      </c>
      <c r="B558" s="85">
        <v>44736</v>
      </c>
      <c r="C558" s="72" t="s">
        <v>3756</v>
      </c>
      <c r="D558" s="33" t="s">
        <v>1421</v>
      </c>
      <c r="E558" s="69" t="str">
        <f>RIGHT(บันทึกนำเข้าDrawing[[#This Row],[Drawing No]],1)</f>
        <v>0</v>
      </c>
      <c r="F558" s="68" t="s">
        <v>2639</v>
      </c>
      <c r="G558" s="118" t="s">
        <v>4027</v>
      </c>
      <c r="H558" s="80">
        <v>43937</v>
      </c>
      <c r="I558" s="29" t="str">
        <f>CONCATENATE(บันทึกนำเข้าDrawing[[#This Row],[Part No]],"+",บันทึกนำเข้าDrawing[[#This Row],[Drawing No]])</f>
        <v>2B27-211-00+DR-TW-2B27-211-00-00</v>
      </c>
    </row>
    <row r="559" spans="1:9">
      <c r="A559" s="33">
        <v>560</v>
      </c>
      <c r="B559" s="85">
        <v>44739</v>
      </c>
      <c r="C559" s="72" t="s">
        <v>4770</v>
      </c>
      <c r="D559" s="33" t="s">
        <v>4771</v>
      </c>
      <c r="E559" s="69" t="str">
        <f>RIGHT(บันทึกนำเข้าDrawing[[#This Row],[Drawing No]],1)</f>
        <v>0</v>
      </c>
      <c r="F559" s="68" t="s">
        <v>4772</v>
      </c>
      <c r="G559" s="118" t="s">
        <v>4029</v>
      </c>
      <c r="H559" s="80">
        <v>44756</v>
      </c>
      <c r="I559" s="29" t="str">
        <f>CONCATENATE(บันทึกนำเข้าDrawing[[#This Row],[Part No]],"+",บันทึกนำเข้าDrawing[[#This Row],[Drawing No]])</f>
        <v>2B26-190-00+DR-TW-2B26-190-00-00</v>
      </c>
    </row>
    <row r="560" spans="1:9">
      <c r="A560" s="33">
        <v>561</v>
      </c>
      <c r="B560" s="85">
        <v>44739</v>
      </c>
      <c r="C560" s="72" t="s">
        <v>4773</v>
      </c>
      <c r="D560" s="33" t="s">
        <v>4774</v>
      </c>
      <c r="E560" s="69" t="str">
        <f>RIGHT(บันทึกนำเข้าDrawing[[#This Row],[Drawing No]],1)</f>
        <v>0</v>
      </c>
      <c r="F560" s="68" t="s">
        <v>4775</v>
      </c>
      <c r="G560" s="118" t="s">
        <v>4029</v>
      </c>
      <c r="H560" s="80">
        <v>44762</v>
      </c>
      <c r="I560" s="29" t="str">
        <f>CONCATENATE(บันทึกนำเข้าDrawing[[#This Row],[Part No]],"+",บันทึกนำเข้าDrawing[[#This Row],[Drawing No]])</f>
        <v>2B26-295-00+DR-TW-2B26-295-00-00</v>
      </c>
    </row>
    <row r="561" spans="1:9">
      <c r="A561" s="33">
        <v>562</v>
      </c>
      <c r="B561" s="85">
        <v>44739</v>
      </c>
      <c r="C561" s="72" t="s">
        <v>4776</v>
      </c>
      <c r="D561" s="33" t="s">
        <v>4777</v>
      </c>
      <c r="E561" s="69" t="str">
        <f>RIGHT(บันทึกนำเข้าDrawing[[#This Row],[Drawing No]],1)</f>
        <v>0</v>
      </c>
      <c r="F561" s="68" t="s">
        <v>4778</v>
      </c>
      <c r="G561" s="118" t="s">
        <v>4027</v>
      </c>
      <c r="H561" s="80">
        <v>44748</v>
      </c>
      <c r="I561" s="29" t="str">
        <f>CONCATENATE(บันทึกนำเข้าDrawing[[#This Row],[Part No]],"+",บันทึกนำเข้าDrawing[[#This Row],[Drawing No]])</f>
        <v>2B27-082-00+DR-TW-2B27-082-00-00</v>
      </c>
    </row>
    <row r="562" spans="1:9">
      <c r="A562" s="33">
        <v>563</v>
      </c>
      <c r="B562" s="85">
        <v>44739</v>
      </c>
      <c r="C562" s="72" t="s">
        <v>4779</v>
      </c>
      <c r="D562" s="33" t="s">
        <v>4780</v>
      </c>
      <c r="E562" s="69" t="str">
        <f>RIGHT(บันทึกนำเข้าDrawing[[#This Row],[Drawing No]],1)</f>
        <v>0</v>
      </c>
      <c r="F562" s="68" t="s">
        <v>4781</v>
      </c>
      <c r="G562" s="118" t="s">
        <v>4027</v>
      </c>
      <c r="H562" s="80">
        <v>44748</v>
      </c>
      <c r="I562" s="29" t="str">
        <f>CONCATENATE(บันทึกนำเข้าDrawing[[#This Row],[Part No]],"+",บันทึกนำเข้าDrawing[[#This Row],[Drawing No]])</f>
        <v>2B26-084-00+DR-TW-2B26-084-00-00</v>
      </c>
    </row>
    <row r="563" spans="1:9">
      <c r="A563" s="33">
        <v>564</v>
      </c>
      <c r="B563" s="85">
        <v>44739</v>
      </c>
      <c r="C563" s="72" t="s">
        <v>3652</v>
      </c>
      <c r="D563" s="33" t="s">
        <v>996</v>
      </c>
      <c r="E563" s="69" t="str">
        <f>RIGHT(บันทึกนำเข้าDrawing[[#This Row],[Drawing No]],1)</f>
        <v>0</v>
      </c>
      <c r="F563" s="68" t="s">
        <v>4782</v>
      </c>
      <c r="G563" s="118" t="s">
        <v>4027</v>
      </c>
      <c r="H563" s="80">
        <v>44762</v>
      </c>
      <c r="I563" s="29" t="str">
        <f>CONCATENATE(บันทึกนำเข้าDrawing[[#This Row],[Part No]],"+",บันทึกนำเข้าDrawing[[#This Row],[Drawing No]])</f>
        <v>2B25-287-00+DR-TW-2B25-287-00-00</v>
      </c>
    </row>
    <row r="564" spans="1:9">
      <c r="A564" s="33">
        <v>565</v>
      </c>
      <c r="B564" s="85">
        <v>44739</v>
      </c>
      <c r="C564" s="72" t="s">
        <v>4783</v>
      </c>
      <c r="D564" s="33" t="s">
        <v>4784</v>
      </c>
      <c r="E564" s="69" t="str">
        <f>RIGHT(บันทึกนำเข้าDrawing[[#This Row],[Drawing No]],1)</f>
        <v>0</v>
      </c>
      <c r="F564" s="68" t="s">
        <v>4785</v>
      </c>
      <c r="G564" s="118" t="s">
        <v>4027</v>
      </c>
      <c r="H564" s="80">
        <v>44767</v>
      </c>
      <c r="I564" s="29" t="str">
        <f>CONCATENATE(บันทึกนำเข้าDrawing[[#This Row],[Part No]],"+",บันทึกนำเข้าDrawing[[#This Row],[Drawing No]])</f>
        <v>2B27-101-00+DR-TW-2B27-101-00-00</v>
      </c>
    </row>
    <row r="565" spans="1:9">
      <c r="A565" s="33">
        <v>522</v>
      </c>
      <c r="B565" s="85">
        <v>44733</v>
      </c>
      <c r="C565" s="86" t="s">
        <v>3325</v>
      </c>
      <c r="D565" s="33" t="s">
        <v>2299</v>
      </c>
      <c r="E565" s="69" t="str">
        <f>RIGHT(บันทึกนำเข้าDrawing[[#This Row],[Drawing No]],1)</f>
        <v>1</v>
      </c>
      <c r="F565" s="37" t="s">
        <v>4746</v>
      </c>
      <c r="G565" s="118" t="s">
        <v>4029</v>
      </c>
      <c r="H565" s="80">
        <v>43542</v>
      </c>
      <c r="I565" s="29" t="str">
        <f>CONCATENATE(บันทึกนำเข้าDrawing[[#This Row],[Part No]],"+",บันทึกนำเข้าDrawing[[#This Row],[Drawing No]])</f>
        <v>2B94-092-02+DR-TW-2B94-092-02-01</v>
      </c>
    </row>
    <row r="566" spans="1:9">
      <c r="A566" s="33">
        <v>567</v>
      </c>
      <c r="B566" s="85">
        <v>44741</v>
      </c>
      <c r="C566" s="72" t="s">
        <v>4790</v>
      </c>
      <c r="D566" s="33" t="s">
        <v>4789</v>
      </c>
      <c r="E566" s="69" t="str">
        <f>RIGHT(บันทึกนำเข้าDrawing[[#This Row],[Drawing No]],1)</f>
        <v>0</v>
      </c>
      <c r="F566" s="68" t="s">
        <v>4796</v>
      </c>
      <c r="G566" s="118" t="s">
        <v>4027</v>
      </c>
      <c r="H566" s="80">
        <v>44741</v>
      </c>
      <c r="I566" s="29" t="str">
        <f>CONCATENATE(บันทึกนำเข้าDrawing[[#This Row],[Part No]],"+",บันทึกนำเข้าDrawing[[#This Row],[Drawing No]])</f>
        <v>PCX-RS02-00+ATP-PCX-RH02-00-00</v>
      </c>
    </row>
    <row r="567" spans="1:9">
      <c r="A567" s="33">
        <v>568</v>
      </c>
      <c r="B567" s="85">
        <v>44742</v>
      </c>
      <c r="C567" s="86" t="s">
        <v>4804</v>
      </c>
      <c r="D567" s="33" t="s">
        <v>4806</v>
      </c>
      <c r="E567" s="69" t="str">
        <f>RIGHT(บันทึกนำเข้าDrawing[[#This Row],[Drawing No]],1)</f>
        <v>0</v>
      </c>
      <c r="F567" s="68" t="s">
        <v>4807</v>
      </c>
      <c r="G567" s="118" t="s">
        <v>4029</v>
      </c>
      <c r="H567" s="80"/>
      <c r="I567" s="29" t="str">
        <f>CONCATENATE(บันทึกนำเข้าDrawing[[#This Row],[Part No]],"+",บันทึกนำเข้าDrawing[[#This Row],[Drawing No]])</f>
        <v>2B26-249-03+DR-TW-2B26-249-03-00</v>
      </c>
    </row>
    <row r="568" spans="1:9">
      <c r="A568" s="33">
        <v>569</v>
      </c>
      <c r="B568" s="85">
        <v>44754</v>
      </c>
      <c r="C568" s="72" t="s">
        <v>4812</v>
      </c>
      <c r="D568" s="33" t="s">
        <v>4675</v>
      </c>
      <c r="E568" s="69" t="str">
        <f>RIGHT(บันทึกนำเข้าDrawing[[#This Row],[Drawing No]],1)</f>
        <v>1</v>
      </c>
      <c r="F568" s="68" t="s">
        <v>4676</v>
      </c>
      <c r="G568" s="118" t="s">
        <v>4027</v>
      </c>
      <c r="H568" s="80">
        <v>44735</v>
      </c>
      <c r="I568" s="29" t="str">
        <f>CONCATENATE(บันทึกนำเข้าDrawing[[#This Row],[Part No]],"+",บันทึกนำเข้าDrawing[[#This Row],[Drawing No]])</f>
        <v>2B26-116-06+DR-TW-2B26-116-06-01</v>
      </c>
    </row>
    <row r="569" spans="1:9">
      <c r="A569" s="33">
        <v>570</v>
      </c>
      <c r="B569" s="85">
        <v>44754</v>
      </c>
      <c r="C569" s="72" t="s">
        <v>4813</v>
      </c>
      <c r="D569" s="33" t="s">
        <v>4814</v>
      </c>
      <c r="E569" s="69" t="str">
        <f>RIGHT(บันทึกนำเข้าDrawing[[#This Row],[Drawing No]],1)</f>
        <v>0</v>
      </c>
      <c r="F569" s="68" t="s">
        <v>4815</v>
      </c>
      <c r="G569" s="118" t="s">
        <v>3772</v>
      </c>
      <c r="H569" s="80"/>
      <c r="I569" s="29" t="str">
        <f>CONCATENATE(บันทึกนำเข้าDrawing[[#This Row],[Part No]],"+",บันทึกนำเข้าDrawing[[#This Row],[Drawing No]])</f>
        <v>2B04-464-00+DR-TW-2B04-464-00-00</v>
      </c>
    </row>
    <row r="570" spans="1:9">
      <c r="A570" s="33">
        <v>571</v>
      </c>
      <c r="B570" s="85">
        <v>44754</v>
      </c>
      <c r="C570" s="72" t="s">
        <v>4816</v>
      </c>
      <c r="D570" s="33" t="s">
        <v>4817</v>
      </c>
      <c r="E570" s="69" t="str">
        <f>RIGHT(บันทึกนำเข้าDrawing[[#This Row],[Drawing No]],1)</f>
        <v>0</v>
      </c>
      <c r="F570" s="68" t="s">
        <v>4715</v>
      </c>
      <c r="G570" s="118" t="s">
        <v>4027</v>
      </c>
      <c r="H570" s="80"/>
      <c r="I570" s="29" t="str">
        <f>CONCATENATE(บันทึกนำเข้าDrawing[[#This Row],[Part No]],"+",บันทึกนำเข้าDrawing[[#This Row],[Drawing No]])</f>
        <v>2B69M255-00+DR-TW-2B69M255-00-00</v>
      </c>
    </row>
    <row r="571" spans="1:9">
      <c r="A571" s="33">
        <v>572</v>
      </c>
      <c r="B571" s="85">
        <v>44764</v>
      </c>
      <c r="C571" s="72" t="s">
        <v>4723</v>
      </c>
      <c r="D571" s="33" t="s">
        <v>4722</v>
      </c>
      <c r="E571" s="69" t="str">
        <f>RIGHT(บันทึกนำเข้าDrawing[[#This Row],[Drawing No]],1)</f>
        <v>0</v>
      </c>
      <c r="F571" s="68" t="s">
        <v>4842</v>
      </c>
      <c r="G571" s="118" t="s">
        <v>4027</v>
      </c>
      <c r="H571" s="80">
        <v>44735</v>
      </c>
      <c r="I571" s="29" t="str">
        <f>CONCATENATE(บันทึกนำเข้าDrawing[[#This Row],[Part No]],"+",บันทึกนำเข้าDrawing[[#This Row],[Drawing No]])</f>
        <v>PCX-FS02-00+ATP-PCX-FH02-00-00</v>
      </c>
    </row>
    <row r="572" spans="1:9">
      <c r="A572" s="33">
        <v>573</v>
      </c>
      <c r="B572" s="85">
        <v>44776</v>
      </c>
      <c r="C572" s="72" t="s">
        <v>4852</v>
      </c>
      <c r="D572" s="33" t="s">
        <v>4853</v>
      </c>
      <c r="E572" s="69" t="str">
        <f>RIGHT(บันทึกนำเข้าDrawing[[#This Row],[Drawing No]],1)</f>
        <v>0</v>
      </c>
      <c r="F572" s="37" t="s">
        <v>4854</v>
      </c>
      <c r="G572" s="118" t="s">
        <v>4029</v>
      </c>
      <c r="H572" s="80">
        <v>44784</v>
      </c>
      <c r="I572" s="29" t="str">
        <f>CONCATENATE(บันทึกนำเข้าDrawing[[#This Row],[Part No]],"+",บันทึกนำเข้าDrawing[[#This Row],[Drawing No]])</f>
        <v>2B26-068-04+DR-TW-2B26-068-04-00</v>
      </c>
    </row>
    <row r="573" spans="1:9">
      <c r="A573" s="33">
        <v>574</v>
      </c>
      <c r="B573" s="85">
        <v>44777</v>
      </c>
      <c r="C573" s="72" t="s">
        <v>4856</v>
      </c>
      <c r="D573" s="33" t="s">
        <v>4857</v>
      </c>
      <c r="E573" s="69" t="str">
        <f>RIGHT(บันทึกนำเข้าDrawing[[#This Row],[Drawing No]],1)</f>
        <v>0</v>
      </c>
      <c r="F573" s="10" t="s">
        <v>4858</v>
      </c>
      <c r="G573" s="118" t="s">
        <v>4029</v>
      </c>
      <c r="H573" s="80">
        <v>44781</v>
      </c>
      <c r="I573" s="29" t="str">
        <f>CONCATENATE(บันทึกนำเข้าDrawing[[#This Row],[Part No]],"+",บันทึกนำเข้าDrawing[[#This Row],[Drawing No]])</f>
        <v>2B69M257-00+DR-TW-2B69M257-00-00</v>
      </c>
    </row>
    <row r="574" spans="1:9">
      <c r="A574" s="33">
        <v>575</v>
      </c>
      <c r="B574" s="85">
        <v>44777</v>
      </c>
      <c r="C574" s="72" t="s">
        <v>4859</v>
      </c>
      <c r="D574" s="33" t="s">
        <v>4860</v>
      </c>
      <c r="E574" s="69" t="str">
        <f>RIGHT(บันทึกนำเข้าDrawing[[#This Row],[Drawing No]],1)</f>
        <v>0</v>
      </c>
      <c r="F574" s="10" t="s">
        <v>4861</v>
      </c>
      <c r="G574" s="118" t="s">
        <v>4029</v>
      </c>
      <c r="H574" s="80">
        <v>44781</v>
      </c>
      <c r="I574" s="29" t="str">
        <f>CONCATENATE(บันทึกนำเข้าDrawing[[#This Row],[Part No]],"+",บันทึกนำเข้าDrawing[[#This Row],[Drawing No]])</f>
        <v>2B69M256-00+DR-TW-2B69M256-00-00</v>
      </c>
    </row>
    <row r="575" spans="1:9">
      <c r="A575" s="33">
        <v>576</v>
      </c>
      <c r="B575" s="85">
        <v>44796</v>
      </c>
      <c r="C575" s="72" t="s">
        <v>4873</v>
      </c>
      <c r="D575" s="33" t="s">
        <v>4874</v>
      </c>
      <c r="E575" s="69" t="str">
        <f>RIGHT(บันทึกนำเข้าDrawing[[#This Row],[Drawing No]],1)</f>
        <v>0</v>
      </c>
      <c r="F575" s="68" t="s">
        <v>4815</v>
      </c>
      <c r="G575" s="118" t="s">
        <v>3772</v>
      </c>
      <c r="H575" s="80"/>
      <c r="I575" s="29" t="str">
        <f>CONCATENATE(บันทึกนำเข้าDrawing[[#This Row],[Part No]],"+",บันทึกนำเข้าDrawing[[#This Row],[Drawing No]])</f>
        <v>2B04-465-00+DR-TW-2B04-465-00-00</v>
      </c>
    </row>
    <row r="576" spans="1:9">
      <c r="A576" s="33">
        <v>577</v>
      </c>
      <c r="B576" s="85">
        <v>44798</v>
      </c>
      <c r="C576" s="72" t="s">
        <v>4875</v>
      </c>
      <c r="D576" s="33" t="s">
        <v>2256</v>
      </c>
      <c r="E576" s="69" t="str">
        <f>RIGHT(บันทึกนำเข้าDrawing[[#This Row],[Drawing No]],1)</f>
        <v>0</v>
      </c>
      <c r="F576" s="68" t="s">
        <v>4876</v>
      </c>
      <c r="G576" s="118" t="s">
        <v>4027</v>
      </c>
      <c r="H576" s="80">
        <v>45294</v>
      </c>
      <c r="I576" s="29" t="str">
        <f>CONCATENATE(บันทึกนำเข้าDrawing[[#This Row],[Part No]],"+",บันทึกนำเข้าDrawing[[#This Row],[Drawing No]])</f>
        <v>2B91-044-02+DR-TW-2B91-044-02-00</v>
      </c>
    </row>
    <row r="577" spans="1:9">
      <c r="A577" s="33">
        <v>578</v>
      </c>
      <c r="B577" s="85">
        <v>44798</v>
      </c>
      <c r="C577" s="72" t="s">
        <v>4877</v>
      </c>
      <c r="D577" s="33" t="s">
        <v>4878</v>
      </c>
      <c r="E577" s="69" t="str">
        <f>RIGHT(บันทึกนำเข้าDrawing[[#This Row],[Drawing No]],1)</f>
        <v>0</v>
      </c>
      <c r="F577" s="94" t="s">
        <v>4883</v>
      </c>
      <c r="G577" s="118" t="s">
        <v>4027</v>
      </c>
      <c r="H577" s="80">
        <v>44964</v>
      </c>
      <c r="I577" s="29" t="str">
        <f>CONCATENATE(บันทึกนำเข้าDrawing[[#This Row],[Part No]],"+",บันทึกนำเข้าDrawing[[#This Row],[Drawing No]])</f>
        <v>2B19D145-03+DR-TW-2B19D140-03-00</v>
      </c>
    </row>
    <row r="578" spans="1:9">
      <c r="A578" s="33">
        <v>579</v>
      </c>
      <c r="B578" s="85">
        <v>44798</v>
      </c>
      <c r="C578" s="72" t="s">
        <v>4877</v>
      </c>
      <c r="D578" s="4" t="s">
        <v>4879</v>
      </c>
      <c r="E578" s="69" t="str">
        <f>RIGHT(บันทึกนำเข้าDrawing[[#This Row],[Drawing No]],1)</f>
        <v>0</v>
      </c>
      <c r="F578" s="66" t="s">
        <v>4753</v>
      </c>
      <c r="G578" s="118" t="s">
        <v>3779</v>
      </c>
      <c r="H578" s="80"/>
      <c r="I578" s="29" t="str">
        <f>CONCATENATE(บันทึกนำเข้าDrawing[[#This Row],[Part No]],"+",บันทึกนำเข้าDrawing[[#This Row],[Drawing No]])</f>
        <v>2B19D155-03+DR-TW-2B19D140-03-00</v>
      </c>
    </row>
    <row r="579" spans="1:9">
      <c r="A579" s="33">
        <v>580</v>
      </c>
      <c r="B579" s="85">
        <v>44798</v>
      </c>
      <c r="C579" s="72" t="s">
        <v>4877</v>
      </c>
      <c r="D579" s="4" t="s">
        <v>4880</v>
      </c>
      <c r="E579" s="69" t="str">
        <f>RIGHT(บันทึกนำเข้าDrawing[[#This Row],[Drawing No]],1)</f>
        <v>0</v>
      </c>
      <c r="F579" s="66" t="s">
        <v>4754</v>
      </c>
      <c r="G579" s="118" t="s">
        <v>4027</v>
      </c>
      <c r="H579" s="80">
        <v>44833</v>
      </c>
      <c r="I579" s="29" t="str">
        <f>CONCATENATE(บันทึกนำเข้าDrawing[[#This Row],[Part No]],"+",บันทึกนำเข้าDrawing[[#This Row],[Drawing No]])</f>
        <v>2B19D160-03+DR-TW-2B19D140-03-00</v>
      </c>
    </row>
    <row r="580" spans="1:9">
      <c r="A580" s="33">
        <v>581</v>
      </c>
      <c r="B580" s="85">
        <v>44798</v>
      </c>
      <c r="C580" s="72" t="s">
        <v>4877</v>
      </c>
      <c r="D580" s="4" t="s">
        <v>4881</v>
      </c>
      <c r="E580" s="69" t="str">
        <f>RIGHT(บันทึกนำเข้าDrawing[[#This Row],[Drawing No]],1)</f>
        <v>0</v>
      </c>
      <c r="F580" s="66" t="s">
        <v>4755</v>
      </c>
      <c r="G580" s="118" t="s">
        <v>4027</v>
      </c>
      <c r="H580" s="85">
        <v>45720</v>
      </c>
      <c r="I580" s="29" t="str">
        <f>CONCATENATE(บันทึกนำเข้าDrawing[[#This Row],[Part No]],"+",บันทึกนำเข้าDrawing[[#This Row],[Drawing No]])</f>
        <v>2B19D165-03+DR-TW-2B19D140-03-00</v>
      </c>
    </row>
    <row r="581" spans="1:9">
      <c r="A581" s="33">
        <v>582</v>
      </c>
      <c r="B581" s="85">
        <v>44798</v>
      </c>
      <c r="C581" s="72" t="s">
        <v>4877</v>
      </c>
      <c r="D581" s="4" t="s">
        <v>4882</v>
      </c>
      <c r="E581" s="69" t="str">
        <f>RIGHT(บันทึกนำเข้าDrawing[[#This Row],[Drawing No]],1)</f>
        <v>0</v>
      </c>
      <c r="F581" s="66" t="s">
        <v>533</v>
      </c>
      <c r="G581" s="118" t="s">
        <v>4027</v>
      </c>
      <c r="H581" s="80">
        <v>44833</v>
      </c>
      <c r="I581" s="29" t="str">
        <f>CONCATENATE(บันทึกนำเข้าDrawing[[#This Row],[Part No]],"+",บันทึกนำเข้าDrawing[[#This Row],[Drawing No]])</f>
        <v>2B19D170-03+DR-TW-2B19D140-03-00</v>
      </c>
    </row>
    <row r="582" spans="1:9">
      <c r="A582" s="33">
        <v>583</v>
      </c>
      <c r="B582" s="85">
        <v>44798</v>
      </c>
      <c r="C582" s="72" t="s">
        <v>4877</v>
      </c>
      <c r="D582" s="4" t="s">
        <v>4884</v>
      </c>
      <c r="E582" s="69" t="str">
        <f>RIGHT(บันทึกนำเข้าDrawing[[#This Row],[Drawing No]],1)</f>
        <v>0</v>
      </c>
      <c r="F582" s="66" t="s">
        <v>4756</v>
      </c>
      <c r="G582" s="118" t="s">
        <v>4027</v>
      </c>
      <c r="H582" s="80">
        <v>44957</v>
      </c>
      <c r="I582" s="29" t="str">
        <f>CONCATENATE(บันทึกนำเข้าDrawing[[#This Row],[Part No]],"+",บันทึกนำเข้าDrawing[[#This Row],[Drawing No]])</f>
        <v>2B19D180-03+DR-TW-2B19D140-03-00</v>
      </c>
    </row>
    <row r="583" spans="1:9">
      <c r="A583" s="33">
        <v>584</v>
      </c>
      <c r="B583" s="85">
        <v>44804</v>
      </c>
      <c r="C583" s="72" t="s">
        <v>4886</v>
      </c>
      <c r="D583" s="33" t="s">
        <v>4887</v>
      </c>
      <c r="E583" s="69" t="str">
        <f>RIGHT(บันทึกนำเข้าDrawing[[#This Row],[Drawing No]],1)</f>
        <v>0</v>
      </c>
      <c r="F583" s="68" t="s">
        <v>4888</v>
      </c>
      <c r="G583" s="118" t="s">
        <v>4027</v>
      </c>
      <c r="H583" s="80">
        <v>44809</v>
      </c>
      <c r="I583" s="29" t="str">
        <f>CONCATENATE(บันทึกนำเข้าDrawing[[#This Row],[Part No]],"+",บันทึกนำเข้าDrawing[[#This Row],[Drawing No]])</f>
        <v>2B69M219-01+DR-TW-2B69M219-01-00</v>
      </c>
    </row>
    <row r="584" spans="1:9">
      <c r="A584" s="33">
        <v>585</v>
      </c>
      <c r="B584" s="85">
        <v>44809</v>
      </c>
      <c r="C584" s="72" t="s">
        <v>4889</v>
      </c>
      <c r="D584" s="33" t="s">
        <v>890</v>
      </c>
      <c r="E584" s="33" t="str">
        <f>RIGHT(บันทึกนำเข้าDrawing[[#This Row],[Drawing No]],1)</f>
        <v>0</v>
      </c>
      <c r="F584" s="73" t="s">
        <v>4890</v>
      </c>
      <c r="G584" s="118" t="s">
        <v>3772</v>
      </c>
      <c r="H584" s="74"/>
      <c r="I584" s="29" t="str">
        <f>CONCATENATE(บันทึกนำเข้าDrawing[[#This Row],[Part No]],"+",บันทึกนำเข้าDrawing[[#This Row],[Drawing No]])</f>
        <v>2B25-161-00+DR-TW-2B25-161-00-00</v>
      </c>
    </row>
    <row r="585" spans="1:9">
      <c r="A585" s="33">
        <v>586</v>
      </c>
      <c r="B585" s="71">
        <v>44810</v>
      </c>
      <c r="C585" s="72" t="s">
        <v>4891</v>
      </c>
      <c r="D585" s="33" t="s">
        <v>4892</v>
      </c>
      <c r="E585" s="69" t="str">
        <f>RIGHT(บันทึกนำเข้าDrawing[[#This Row],[Drawing No]],1)</f>
        <v>0</v>
      </c>
      <c r="F585" s="68" t="s">
        <v>4893</v>
      </c>
      <c r="G585" s="118" t="s">
        <v>4029</v>
      </c>
      <c r="H585" s="80"/>
      <c r="I585" s="29" t="str">
        <f>CONCATENATE(บันทึกนำเข้าDrawing[[#This Row],[Part No]],"+",บันทึกนำเข้าDrawing[[#This Row],[Drawing No]])</f>
        <v>2B69M056-00+DR-TW-2B69M056-00-00</v>
      </c>
    </row>
    <row r="586" spans="1:9">
      <c r="A586" s="33">
        <v>587</v>
      </c>
      <c r="B586" s="85">
        <v>44810</v>
      </c>
      <c r="C586" s="72" t="s">
        <v>4077</v>
      </c>
      <c r="D586" s="33" t="s">
        <v>4135</v>
      </c>
      <c r="E586" s="69" t="str">
        <f>RIGHT(บันทึกนำเข้าDrawing[[#This Row],[Drawing No]],1)</f>
        <v>0</v>
      </c>
      <c r="F586" s="84" t="s">
        <v>4894</v>
      </c>
      <c r="G586" s="118" t="s">
        <v>4521</v>
      </c>
      <c r="H586" s="80"/>
      <c r="I586" s="29" t="str">
        <f>CONCATENATE(บันทึกนำเข้าDrawing[[#This Row],[Part No]],"+",บันทึกนำเข้าDrawing[[#This Row],[Drawing No]])</f>
        <v>2B69M036-00+DR-TW-2B69M036-00-00</v>
      </c>
    </row>
    <row r="587" spans="1:9">
      <c r="A587" s="33">
        <v>588</v>
      </c>
      <c r="B587" s="85">
        <v>44818</v>
      </c>
      <c r="C587" s="72" t="s">
        <v>4900</v>
      </c>
      <c r="D587" s="33" t="s">
        <v>4901</v>
      </c>
      <c r="E587" s="69" t="str">
        <f>RIGHT(บันทึกนำเข้าDrawing[[#This Row],[Drawing No]],1)</f>
        <v>0</v>
      </c>
      <c r="F587" s="68" t="s">
        <v>4902</v>
      </c>
      <c r="G587" s="118" t="s">
        <v>4521</v>
      </c>
      <c r="H587" s="80"/>
      <c r="I587" s="29" t="str">
        <f>CONCATENATE(บันทึกนำเข้าDrawing[[#This Row],[Part No]],"+",บันทึกนำเข้าDrawing[[#This Row],[Drawing No]])</f>
        <v>2B69M057-00+DR-TW-2B69M057-00-00</v>
      </c>
    </row>
    <row r="588" spans="1:9">
      <c r="A588" s="33">
        <v>589</v>
      </c>
      <c r="B588" s="85">
        <v>44818</v>
      </c>
      <c r="C588" s="72" t="s">
        <v>4903</v>
      </c>
      <c r="D588" s="33" t="s">
        <v>4904</v>
      </c>
      <c r="E588" s="69" t="str">
        <f>RIGHT(บันทึกนำเข้าDrawing[[#This Row],[Drawing No]],1)</f>
        <v>0</v>
      </c>
      <c r="F588" s="73" t="s">
        <v>4905</v>
      </c>
      <c r="G588" s="118" t="s">
        <v>4521</v>
      </c>
      <c r="H588" s="80"/>
      <c r="I588" s="29" t="str">
        <f>CONCATENATE(บันทึกนำเข้าDrawing[[#This Row],[Part No]],"+",บันทึกนำเข้าDrawing[[#This Row],[Drawing No]])</f>
        <v>2B69M058-00+DR-TW-2B69M058-00-00</v>
      </c>
    </row>
    <row r="589" spans="1:9">
      <c r="A589" s="33">
        <v>590</v>
      </c>
      <c r="B589" s="85">
        <v>44819</v>
      </c>
      <c r="C589" s="72" t="s">
        <v>4906</v>
      </c>
      <c r="D589" s="33" t="s">
        <v>4907</v>
      </c>
      <c r="E589" s="69" t="str">
        <f>RIGHT(บันทึกนำเข้าDrawing[[#This Row],[Drawing No]],1)</f>
        <v>0</v>
      </c>
      <c r="F589" s="73" t="s">
        <v>4858</v>
      </c>
      <c r="G589" s="118" t="s">
        <v>4027</v>
      </c>
      <c r="H589" s="80">
        <v>44820</v>
      </c>
      <c r="I589" s="29" t="str">
        <f>CONCATENATE(บันทึกนำเข้าDrawing[[#This Row],[Part No]],"+",บันทึกนำเข้าDrawing[[#This Row],[Drawing No]])</f>
        <v>2B25-193-00+DR-TW-2B25-193-00-00</v>
      </c>
    </row>
    <row r="590" spans="1:9">
      <c r="A590" s="33">
        <v>591</v>
      </c>
      <c r="B590" s="85">
        <v>44819</v>
      </c>
      <c r="C590" s="72" t="s">
        <v>4908</v>
      </c>
      <c r="D590" s="33" t="s">
        <v>4909</v>
      </c>
      <c r="E590" s="69" t="str">
        <f>RIGHT(บันทึกนำเข้าDrawing[[#This Row],[Drawing No]],1)</f>
        <v>0</v>
      </c>
      <c r="F590" s="84" t="s">
        <v>4861</v>
      </c>
      <c r="G590" s="118" t="s">
        <v>4027</v>
      </c>
      <c r="H590" s="80">
        <v>44820</v>
      </c>
      <c r="I590" s="29" t="str">
        <f>CONCATENATE(บันทึกนำเข้าDrawing[[#This Row],[Part No]],"+",บันทึกนำเข้าDrawing[[#This Row],[Drawing No]])</f>
        <v>2B25-274-00+DR-TW-2B25-274-00-00</v>
      </c>
    </row>
    <row r="591" spans="1:9">
      <c r="A591" s="33">
        <v>592</v>
      </c>
      <c r="B591" s="85">
        <v>44826</v>
      </c>
      <c r="C591" s="72" t="s">
        <v>4910</v>
      </c>
      <c r="D591" s="33" t="s">
        <v>4912</v>
      </c>
      <c r="E591" s="69" t="str">
        <f>RIGHT(บันทึกนำเข้าDrawing[[#This Row],[Drawing No]],1)</f>
        <v>0</v>
      </c>
      <c r="F591" s="68" t="s">
        <v>4911</v>
      </c>
      <c r="G591" s="118" t="s">
        <v>4027</v>
      </c>
      <c r="H591" s="80">
        <v>44830</v>
      </c>
      <c r="I591" s="29" t="str">
        <f>CONCATENATE(บันทึกนำเข้าDrawing[[#This Row],[Part No]],"+",บันทึกนำเข้าDrawing[[#This Row],[Drawing No]])</f>
        <v>2B69M268-00+DR-TW-2B69M268-00-00</v>
      </c>
    </row>
    <row r="592" spans="1:9">
      <c r="A592" s="33">
        <v>593</v>
      </c>
      <c r="B592" s="71">
        <v>44826</v>
      </c>
      <c r="C592" s="72" t="s">
        <v>4913</v>
      </c>
      <c r="D592" s="33" t="s">
        <v>4914</v>
      </c>
      <c r="E592" s="69" t="str">
        <f>RIGHT(บันทึกนำเข้าDrawing[[#This Row],[Drawing No]],1)</f>
        <v>0</v>
      </c>
      <c r="F592" s="68" t="s">
        <v>4915</v>
      </c>
      <c r="G592" s="118" t="s">
        <v>4521</v>
      </c>
      <c r="H592" s="80"/>
      <c r="I592" s="29" t="str">
        <f>CONCATENATE(บันทึกนำเข้าDrawing[[#This Row],[Part No]],"+",บันทึกนำเข้าDrawing[[#This Row],[Drawing No]])</f>
        <v>2B69M269-00+DR-TW-2B69M269-00-00</v>
      </c>
    </row>
    <row r="593" spans="1:9">
      <c r="A593" s="33">
        <v>594</v>
      </c>
      <c r="B593" s="85">
        <v>44826</v>
      </c>
      <c r="C593" s="72" t="s">
        <v>4916</v>
      </c>
      <c r="D593" s="33" t="s">
        <v>4917</v>
      </c>
      <c r="E593" s="69" t="str">
        <f>RIGHT(บันทึกนำเข้าDrawing[[#This Row],[Drawing No]],1)</f>
        <v>0</v>
      </c>
      <c r="F593" s="84" t="s">
        <v>4918</v>
      </c>
      <c r="G593" s="118" t="s">
        <v>4027</v>
      </c>
      <c r="H593" s="80">
        <v>44830</v>
      </c>
      <c r="I593" s="29" t="str">
        <f>CONCATENATE(บันทึกนำเข้าDrawing[[#This Row],[Part No]],"+",บันทึกนำเข้าDrawing[[#This Row],[Drawing No]])</f>
        <v>2B69M272-00+DR-TW-2B69M272-00-00</v>
      </c>
    </row>
    <row r="594" spans="1:9">
      <c r="A594" s="33">
        <v>595</v>
      </c>
      <c r="B594" s="85">
        <v>44830</v>
      </c>
      <c r="C594" s="72" t="s">
        <v>4920</v>
      </c>
      <c r="D594" s="33" t="s">
        <v>4921</v>
      </c>
      <c r="E594" s="69" t="str">
        <f>RIGHT(บันทึกนำเข้าDrawing[[#This Row],[Drawing No]],1)</f>
        <v>0</v>
      </c>
      <c r="F594" s="84" t="s">
        <v>4922</v>
      </c>
      <c r="G594" s="118" t="s">
        <v>4521</v>
      </c>
      <c r="H594" s="80"/>
      <c r="I594" s="29" t="str">
        <f>CONCATENATE(บันทึกนำเข้าDrawing[[#This Row],[Part No]],"+",บันทึกนำเข้าDrawing[[#This Row],[Drawing No]])</f>
        <v>2B69M274-00+DR-TW-2B69M274-00-00</v>
      </c>
    </row>
    <row r="595" spans="1:9">
      <c r="A595" s="33">
        <v>596</v>
      </c>
      <c r="B595" s="85">
        <v>44833</v>
      </c>
      <c r="C595" s="72" t="s">
        <v>4282</v>
      </c>
      <c r="D595" s="33" t="s">
        <v>2134</v>
      </c>
      <c r="E595" s="69" t="str">
        <f>RIGHT(บันทึกนำเข้าDrawing[[#This Row],[Drawing No]],1)</f>
        <v>3</v>
      </c>
      <c r="F595" s="68" t="s">
        <v>4924</v>
      </c>
      <c r="G595" s="118" t="s">
        <v>4027</v>
      </c>
      <c r="H595" s="80">
        <v>44377</v>
      </c>
      <c r="I595" s="29" t="str">
        <f>CONCATENATE(บันทึกนำเข้าDrawing[[#This Row],[Part No]],"+",บันทึกนำเข้าDrawing[[#This Row],[Drawing No]])</f>
        <v>2B48-208-00+DR-TW-2B48-207-01-03</v>
      </c>
    </row>
    <row r="596" spans="1:9">
      <c r="A596" s="33">
        <v>597</v>
      </c>
      <c r="B596" s="85">
        <v>44837</v>
      </c>
      <c r="C596" s="72" t="s">
        <v>4934</v>
      </c>
      <c r="D596" s="33" t="s">
        <v>4935</v>
      </c>
      <c r="E596" s="69" t="str">
        <f>RIGHT(บันทึกนำเข้าDrawing[[#This Row],[Drawing No]],1)</f>
        <v>0</v>
      </c>
      <c r="F596" s="68" t="s">
        <v>4936</v>
      </c>
      <c r="G596" s="118" t="s">
        <v>4027</v>
      </c>
      <c r="H596" s="80">
        <v>44958</v>
      </c>
      <c r="I596" s="29" t="str">
        <f>CONCATENATE(บันทึกนำเข้าDrawing[[#This Row],[Part No]],"+",บันทึกนำเข้าDrawing[[#This Row],[Drawing No]])</f>
        <v>2B26-360-00+DR-TW-2B26-360-00-00</v>
      </c>
    </row>
    <row r="597" spans="1:9">
      <c r="A597" s="33">
        <v>598</v>
      </c>
      <c r="B597" s="85">
        <v>44837</v>
      </c>
      <c r="C597" s="72" t="s">
        <v>4937</v>
      </c>
      <c r="D597" s="33" t="s">
        <v>4938</v>
      </c>
      <c r="E597" s="69" t="str">
        <f>RIGHT(บันทึกนำเข้าDrawing[[#This Row],[Drawing No]],1)</f>
        <v>0</v>
      </c>
      <c r="F597" s="68" t="s">
        <v>4939</v>
      </c>
      <c r="G597" s="118" t="s">
        <v>3772</v>
      </c>
      <c r="H597" s="80"/>
      <c r="I597" s="29" t="str">
        <f>CONCATENATE(บันทึกนำเข้าDrawing[[#This Row],[Part No]],"+",บันทึกนำเข้าDrawing[[#This Row],[Drawing No]])</f>
        <v>2B25-269-00+DR-TW-2B25-069-00-00</v>
      </c>
    </row>
    <row r="598" spans="1:9">
      <c r="A598" s="33">
        <v>599</v>
      </c>
      <c r="B598" s="85">
        <v>45266</v>
      </c>
      <c r="C598" s="72" t="s">
        <v>4941</v>
      </c>
      <c r="D598" s="33" t="s">
        <v>4942</v>
      </c>
      <c r="E598" s="69" t="str">
        <f>RIGHT(บันทึกนำเข้าDrawing[[#This Row],[Drawing No]],1)</f>
        <v>0</v>
      </c>
      <c r="F598" s="68" t="s">
        <v>4794</v>
      </c>
      <c r="G598" s="118" t="s">
        <v>4027</v>
      </c>
      <c r="H598" s="83">
        <v>45275</v>
      </c>
      <c r="I598" s="29" t="str">
        <f>CONCATENATE(บันทึกนำเข้าDrawing[[#This Row],[Part No]],"+",บันทึกนำเข้าDrawing[[#This Row],[Drawing No]])</f>
        <v>2B25-283-00+DR-TW-2B25-283-00-00</v>
      </c>
    </row>
    <row r="599" spans="1:9">
      <c r="A599" s="33">
        <v>600</v>
      </c>
      <c r="B599" s="85">
        <v>44837</v>
      </c>
      <c r="C599" s="72" t="s">
        <v>4943</v>
      </c>
      <c r="D599" s="33" t="s">
        <v>4944</v>
      </c>
      <c r="E599" s="69" t="str">
        <f>RIGHT(บันทึกนำเข้าDrawing[[#This Row],[Drawing No]],1)</f>
        <v>0</v>
      </c>
      <c r="F599" s="68" t="s">
        <v>4739</v>
      </c>
      <c r="G599" s="118" t="s">
        <v>4027</v>
      </c>
      <c r="H599" s="80">
        <v>45244</v>
      </c>
      <c r="I599" s="29" t="str">
        <f>CONCATENATE(บันทึกนำเข้าDrawing[[#This Row],[Part No]],"+",บันทึกนำเข้าDrawing[[#This Row],[Drawing No]])</f>
        <v>2B25-525-00+DR-TW-2B25-525-00-00</v>
      </c>
    </row>
    <row r="600" spans="1:9">
      <c r="A600" s="33">
        <v>601</v>
      </c>
      <c r="B600" s="85">
        <v>44837</v>
      </c>
      <c r="C600" s="72" t="s">
        <v>4945</v>
      </c>
      <c r="D600" s="33" t="s">
        <v>4946</v>
      </c>
      <c r="E600" s="69" t="str">
        <f>RIGHT(บันทึกนำเข้าDrawing[[#This Row],[Drawing No]],1)</f>
        <v>0</v>
      </c>
      <c r="F600" s="68" t="s">
        <v>4947</v>
      </c>
      <c r="G600" s="118" t="s">
        <v>4027</v>
      </c>
      <c r="H600" s="80">
        <v>45379</v>
      </c>
      <c r="I600" s="29" t="str">
        <f>CONCATENATE(บันทึกนำเข้าDrawing[[#This Row],[Part No]],"+",บันทึกนำเข้าDrawing[[#This Row],[Drawing No]])</f>
        <v>2B25-526-00+DR-TW-2B25-526-00-00</v>
      </c>
    </row>
    <row r="601" spans="1:9">
      <c r="A601" s="33">
        <v>602</v>
      </c>
      <c r="B601" s="85">
        <v>44838</v>
      </c>
      <c r="C601" s="72" t="s">
        <v>5044</v>
      </c>
      <c r="D601" s="33" t="s">
        <v>5045</v>
      </c>
      <c r="E601" s="69" t="str">
        <f>RIGHT(บันทึกนำเข้าDrawing[[#This Row],[Drawing No]],1)</f>
        <v>0</v>
      </c>
      <c r="F601" s="68" t="s">
        <v>3982</v>
      </c>
      <c r="G601" s="118" t="s">
        <v>3779</v>
      </c>
      <c r="H601" s="80"/>
      <c r="I601" s="29" t="str">
        <f>CONCATENATE(บันทึกนำเข้าDrawing[[#This Row],[Part No]],"+",บันทึกนำเข้าDrawing[[#This Row],[Drawing No]])</f>
        <v>2B26-370-01+DR-TW-2B26-370-01-00</v>
      </c>
    </row>
    <row r="602" spans="1:9">
      <c r="A602" s="33">
        <v>603</v>
      </c>
      <c r="B602" s="85">
        <v>44838</v>
      </c>
      <c r="C602" s="72" t="s">
        <v>5046</v>
      </c>
      <c r="D602" s="33" t="s">
        <v>5047</v>
      </c>
      <c r="E602" s="69" t="str">
        <f>RIGHT(บันทึกนำเข้าDrawing[[#This Row],[Drawing No]],1)</f>
        <v>0</v>
      </c>
      <c r="F602" s="68" t="s">
        <v>2508</v>
      </c>
      <c r="G602" s="118" t="s">
        <v>3779</v>
      </c>
      <c r="H602" s="80"/>
      <c r="I602" s="29" t="str">
        <f>CONCATENATE(บันทึกนำเข้าDrawing[[#This Row],[Part No]],"+",บันทึกนำเข้าDrawing[[#This Row],[Drawing No]])</f>
        <v>2B25-284-01+DR-TW-2B25-284-01-00</v>
      </c>
    </row>
    <row r="603" spans="1:9">
      <c r="A603" s="33">
        <v>604</v>
      </c>
      <c r="B603" s="85">
        <v>44838</v>
      </c>
      <c r="C603" s="75" t="s">
        <v>5048</v>
      </c>
      <c r="D603" s="33" t="s">
        <v>5049</v>
      </c>
      <c r="E603" s="69" t="str">
        <f>RIGHT(บันทึกนำเข้าDrawing[[#This Row],[Drawing No]],1)</f>
        <v>0</v>
      </c>
      <c r="F603" s="68" t="s">
        <v>3977</v>
      </c>
      <c r="G603" s="118" t="s">
        <v>3779</v>
      </c>
      <c r="H603" s="80"/>
      <c r="I603" s="29" t="str">
        <f>CONCATENATE(บันทึกนำเข้าDrawing[[#This Row],[Part No]],"+",บันทึกนำเข้าDrawing[[#This Row],[Drawing No]])</f>
        <v>2B26-340-02+DR-TW-2B26-340-02-00</v>
      </c>
    </row>
    <row r="604" spans="1:9">
      <c r="A604" s="33">
        <v>605</v>
      </c>
      <c r="B604" s="85">
        <v>44838</v>
      </c>
      <c r="C604" s="72" t="s">
        <v>5050</v>
      </c>
      <c r="D604" s="33" t="s">
        <v>5051</v>
      </c>
      <c r="E604" s="69" t="str">
        <f>RIGHT(บันทึกนำเข้าDrawing[[#This Row],[Drawing No]],1)</f>
        <v>0</v>
      </c>
      <c r="F604" s="68" t="s">
        <v>3932</v>
      </c>
      <c r="G604" s="118" t="s">
        <v>3779</v>
      </c>
      <c r="H604" s="80"/>
      <c r="I604" s="29" t="str">
        <f>CONCATENATE(บันทึกนำเข้าDrawing[[#This Row],[Part No]],"+",บันทึกนำเข้าDrawing[[#This Row],[Drawing No]])</f>
        <v>2B26-371-01+DR-TW-2B26-371-01-00</v>
      </c>
    </row>
    <row r="605" spans="1:9">
      <c r="A605" s="33">
        <v>606</v>
      </c>
      <c r="B605" s="85">
        <v>44840</v>
      </c>
      <c r="C605" s="72" t="s">
        <v>4950</v>
      </c>
      <c r="D605" s="33" t="s">
        <v>4275</v>
      </c>
      <c r="E605" s="69" t="str">
        <f>RIGHT(บันทึกนำเข้าDrawing[[#This Row],[Drawing No]],1)</f>
        <v>0</v>
      </c>
      <c r="F605" s="68" t="s">
        <v>4951</v>
      </c>
      <c r="G605" s="118" t="s">
        <v>4521</v>
      </c>
      <c r="H605" s="80"/>
      <c r="I605" s="29" t="str">
        <f>CONCATENATE(บันทึกนำเข้าDrawing[[#This Row],[Part No]],"+",บันทึกนำเข้าDrawing[[#This Row],[Drawing No]])</f>
        <v>2B69M090-00+DR-TW-2B69M090-00-00</v>
      </c>
    </row>
    <row r="606" spans="1:9">
      <c r="A606" s="33">
        <v>607</v>
      </c>
      <c r="B606" s="85">
        <v>44840</v>
      </c>
      <c r="C606" s="72" t="s">
        <v>4952</v>
      </c>
      <c r="D606" s="33" t="s">
        <v>4953</v>
      </c>
      <c r="E606" s="69" t="str">
        <f>RIGHT(บันทึกนำเข้าDrawing[[#This Row],[Drawing No]],1)</f>
        <v>0</v>
      </c>
      <c r="F606" s="68" t="s">
        <v>4954</v>
      </c>
      <c r="G606" s="118" t="s">
        <v>4521</v>
      </c>
      <c r="H606" s="80"/>
      <c r="I606" s="29" t="str">
        <f>CONCATENATE(บันทึกนำเข้าDrawing[[#This Row],[Part No]],"+",บันทึกนำเข้าDrawing[[#This Row],[Drawing No]])</f>
        <v>2B69M100-00+DR-TW-2B69M100-00-00</v>
      </c>
    </row>
    <row r="607" spans="1:9">
      <c r="A607" s="33">
        <v>608</v>
      </c>
      <c r="B607" s="85">
        <v>44846</v>
      </c>
      <c r="C607" s="72" t="s">
        <v>4955</v>
      </c>
      <c r="D607" s="33" t="s">
        <v>2169</v>
      </c>
      <c r="E607" s="69" t="str">
        <f>RIGHT(บันทึกนำเข้าDrawing[[#This Row],[Drawing No]],1)</f>
        <v>3</v>
      </c>
      <c r="F607" s="68" t="s">
        <v>4023</v>
      </c>
      <c r="G607" s="118" t="s">
        <v>4029</v>
      </c>
      <c r="H607" s="80"/>
      <c r="I607" s="29" t="str">
        <f>CONCATENATE(บันทึกนำเข้าDrawing[[#This Row],[Part No]],"+",บันทึกนำเข้าDrawing[[#This Row],[Drawing No]])</f>
        <v>2B55-205-00+DR-TW-2B55-205-00-03</v>
      </c>
    </row>
    <row r="608" spans="1:9">
      <c r="A608" s="33">
        <v>609</v>
      </c>
      <c r="B608" s="85">
        <v>44846</v>
      </c>
      <c r="C608" s="72" t="s">
        <v>4955</v>
      </c>
      <c r="D608" s="33" t="s">
        <v>4468</v>
      </c>
      <c r="E608" s="69" t="str">
        <f>RIGHT(บันทึกนำเข้าDrawing[[#This Row],[Drawing No]],1)</f>
        <v>3</v>
      </c>
      <c r="F608" s="68" t="s">
        <v>4469</v>
      </c>
      <c r="G608" s="118" t="s">
        <v>3779</v>
      </c>
      <c r="H608" s="80"/>
      <c r="I608" s="29" t="str">
        <f>CONCATENATE(บันทึกนำเข้าDrawing[[#This Row],[Part No]],"+",บันทึกนำเข้าDrawing[[#This Row],[Drawing No]])</f>
        <v>2B55-200-00+DR-TW-2B55-205-00-03</v>
      </c>
    </row>
    <row r="609" spans="1:9">
      <c r="A609" s="33">
        <v>610</v>
      </c>
      <c r="B609" s="85">
        <v>44846</v>
      </c>
      <c r="C609" s="72" t="s">
        <v>4955</v>
      </c>
      <c r="D609" s="33" t="s">
        <v>4956</v>
      </c>
      <c r="E609" s="69" t="str">
        <f>RIGHT(บันทึกนำเข้าDrawing[[#This Row],[Drawing No]],1)</f>
        <v>3</v>
      </c>
      <c r="F609" s="68" t="s">
        <v>4957</v>
      </c>
      <c r="G609" s="118" t="s">
        <v>3779</v>
      </c>
      <c r="H609" s="80"/>
      <c r="I609" s="29" t="str">
        <f>CONCATENATE(บันทึกนำเข้าDrawing[[#This Row],[Part No]],"+",บันทึกนำเข้าDrawing[[#This Row],[Drawing No]])</f>
        <v>2B55-195-00+DR-TW-2B55-205-00-03</v>
      </c>
    </row>
    <row r="610" spans="1:9">
      <c r="A610" s="33">
        <v>611</v>
      </c>
      <c r="B610" s="85">
        <v>44846</v>
      </c>
      <c r="C610" s="72" t="s">
        <v>4960</v>
      </c>
      <c r="D610" s="33" t="s">
        <v>4961</v>
      </c>
      <c r="E610" s="69" t="str">
        <f>RIGHT(บันทึกนำเข้าDrawing[[#This Row],[Drawing No]],1)</f>
        <v>1</v>
      </c>
      <c r="F610" s="68" t="s">
        <v>4962</v>
      </c>
      <c r="G610" s="118" t="s">
        <v>3772</v>
      </c>
      <c r="H610" s="80"/>
      <c r="I610" s="29" t="str">
        <f>CONCATENATE(บันทึกนำเข้าDrawing[[#This Row],[Part No]],"+",บันทึกนำเข้าDrawing[[#This Row],[Drawing No]])</f>
        <v>2B29-230-00+DR-TW-2B29-230-00-01</v>
      </c>
    </row>
    <row r="611" spans="1:9">
      <c r="A611" s="33">
        <v>612</v>
      </c>
      <c r="B611" s="85">
        <v>44862</v>
      </c>
      <c r="C611" s="72" t="s">
        <v>4963</v>
      </c>
      <c r="D611" s="33" t="s">
        <v>4964</v>
      </c>
      <c r="E611" s="69" t="str">
        <f>RIGHT(บันทึกนำเข้าDrawing[[#This Row],[Drawing No]],1)</f>
        <v>0</v>
      </c>
      <c r="F611" s="68" t="s">
        <v>4965</v>
      </c>
      <c r="G611" s="118" t="s">
        <v>4521</v>
      </c>
      <c r="H611" s="80"/>
      <c r="I611" s="29" t="str">
        <f>CONCATENATE(บันทึกนำเข้าDrawing[[#This Row],[Part No]],"+",บันทึกนำเข้าDrawing[[#This Row],[Drawing No]])</f>
        <v>2B69M298-00+DR-TW-2B69M298-00-00</v>
      </c>
    </row>
    <row r="612" spans="1:9">
      <c r="A612" s="33">
        <v>613</v>
      </c>
      <c r="B612" s="85">
        <v>44870</v>
      </c>
      <c r="C612" s="72" t="s">
        <v>5110</v>
      </c>
      <c r="D612" s="33" t="s">
        <v>5111</v>
      </c>
      <c r="E612" s="69" t="str">
        <f>RIGHT(บันทึกนำเข้าDrawing[[#This Row],[Drawing No]],1)</f>
        <v>0</v>
      </c>
      <c r="F612" s="73" t="s">
        <v>3873</v>
      </c>
      <c r="G612" s="118" t="s">
        <v>4027</v>
      </c>
      <c r="H612" s="80">
        <v>45055</v>
      </c>
      <c r="I612" s="29" t="str">
        <f>CONCATENATE(บันทึกนำเข้าDrawing[[#This Row],[Part No]],"+",บันทึกนำเข้าDrawing[[#This Row],[Drawing No]])</f>
        <v>2B26-124-04+DR-TW-2B26-124-04-00</v>
      </c>
    </row>
    <row r="613" spans="1:9">
      <c r="A613" s="33">
        <v>614</v>
      </c>
      <c r="B613" s="85">
        <v>44870</v>
      </c>
      <c r="C613" s="72" t="s">
        <v>5110</v>
      </c>
      <c r="D613" s="33" t="s">
        <v>5112</v>
      </c>
      <c r="E613" s="69" t="str">
        <f>RIGHT(บันทึกนำเข้าDrawing[[#This Row],[Drawing No]],1)</f>
        <v>0</v>
      </c>
      <c r="F613" s="68" t="s">
        <v>3871</v>
      </c>
      <c r="G613" s="118" t="s">
        <v>4027</v>
      </c>
      <c r="H613" s="80">
        <v>44965</v>
      </c>
      <c r="I613" s="29" t="str">
        <f>CONCATENATE(บันทึกนำเข้าDrawing[[#This Row],[Part No]],"+",บันทึกนำเข้าDrawing[[#This Row],[Drawing No]])</f>
        <v>2B26-122-08+DR-TW-2B26-124-04-00</v>
      </c>
    </row>
    <row r="614" spans="1:9">
      <c r="A614" s="33">
        <v>615</v>
      </c>
      <c r="B614" s="85">
        <v>44871</v>
      </c>
      <c r="C614" s="72" t="s">
        <v>4970</v>
      </c>
      <c r="D614" s="33" t="s">
        <v>4969</v>
      </c>
      <c r="E614" s="69" t="str">
        <f>RIGHT(บันทึกนำเข้าDrawing[[#This Row],[Drawing No]],1)</f>
        <v>0</v>
      </c>
      <c r="F614" s="68" t="s">
        <v>5026</v>
      </c>
      <c r="G614" s="118" t="s">
        <v>4029</v>
      </c>
      <c r="H614" s="80">
        <v>44877</v>
      </c>
      <c r="I614" s="29" t="str">
        <f>CONCATENATE(บันทึกนำเข้าDrawing[[#This Row],[Part No]],"+",บันทึกนำเข้าDrawing[[#This Row],[Drawing No]])</f>
        <v>2B26-248-04+DR-TW-2B26-248-04-00</v>
      </c>
    </row>
    <row r="615" spans="1:9">
      <c r="A615" s="33">
        <v>616</v>
      </c>
      <c r="B615" s="85">
        <v>44877</v>
      </c>
      <c r="C615" s="72" t="s">
        <v>4971</v>
      </c>
      <c r="D615" s="33" t="s">
        <v>4972</v>
      </c>
      <c r="E615" s="69" t="str">
        <f>RIGHT(บันทึกนำเข้าDrawing[[#This Row],[Drawing No]],1)</f>
        <v>0</v>
      </c>
      <c r="F615" s="68" t="s">
        <v>4973</v>
      </c>
      <c r="G615" s="118" t="s">
        <v>4521</v>
      </c>
      <c r="H615" s="80"/>
      <c r="I615" s="29" t="str">
        <f>CONCATENATE(บันทึกนำเข้าDrawing[[#This Row],[Part No]],"+",บันทึกนำเข้าDrawing[[#This Row],[Drawing No]])</f>
        <v>2B69M304-00+DR-TW-2B69M304-00-00</v>
      </c>
    </row>
    <row r="616" spans="1:9">
      <c r="A616" s="33">
        <v>617</v>
      </c>
      <c r="B616" s="85">
        <v>44877</v>
      </c>
      <c r="C616" s="72" t="s">
        <v>4976</v>
      </c>
      <c r="D616" s="33" t="s">
        <v>4974</v>
      </c>
      <c r="E616" s="69" t="str">
        <f>RIGHT(บันทึกนำเข้าDrawing[[#This Row],[Drawing No]],1)</f>
        <v>0</v>
      </c>
      <c r="F616" s="68" t="s">
        <v>4975</v>
      </c>
      <c r="G616" s="118" t="s">
        <v>4029</v>
      </c>
      <c r="H616" s="80"/>
      <c r="I616" s="29" t="str">
        <f>CONCATENATE(บันทึกนำเข้าDrawing[[#This Row],[Part No]],"+",บันทึกนำเข้าDrawing[[#This Row],[Drawing No]])</f>
        <v>2B69M305-00+DR-TW-2B69M305-00-00</v>
      </c>
    </row>
    <row r="617" spans="1:9">
      <c r="A617" s="33">
        <v>618</v>
      </c>
      <c r="B617" s="85">
        <v>44877</v>
      </c>
      <c r="C617" s="72" t="s">
        <v>4977</v>
      </c>
      <c r="D617" s="33" t="s">
        <v>4978</v>
      </c>
      <c r="E617" s="69" t="str">
        <f>RIGHT(บันทึกนำเข้าDrawing[[#This Row],[Drawing No]],1)</f>
        <v>0</v>
      </c>
      <c r="F617" s="68" t="s">
        <v>4979</v>
      </c>
      <c r="G617" s="118" t="s">
        <v>4521</v>
      </c>
      <c r="H617" s="80"/>
      <c r="I617" s="29" t="str">
        <f>CONCATENATE(บันทึกนำเข้าDrawing[[#This Row],[Part No]],"+",บันทึกนำเข้าDrawing[[#This Row],[Drawing No]])</f>
        <v>2B69M306-00+DR-TW-2B69M306-00-00</v>
      </c>
    </row>
    <row r="618" spans="1:9">
      <c r="A618" s="33">
        <v>619</v>
      </c>
      <c r="B618" s="85">
        <v>44881</v>
      </c>
      <c r="C618" s="72" t="s">
        <v>4980</v>
      </c>
      <c r="D618" s="33" t="s">
        <v>4981</v>
      </c>
      <c r="E618" s="69" t="str">
        <f>RIGHT(บันทึกนำเข้าDrawing[[#This Row],[Drawing No]],1)</f>
        <v>0</v>
      </c>
      <c r="F618" s="84" t="s">
        <v>4337</v>
      </c>
      <c r="G618" s="118" t="s">
        <v>3779</v>
      </c>
      <c r="H618" s="80"/>
      <c r="I618" s="29" t="str">
        <f>CONCATENATE(บันทึกนำเข้าDrawing[[#This Row],[Part No]],"+",บันทึกนำเข้าDrawing[[#This Row],[Drawing No]])</f>
        <v>2B26-030-01+DR-TW-2B26-030-01-00</v>
      </c>
    </row>
    <row r="619" spans="1:9">
      <c r="A619" s="33">
        <v>620</v>
      </c>
      <c r="B619" s="85">
        <v>44881</v>
      </c>
      <c r="C619" s="72" t="s">
        <v>4982</v>
      </c>
      <c r="D619" s="33" t="s">
        <v>4983</v>
      </c>
      <c r="E619" s="69" t="str">
        <f>RIGHT(บันทึกนำเข้าDrawing[[#This Row],[Drawing No]],1)</f>
        <v>0</v>
      </c>
      <c r="F619" s="68" t="s">
        <v>3869</v>
      </c>
      <c r="G619" s="118" t="s">
        <v>3779</v>
      </c>
      <c r="H619" s="80"/>
      <c r="I619" s="29" t="str">
        <f>CONCATENATE(บันทึกนำเข้าDrawing[[#This Row],[Part No]],"+",บันทึกนำเข้าDrawing[[#This Row],[Drawing No]])</f>
        <v>2B26-050-06+DR-TW-2B26-050-06-00</v>
      </c>
    </row>
    <row r="620" spans="1:9">
      <c r="A620" s="33">
        <v>621</v>
      </c>
      <c r="B620" s="85">
        <v>44881</v>
      </c>
      <c r="C620" s="82" t="s">
        <v>4984</v>
      </c>
      <c r="D620" s="33" t="s">
        <v>4985</v>
      </c>
      <c r="E620" s="69" t="str">
        <f>RIGHT(บันทึกนำเข้าDrawing[[#This Row],[Drawing No]],1)</f>
        <v>0</v>
      </c>
      <c r="F620" s="68" t="s">
        <v>4986</v>
      </c>
      <c r="G620" s="118" t="s">
        <v>3779</v>
      </c>
      <c r="H620" s="80"/>
      <c r="I620" s="29" t="str">
        <f>CONCATENATE(บันทึกนำเข้าDrawing[[#This Row],[Part No]],"+",บันทึกนำเข้าDrawing[[#This Row],[Drawing No]])</f>
        <v>2B26-061-05+DR-TW-2B26-061-05-00</v>
      </c>
    </row>
    <row r="621" spans="1:9">
      <c r="A621" s="33">
        <v>622</v>
      </c>
      <c r="B621" s="85">
        <v>44881</v>
      </c>
      <c r="C621" s="72" t="s">
        <v>4987</v>
      </c>
      <c r="D621" s="33" t="s">
        <v>4988</v>
      </c>
      <c r="E621" s="69" t="str">
        <f>RIGHT(บันทึกนำเข้าDrawing[[#This Row],[Drawing No]],1)</f>
        <v>0</v>
      </c>
      <c r="F621" s="73" t="s">
        <v>3134</v>
      </c>
      <c r="G621" s="118" t="s">
        <v>4029</v>
      </c>
      <c r="H621" s="80">
        <v>45040</v>
      </c>
      <c r="I621" s="29" t="str">
        <f>CONCATENATE(บันทึกนำเข้าDrawing[[#This Row],[Part No]],"+",บันทึกนำเข้าDrawing[[#This Row],[Drawing No]])</f>
        <v>2B26-062-05+DR-TW-2B26-062-05-00</v>
      </c>
    </row>
    <row r="622" spans="1:9">
      <c r="A622" s="33">
        <v>623</v>
      </c>
      <c r="B622" s="85">
        <v>44881</v>
      </c>
      <c r="C622" s="72" t="s">
        <v>4989</v>
      </c>
      <c r="D622" s="33" t="s">
        <v>4990</v>
      </c>
      <c r="E622" s="69" t="str">
        <f>RIGHT(บันทึกนำเข้าDrawing[[#This Row],[Drawing No]],1)</f>
        <v>0</v>
      </c>
      <c r="F622" s="68" t="s">
        <v>3136</v>
      </c>
      <c r="G622" s="118" t="s">
        <v>4027</v>
      </c>
      <c r="H622" s="80">
        <v>45040</v>
      </c>
      <c r="I622" s="29" t="str">
        <f>CONCATENATE(บันทึกนำเข้าDrawing[[#This Row],[Part No]],"+",บันทึกนำเข้าDrawing[[#This Row],[Drawing No]])</f>
        <v>2B26-063-05+DR-TW-2B26-063-05-00</v>
      </c>
    </row>
    <row r="623" spans="1:9">
      <c r="A623" s="33">
        <v>624</v>
      </c>
      <c r="B623" s="85">
        <v>44881</v>
      </c>
      <c r="C623" s="72" t="s">
        <v>4991</v>
      </c>
      <c r="D623" s="33" t="s">
        <v>4992</v>
      </c>
      <c r="E623" s="69" t="str">
        <f>RIGHT(บันทึกนำเข้าDrawing[[#This Row],[Drawing No]],1)</f>
        <v>0</v>
      </c>
      <c r="F623" s="84" t="s">
        <v>3967</v>
      </c>
      <c r="G623" s="118" t="s">
        <v>4027</v>
      </c>
      <c r="H623" s="80"/>
      <c r="I623" s="29" t="str">
        <f>CONCATENATE(บันทึกนำเข้าDrawing[[#This Row],[Part No]],"+",บันทึกนำเข้าDrawing[[#This Row],[Drawing No]])</f>
        <v>2B26-066-05+DR-TW-2B26-066-05-00</v>
      </c>
    </row>
    <row r="624" spans="1:9">
      <c r="A624" s="33">
        <v>625</v>
      </c>
      <c r="B624" s="85">
        <v>44881</v>
      </c>
      <c r="C624" s="72" t="s">
        <v>4993</v>
      </c>
      <c r="D624" s="33" t="s">
        <v>4994</v>
      </c>
      <c r="E624" s="69" t="str">
        <f>RIGHT(บันทึกนำเข้าDrawing[[#This Row],[Drawing No]],1)</f>
        <v>0</v>
      </c>
      <c r="F624" s="73" t="s">
        <v>3930</v>
      </c>
      <c r="G624" s="118" t="s">
        <v>4027</v>
      </c>
      <c r="H624" s="80">
        <v>45040</v>
      </c>
      <c r="I624" s="29" t="str">
        <f>CONCATENATE(บันทึกนำเข้าDrawing[[#This Row],[Part No]],"+",บันทึกนำเข้าDrawing[[#This Row],[Drawing No]])</f>
        <v>2B26-067-05+DR-TW-2B26-067-05-00</v>
      </c>
    </row>
    <row r="625" spans="1:9">
      <c r="A625" s="33">
        <v>626</v>
      </c>
      <c r="B625" s="85">
        <v>44881</v>
      </c>
      <c r="C625" s="72" t="s">
        <v>4998</v>
      </c>
      <c r="D625" s="33" t="s">
        <v>4999</v>
      </c>
      <c r="E625" s="69" t="str">
        <f>RIGHT(บันทึกนำเข้าDrawing[[#This Row],[Drawing No]],1)</f>
        <v>0</v>
      </c>
      <c r="F625" s="73" t="s">
        <v>5000</v>
      </c>
      <c r="G625" s="118" t="s">
        <v>4027</v>
      </c>
      <c r="H625" s="83">
        <v>44964</v>
      </c>
      <c r="I625" s="29" t="str">
        <f>CONCATENATE(บันทึกนำเข้าDrawing[[#This Row],[Part No]],"+",บันทึกนำเข้าDrawing[[#This Row],[Drawing No]])</f>
        <v>2B26-068-05+DR-TW-2B26-068-05-00</v>
      </c>
    </row>
    <row r="626" spans="1:9">
      <c r="A626" s="33">
        <v>627</v>
      </c>
      <c r="B626" s="85">
        <v>44881</v>
      </c>
      <c r="C626" s="72" t="s">
        <v>5001</v>
      </c>
      <c r="D626" s="33" t="s">
        <v>5002</v>
      </c>
      <c r="E626" s="69" t="str">
        <f>RIGHT(บันทึกนำเข้าDrawing[[#This Row],[Drawing No]],1)</f>
        <v>0</v>
      </c>
      <c r="F626" s="73" t="s">
        <v>5003</v>
      </c>
      <c r="G626" s="118" t="s">
        <v>3772</v>
      </c>
      <c r="H626" s="83"/>
      <c r="I626" s="29" t="str">
        <f>CONCATENATE(บันทึกนำเข้าDrawing[[#This Row],[Part No]],"+",บันทึกนำเข้าDrawing[[#This Row],[Drawing No]])</f>
        <v>2B26-069-04+DR-TW-2B26-069-04-00</v>
      </c>
    </row>
    <row r="627" spans="1:9">
      <c r="A627" s="33">
        <v>628</v>
      </c>
      <c r="B627" s="85">
        <v>44881</v>
      </c>
      <c r="C627" s="72" t="s">
        <v>5005</v>
      </c>
      <c r="D627" s="33" t="s">
        <v>5006</v>
      </c>
      <c r="E627" s="69" t="str">
        <f>RIGHT(บันทึกนำเข้าDrawing[[#This Row],[Drawing No]],1)</f>
        <v>0</v>
      </c>
      <c r="F627" s="73" t="s">
        <v>5007</v>
      </c>
      <c r="G627" s="120" t="s">
        <v>4027</v>
      </c>
      <c r="H627" s="83">
        <v>44964</v>
      </c>
      <c r="I627" s="29" t="str">
        <f>CONCATENATE(บันทึกนำเข้าDrawing[[#This Row],[Part No]],"+",บันทึกนำเข้าDrawing[[#This Row],[Drawing No]])</f>
        <v>2B26-083-03+DR-TW-2B26-083-03-00</v>
      </c>
    </row>
    <row r="628" spans="1:9">
      <c r="A628" s="33">
        <v>629</v>
      </c>
      <c r="B628" s="81">
        <v>44881</v>
      </c>
      <c r="C628" s="82" t="s">
        <v>5008</v>
      </c>
      <c r="D628" s="33" t="s">
        <v>5009</v>
      </c>
      <c r="E628" s="69" t="str">
        <f>RIGHT(บันทึกนำเข้าDrawing[[#This Row],[Drawing No]],1)</f>
        <v>0</v>
      </c>
      <c r="F628" s="68" t="s">
        <v>4537</v>
      </c>
      <c r="G628" s="120" t="s">
        <v>4027</v>
      </c>
      <c r="H628" s="83">
        <v>45339</v>
      </c>
      <c r="I628" s="29" t="str">
        <f>CONCATENATE(บันทึกนำเข้าDrawing[[#This Row],[Part No]],"+",บันทึกนำเข้าDrawing[[#This Row],[Drawing No]])</f>
        <v>2B26-131-01+DR-TW-2B26-131-01-00</v>
      </c>
    </row>
    <row r="629" spans="1:9">
      <c r="A629" s="33">
        <v>630</v>
      </c>
      <c r="B629" s="81">
        <v>44881</v>
      </c>
      <c r="C629" s="82" t="s">
        <v>5010</v>
      </c>
      <c r="D629" s="33" t="s">
        <v>5011</v>
      </c>
      <c r="E629" s="69" t="str">
        <f>RIGHT(บันทึกนำเข้าDrawing[[#This Row],[Drawing No]],1)</f>
        <v>0</v>
      </c>
      <c r="F629" s="37" t="s">
        <v>3110</v>
      </c>
      <c r="G629" s="120" t="s">
        <v>4027</v>
      </c>
      <c r="H629" s="83">
        <v>44973</v>
      </c>
      <c r="I629" s="29" t="str">
        <f>CONCATENATE(บันทึกนำเข้าDrawing[[#This Row],[Part No]],"+",บันทึกนำเข้าDrawing[[#This Row],[Drawing No]])</f>
        <v>2B26-132-03+DR-TW-2B26-132-03-00</v>
      </c>
    </row>
    <row r="630" spans="1:9">
      <c r="A630" s="33">
        <v>631</v>
      </c>
      <c r="B630" s="81">
        <v>44881</v>
      </c>
      <c r="C630" s="82" t="s">
        <v>5010</v>
      </c>
      <c r="D630" s="33" t="s">
        <v>5012</v>
      </c>
      <c r="E630" s="69" t="str">
        <f>RIGHT(บันทึกนำเข้าDrawing[[#This Row],[Drawing No]],1)</f>
        <v>0</v>
      </c>
      <c r="F630" s="84" t="s">
        <v>3822</v>
      </c>
      <c r="G630" s="120" t="s">
        <v>4027</v>
      </c>
      <c r="H630" s="83">
        <v>45320</v>
      </c>
      <c r="I630" s="29" t="str">
        <f>CONCATENATE(บันทึกนำเข้าDrawing[[#This Row],[Part No]],"+",บันทึกนำเข้าDrawing[[#This Row],[Drawing No]])</f>
        <v>2B26-009-03+DR-TW-2B26-132-03-00</v>
      </c>
    </row>
    <row r="631" spans="1:9">
      <c r="A631" s="33">
        <v>632</v>
      </c>
      <c r="B631" s="81">
        <v>44881</v>
      </c>
      <c r="C631" s="82" t="s">
        <v>5010</v>
      </c>
      <c r="D631" s="33" t="s">
        <v>5013</v>
      </c>
      <c r="E631" s="69" t="str">
        <f>RIGHT(บันทึกนำเข้าDrawing[[#This Row],[Drawing No]],1)</f>
        <v>0</v>
      </c>
      <c r="F631" s="84" t="s">
        <v>3810</v>
      </c>
      <c r="G631" s="120" t="s">
        <v>4027</v>
      </c>
      <c r="H631" s="83">
        <v>44985</v>
      </c>
      <c r="I631" s="29" t="str">
        <f>CONCATENATE(บันทึกนำเข้าDrawing[[#This Row],[Part No]],"+",บันทึกนำเข้าDrawing[[#This Row],[Drawing No]])</f>
        <v>2B26-126-0K+DR-TW-2B26-132-03-00</v>
      </c>
    </row>
    <row r="632" spans="1:9">
      <c r="A632" s="33">
        <v>633</v>
      </c>
      <c r="B632" s="81">
        <v>44881</v>
      </c>
      <c r="C632" s="82" t="s">
        <v>5014</v>
      </c>
      <c r="D632" s="33" t="s">
        <v>5015</v>
      </c>
      <c r="E632" s="69" t="str">
        <f>RIGHT(บันทึกนำเข้าDrawing[[#This Row],[Drawing No]],1)</f>
        <v>0</v>
      </c>
      <c r="F632" s="84" t="s">
        <v>5016</v>
      </c>
      <c r="G632" s="120" t="s">
        <v>4029</v>
      </c>
      <c r="H632" s="83"/>
      <c r="I632" s="29" t="str">
        <f>CONCATENATE(บันทึกนำเข้าDrawing[[#This Row],[Part No]],"+",บันทึกนำเข้าDrawing[[#This Row],[Drawing No]])</f>
        <v>2B26-201-04+DR-TW-2B26-201-04-00</v>
      </c>
    </row>
    <row r="633" spans="1:9">
      <c r="A633" s="33">
        <v>634</v>
      </c>
      <c r="B633" s="85">
        <v>44881</v>
      </c>
      <c r="C633" s="72" t="s">
        <v>5017</v>
      </c>
      <c r="D633" s="33" t="s">
        <v>1175</v>
      </c>
      <c r="E633" s="69" t="str">
        <f>RIGHT(บันทึกนำเข้าDrawing[[#This Row],[Drawing No]],1)</f>
        <v>0</v>
      </c>
      <c r="F633" s="68" t="s">
        <v>5018</v>
      </c>
      <c r="G633" s="118" t="s">
        <v>3779</v>
      </c>
      <c r="H633" s="80"/>
      <c r="I633" s="29" t="str">
        <f>CONCATENATE(บันทึกนำเข้าDrawing[[#This Row],[Part No]],"+",บันทึกนำเข้าDrawing[[#This Row],[Drawing No]])</f>
        <v>2B26-201-03+DR-TW-2B26-202-03-00</v>
      </c>
    </row>
    <row r="634" spans="1:9">
      <c r="A634" s="33">
        <v>635</v>
      </c>
      <c r="B634" s="85">
        <v>44881</v>
      </c>
      <c r="C634" s="82" t="s">
        <v>5021</v>
      </c>
      <c r="D634" s="33" t="s">
        <v>5020</v>
      </c>
      <c r="E634" s="69" t="str">
        <f>RIGHT(บันทึกนำเข้าDrawing[[#This Row],[Drawing No]],1)</f>
        <v>0</v>
      </c>
      <c r="F634" s="84" t="s">
        <v>4158</v>
      </c>
      <c r="G634" s="118" t="s">
        <v>3779</v>
      </c>
      <c r="H634" s="80"/>
      <c r="I634" s="29" t="str">
        <f>CONCATENATE(บันทึกนำเข้าDrawing[[#This Row],[Part No]],"+",บันทึกนำเข้าDrawing[[#This Row],[Drawing No]])</f>
        <v>2B26-203-02+DR-TW-2B26-203-02-00</v>
      </c>
    </row>
    <row r="635" spans="1:9">
      <c r="A635" s="33">
        <v>636</v>
      </c>
      <c r="B635" s="85">
        <v>44881</v>
      </c>
      <c r="C635" s="82" t="s">
        <v>5022</v>
      </c>
      <c r="D635" s="33" t="s">
        <v>5023</v>
      </c>
      <c r="E635" s="69" t="str">
        <f>RIGHT(บันทึกนำเข้าDrawing[[#This Row],[Drawing No]],1)</f>
        <v>0</v>
      </c>
      <c r="F635" s="73" t="s">
        <v>4840</v>
      </c>
      <c r="G635" s="118" t="s">
        <v>4029</v>
      </c>
      <c r="H635" s="80">
        <v>44940</v>
      </c>
      <c r="I635" s="29" t="str">
        <f>CONCATENATE(บันทึกนำเข้าDrawing[[#This Row],[Part No]],"+",บันทึกนำเข้าDrawing[[#This Row],[Drawing No]])</f>
        <v>2B26-218-04+DR-TW-2B26-218-04-00</v>
      </c>
    </row>
    <row r="636" spans="1:9">
      <c r="A636" s="33">
        <v>637</v>
      </c>
      <c r="B636" s="85">
        <v>44881</v>
      </c>
      <c r="C636" s="72" t="s">
        <v>5024</v>
      </c>
      <c r="D636" s="33" t="s">
        <v>5025</v>
      </c>
      <c r="E636" s="69" t="str">
        <f>RIGHT(บันทึกนำเข้าDrawing[[#This Row],[Drawing No]],1)</f>
        <v>0</v>
      </c>
      <c r="F636" s="68" t="s">
        <v>1217</v>
      </c>
      <c r="G636" s="118" t="s">
        <v>4027</v>
      </c>
      <c r="H636" s="80">
        <v>44964</v>
      </c>
      <c r="I636" s="29" t="str">
        <f>CONCATENATE(บันทึกนำเข้าDrawing[[#This Row],[Part No]],"+",บันทึกนำเข้าDrawing[[#This Row],[Drawing No]])</f>
        <v>2B26-227-03+DR-TW-2B26-227-03-00</v>
      </c>
    </row>
    <row r="637" spans="1:9">
      <c r="A637" s="33">
        <v>638</v>
      </c>
      <c r="B637" s="85">
        <v>44881</v>
      </c>
      <c r="C637" s="72" t="s">
        <v>5027</v>
      </c>
      <c r="D637" s="33" t="s">
        <v>5028</v>
      </c>
      <c r="E637" s="69" t="str">
        <f>RIGHT(บันทึกนำเข้าDrawing[[#This Row],[Drawing No]],1)</f>
        <v>0</v>
      </c>
      <c r="F637" s="73" t="s">
        <v>5026</v>
      </c>
      <c r="G637" s="118" t="s">
        <v>4027</v>
      </c>
      <c r="H637" s="80">
        <v>45057</v>
      </c>
      <c r="I637" s="29" t="str">
        <f>CONCATENATE(บันทึกนำเข้าDrawing[[#This Row],[Part No]],"+",บันทึกนำเข้าDrawing[[#This Row],[Drawing No]])</f>
        <v>2B26-248-05+DR-TW-2B26-248-05-00</v>
      </c>
    </row>
    <row r="638" spans="1:9">
      <c r="A638" s="33">
        <v>639</v>
      </c>
      <c r="B638" s="85">
        <v>44882</v>
      </c>
      <c r="C638" s="72" t="s">
        <v>5029</v>
      </c>
      <c r="D638" s="33" t="s">
        <v>5030</v>
      </c>
      <c r="E638" s="69" t="str">
        <f>RIGHT(บันทึกนำเข้าDrawing[[#This Row],[Drawing No]],1)</f>
        <v>0</v>
      </c>
      <c r="F638" s="68" t="s">
        <v>4893</v>
      </c>
      <c r="G638" s="118" t="s">
        <v>4029</v>
      </c>
      <c r="H638" s="80"/>
      <c r="I638" s="29" t="str">
        <f>CONCATENATE(บันทึกนำเข้าDrawing[[#This Row],[Part No]],"+",บันทึกนำเข้าDrawing[[#This Row],[Drawing No]])</f>
        <v>2B69M056-01+DR-TW-2B69M056-01-00</v>
      </c>
    </row>
    <row r="639" spans="1:9">
      <c r="A639" s="33">
        <v>640</v>
      </c>
      <c r="B639" s="85">
        <v>44883</v>
      </c>
      <c r="C639" s="82" t="s">
        <v>5032</v>
      </c>
      <c r="D639" s="33" t="s">
        <v>5033</v>
      </c>
      <c r="E639" s="69" t="str">
        <f>RIGHT(บันทึกนำเข้าDrawing[[#This Row],[Drawing No]],1)</f>
        <v>0</v>
      </c>
      <c r="F639" s="84" t="s">
        <v>5034</v>
      </c>
      <c r="G639" s="118" t="s">
        <v>4521</v>
      </c>
      <c r="H639" s="80"/>
      <c r="I639" s="29" t="str">
        <f>CONCATENATE(บันทึกนำเข้าDrawing[[#This Row],[Part No]],"+",บันทึกนำเข้าDrawing[[#This Row],[Drawing No]])</f>
        <v>2B69M308-00+DR-TW-2B69M308-00-00</v>
      </c>
    </row>
    <row r="640" spans="1:9">
      <c r="A640" s="33">
        <v>641</v>
      </c>
      <c r="B640" s="85">
        <v>44884</v>
      </c>
      <c r="C640" s="75" t="s">
        <v>5036</v>
      </c>
      <c r="D640" s="33" t="s">
        <v>5037</v>
      </c>
      <c r="E640" s="69" t="str">
        <f>RIGHT(บันทึกนำเข้าDrawing[[#This Row],[Drawing No]],1)</f>
        <v>0</v>
      </c>
      <c r="F640" s="84" t="s">
        <v>5038</v>
      </c>
      <c r="G640" s="118" t="s">
        <v>3779</v>
      </c>
      <c r="H640" s="80"/>
      <c r="I640" s="29" t="str">
        <f>CONCATENATE(บันทึกนำเข้าDrawing[[#This Row],[Part No]],"+",บันทึกนำเข้าDrawing[[#This Row],[Drawing No]])</f>
        <v>2B25-266-01+DR-TW-2B25-266-01-00</v>
      </c>
    </row>
    <row r="641" spans="1:9">
      <c r="A641" s="33">
        <v>642</v>
      </c>
      <c r="B641" s="85">
        <v>44890</v>
      </c>
      <c r="C641" s="72" t="s">
        <v>5042</v>
      </c>
      <c r="D641" s="33" t="s">
        <v>5043</v>
      </c>
      <c r="E641" s="69" t="str">
        <f>RIGHT(บันทึกนำเข้าDrawing[[#This Row],[Drawing No]],1)</f>
        <v>0</v>
      </c>
      <c r="F641" s="73" t="s">
        <v>3796</v>
      </c>
      <c r="G641" s="118" t="s">
        <v>4027</v>
      </c>
      <c r="H641" s="80">
        <v>44949</v>
      </c>
      <c r="I641" s="29" t="str">
        <f>CONCATENATE(บันทึกนำเข้าDrawing[[#This Row],[Part No]],"+",บันทึกนำเข้าDrawing[[#This Row],[Drawing No]])</f>
        <v>2B26-110-0G+DR-TW-2B26-110-0G-00</v>
      </c>
    </row>
    <row r="642" spans="1:9">
      <c r="A642" s="33">
        <v>643</v>
      </c>
      <c r="B642" s="85">
        <v>44897</v>
      </c>
      <c r="C642" s="72" t="s">
        <v>5054</v>
      </c>
      <c r="D642" s="33" t="s">
        <v>5055</v>
      </c>
      <c r="E642" s="69" t="str">
        <f>RIGHT(บันทึกนำเข้าDrawing[[#This Row],[Drawing No]],1)</f>
        <v>0</v>
      </c>
      <c r="F642" s="68" t="s">
        <v>4404</v>
      </c>
      <c r="G642" s="118" t="s">
        <v>4029</v>
      </c>
      <c r="H642" s="80">
        <v>45600</v>
      </c>
      <c r="I642" s="29" t="str">
        <f>CONCATENATE(บันทึกนำเข้าDrawing[[#This Row],[Part No]],"+",บันทึกนำเข้าDrawing[[#This Row],[Drawing No]])</f>
        <v>2B26-470-00+DR-TW-2B26-470-00-00</v>
      </c>
    </row>
    <row r="643" spans="1:9">
      <c r="A643" s="33">
        <v>644</v>
      </c>
      <c r="B643" s="85">
        <v>44897</v>
      </c>
      <c r="C643" s="72" t="s">
        <v>5057</v>
      </c>
      <c r="D643" s="33" t="s">
        <v>5058</v>
      </c>
      <c r="E643" s="69" t="str">
        <f>RIGHT(บันทึกนำเข้าDrawing[[#This Row],[Drawing No]],1)</f>
        <v>0</v>
      </c>
      <c r="F643" s="68" t="s">
        <v>4401</v>
      </c>
      <c r="G643" s="118" t="s">
        <v>4029</v>
      </c>
      <c r="H643" s="80"/>
      <c r="I643" s="29" t="str">
        <f>CONCATENATE(บันทึกนำเข้าDrawing[[#This Row],[Part No]],"+",บันทึกนำเข้าDrawing[[#This Row],[Drawing No]])</f>
        <v>2B26-471-00+DR-TW-2B26-471-00-00</v>
      </c>
    </row>
    <row r="644" spans="1:9">
      <c r="A644" s="33">
        <v>645</v>
      </c>
      <c r="B644" s="85">
        <v>44897</v>
      </c>
      <c r="C644" s="72" t="s">
        <v>5060</v>
      </c>
      <c r="D644" s="33" t="s">
        <v>5061</v>
      </c>
      <c r="E644" s="69" t="str">
        <f>RIGHT(บันทึกนำเข้าDrawing[[#This Row],[Drawing No]],1)</f>
        <v>0</v>
      </c>
      <c r="F644" s="84" t="s">
        <v>4398</v>
      </c>
      <c r="G644" s="118" t="s">
        <v>4027</v>
      </c>
      <c r="H644" s="80">
        <v>44995</v>
      </c>
      <c r="I644" s="29" t="str">
        <f>CONCATENATE(บันทึกนำเข้าDrawing[[#This Row],[Part No]],"+",บันทึกนำเข้าDrawing[[#This Row],[Drawing No]])</f>
        <v>2B25-550-00+DR-TW-2B25-550-00-00</v>
      </c>
    </row>
    <row r="645" spans="1:9">
      <c r="A645" s="33">
        <v>646</v>
      </c>
      <c r="B645" s="85">
        <v>44897</v>
      </c>
      <c r="C645" s="82" t="s">
        <v>5062</v>
      </c>
      <c r="D645" s="33" t="s">
        <v>5063</v>
      </c>
      <c r="E645" s="69" t="str">
        <f>RIGHT(บันทึกนำเข้าDrawing[[#This Row],[Drawing No]],1)</f>
        <v>0</v>
      </c>
      <c r="F645" s="68" t="s">
        <v>4807</v>
      </c>
      <c r="G645" s="118" t="s">
        <v>4027</v>
      </c>
      <c r="H645" s="80">
        <v>44965</v>
      </c>
      <c r="I645" s="29" t="str">
        <f>CONCATENATE(บันทึกนำเข้าDrawing[[#This Row],[Part No]],"+",บันทึกนำเข้าDrawing[[#This Row],[Drawing No]])</f>
        <v>2B26-249-04+DR-TW-2B26-249-04-00</v>
      </c>
    </row>
    <row r="646" spans="1:9">
      <c r="A646" s="33">
        <v>647</v>
      </c>
      <c r="B646" s="85">
        <v>44907</v>
      </c>
      <c r="C646" s="82" t="s">
        <v>5130</v>
      </c>
      <c r="D646" s="33" t="s">
        <v>5131</v>
      </c>
      <c r="E646" s="69" t="str">
        <f>RIGHT(บันทึกนำเข้าDrawing[[#This Row],[Drawing No]],1)</f>
        <v>0</v>
      </c>
      <c r="F646" s="68" t="s">
        <v>4926</v>
      </c>
      <c r="G646" s="118" t="s">
        <v>4027</v>
      </c>
      <c r="H646" s="80">
        <v>45040</v>
      </c>
      <c r="I646" s="29" t="str">
        <f>CONCATENATE(บันทึกนำเข้าDrawing[[#This Row],[Part No]],"+",บันทึกนำเข้าDrawing[[#This Row],[Drawing No]])</f>
        <v>2B25-012-06+DR-TW-2B25-012-06-00</v>
      </c>
    </row>
    <row r="647" spans="1:9">
      <c r="A647" s="33">
        <v>648</v>
      </c>
      <c r="B647" s="85">
        <v>44907</v>
      </c>
      <c r="C647" s="72" t="s">
        <v>5132</v>
      </c>
      <c r="D647" s="33" t="s">
        <v>5133</v>
      </c>
      <c r="E647" s="69" t="str">
        <f>RIGHT(บันทึกนำเข้าDrawing[[#This Row],[Drawing No]],1)</f>
        <v>0</v>
      </c>
      <c r="F647" s="68" t="s">
        <v>4559</v>
      </c>
      <c r="G647" s="118" t="s">
        <v>3779</v>
      </c>
      <c r="H647" s="80"/>
      <c r="I647" s="29" t="str">
        <f>CONCATENATE(บันทึกนำเข้าDrawing[[#This Row],[Part No]],"+",บันทึกนำเข้าDrawing[[#This Row],[Drawing No]])</f>
        <v>2B25-066-03+DR-TW-2B25-066-03-00</v>
      </c>
    </row>
    <row r="648" spans="1:9">
      <c r="A648" s="33">
        <v>649</v>
      </c>
      <c r="B648" s="85">
        <v>44907</v>
      </c>
      <c r="C648" s="72" t="s">
        <v>5135</v>
      </c>
      <c r="D648" s="33" t="s">
        <v>2151</v>
      </c>
      <c r="E648" s="69" t="str">
        <f>RIGHT(บันทึกนำเข้าDrawing[[#This Row],[Drawing No]],1)</f>
        <v>3</v>
      </c>
      <c r="F648" s="68" t="s">
        <v>5890</v>
      </c>
      <c r="G648" s="118" t="s">
        <v>4029</v>
      </c>
      <c r="H648" s="80">
        <v>45013</v>
      </c>
      <c r="I648" s="29" t="str">
        <f>CONCATENATE(บันทึกนำเข้าDrawing[[#This Row],[Part No]],"+",บันทึกนำเข้าDrawing[[#This Row],[Drawing No]])</f>
        <v>2B51-215-01+DR-TW-2B51-215-01-03</v>
      </c>
    </row>
    <row r="649" spans="1:9">
      <c r="A649" s="33">
        <v>650</v>
      </c>
      <c r="B649" s="85">
        <v>44907</v>
      </c>
      <c r="C649" s="72" t="s">
        <v>5135</v>
      </c>
      <c r="D649" s="33" t="s">
        <v>2153</v>
      </c>
      <c r="E649" s="69" t="str">
        <f>RIGHT(บันทึกนำเข้าDrawing[[#This Row],[Drawing No]],1)</f>
        <v>3</v>
      </c>
      <c r="F649" s="68" t="s">
        <v>5891</v>
      </c>
      <c r="G649" s="118" t="s">
        <v>4029</v>
      </c>
      <c r="H649" s="80">
        <v>44964</v>
      </c>
      <c r="I649" s="29" t="str">
        <f>CONCATENATE(บันทึกนำเข้าDrawing[[#This Row],[Part No]],"+",บันทึกนำเข้าDrawing[[#This Row],[Drawing No]])</f>
        <v>2B51-260-01+DR-TW-2B51-215-01-03</v>
      </c>
    </row>
    <row r="650" spans="1:9">
      <c r="A650" s="33">
        <v>651</v>
      </c>
      <c r="B650" s="85">
        <v>44907</v>
      </c>
      <c r="C650" s="72" t="s">
        <v>5135</v>
      </c>
      <c r="D650" s="33" t="s">
        <v>2154</v>
      </c>
      <c r="E650" s="69" t="str">
        <f>RIGHT(บันทึกนำเข้าDrawing[[#This Row],[Drawing No]],1)</f>
        <v>3</v>
      </c>
      <c r="F650" s="68"/>
      <c r="G650" s="118" t="s">
        <v>4029</v>
      </c>
      <c r="H650" s="80">
        <v>44964</v>
      </c>
      <c r="I650" s="29" t="str">
        <f>CONCATENATE(บันทึกนำเข้าDrawing[[#This Row],[Part No]],"+",บันทึกนำเข้าDrawing[[#This Row],[Drawing No]])</f>
        <v>2B51-350-00+DR-TW-2B51-215-01-03</v>
      </c>
    </row>
    <row r="651" spans="1:9">
      <c r="A651" s="33">
        <v>652</v>
      </c>
      <c r="B651" s="85">
        <v>44907</v>
      </c>
      <c r="C651" s="72" t="s">
        <v>5135</v>
      </c>
      <c r="D651" s="33" t="s">
        <v>5136</v>
      </c>
      <c r="E651" s="69" t="str">
        <f>RIGHT(บันทึกนำเข้าDrawing[[#This Row],[Drawing No]],1)</f>
        <v>3</v>
      </c>
      <c r="F651" s="68" t="s">
        <v>5892</v>
      </c>
      <c r="G651" s="118" t="s">
        <v>4029</v>
      </c>
      <c r="H651" s="80">
        <v>44964</v>
      </c>
      <c r="I651" s="29" t="str">
        <f>CONCATENATE(บันทึกนำเข้าDrawing[[#This Row],[Part No]],"+",บันทึกนำเข้าDrawing[[#This Row],[Drawing No]])</f>
        <v>2B51-300-00+DR-TW-2B51-215-01-03</v>
      </c>
    </row>
    <row r="652" spans="1:9">
      <c r="A652" s="33">
        <v>653</v>
      </c>
      <c r="B652" s="85">
        <v>44907</v>
      </c>
      <c r="C652" s="72" t="s">
        <v>5156</v>
      </c>
      <c r="D652" s="33" t="s">
        <v>5157</v>
      </c>
      <c r="E652" s="69" t="str">
        <f>RIGHT(บันทึกนำเข้าDrawing[[#This Row],[Drawing No]],1)</f>
        <v>0</v>
      </c>
      <c r="F652" s="68" t="s">
        <v>2979</v>
      </c>
      <c r="G652" s="118" t="s">
        <v>3779</v>
      </c>
      <c r="H652" s="80"/>
      <c r="I652" s="29" t="str">
        <f>CONCATENATE(บันทึกนำเข้าDrawing[[#This Row],[Part No]],"+",บันทึกนำเข้าDrawing[[#This Row],[Drawing No]])</f>
        <v>2B25-260-03+DR-TW-2B25-260-03-00</v>
      </c>
    </row>
    <row r="653" spans="1:9">
      <c r="A653" s="33">
        <v>654</v>
      </c>
      <c r="B653" s="85">
        <v>44907</v>
      </c>
      <c r="C653" s="75" t="s">
        <v>5158</v>
      </c>
      <c r="D653" s="33" t="s">
        <v>5159</v>
      </c>
      <c r="E653" s="69" t="str">
        <f>RIGHT(บันทึกนำเข้าDrawing[[#This Row],[Drawing No]],1)</f>
        <v>0</v>
      </c>
      <c r="F653" s="68" t="s">
        <v>4011</v>
      </c>
      <c r="G653" s="118" t="s">
        <v>3779</v>
      </c>
      <c r="H653" s="80"/>
      <c r="I653" s="29" t="str">
        <f>CONCATENATE(บันทึกนำเข้าDrawing[[#This Row],[Part No]],"+",บันทึกนำเข้าDrawing[[#This Row],[Drawing No]])</f>
        <v>2B25-262-03+DR-TW-2B25-262-03-00</v>
      </c>
    </row>
    <row r="654" spans="1:9">
      <c r="A654" s="33">
        <v>655</v>
      </c>
      <c r="B654" s="81">
        <v>44907</v>
      </c>
      <c r="C654" s="82" t="s">
        <v>5161</v>
      </c>
      <c r="D654" s="33" t="s">
        <v>5160</v>
      </c>
      <c r="E654" s="69" t="str">
        <f>RIGHT(บันทึกนำเข้าDrawing[[#This Row],[Drawing No]],1)</f>
        <v>0</v>
      </c>
      <c r="F654" s="84" t="s">
        <v>2981</v>
      </c>
      <c r="G654" s="118" t="s">
        <v>3779</v>
      </c>
      <c r="H654" s="80"/>
      <c r="I654" s="29" t="str">
        <f>CONCATENATE(บันทึกนำเข้าDrawing[[#This Row],[Part No]],"+",บันทึกนำเข้าDrawing[[#This Row],[Drawing No]])</f>
        <v>2B25-263-02+DR-TW-2B25-263-02-00</v>
      </c>
    </row>
    <row r="655" spans="1:9">
      <c r="A655" s="33">
        <v>656</v>
      </c>
      <c r="B655" s="85">
        <v>44907</v>
      </c>
      <c r="C655" s="72" t="s">
        <v>5162</v>
      </c>
      <c r="D655" s="33" t="s">
        <v>5163</v>
      </c>
      <c r="E655" s="69" t="str">
        <f>RIGHT(บันทึกนำเข้าDrawing[[#This Row],[Drawing No]],1)</f>
        <v>0</v>
      </c>
      <c r="F655" s="68" t="s">
        <v>2503</v>
      </c>
      <c r="G655" s="118" t="s">
        <v>4027</v>
      </c>
      <c r="H655" s="80"/>
      <c r="I655" s="29" t="str">
        <f>CONCATENATE(บันทึกนำเข้าDrawing[[#This Row],[Part No]],"+",บันทึกนำเข้าDrawing[[#This Row],[Drawing No]])</f>
        <v>2B25-264-01+DR-TW-2B25-264-01-00</v>
      </c>
    </row>
    <row r="656" spans="1:9">
      <c r="A656" s="33">
        <v>657</v>
      </c>
      <c r="B656" s="85">
        <v>44907</v>
      </c>
      <c r="C656" s="72" t="s">
        <v>5164</v>
      </c>
      <c r="D656" s="33" t="s">
        <v>5165</v>
      </c>
      <c r="E656" s="69" t="str">
        <f>RIGHT(บันทึกนำเข้าDrawing[[#This Row],[Drawing No]],1)</f>
        <v>0</v>
      </c>
      <c r="F656" s="68" t="s">
        <v>2504</v>
      </c>
      <c r="G656" s="118" t="s">
        <v>4027</v>
      </c>
      <c r="H656" s="80">
        <v>45063</v>
      </c>
      <c r="I656" s="29" t="str">
        <f>CONCATENATE(บันทึกนำเข้าDrawing[[#This Row],[Part No]],"+",บันทึกนำเข้าDrawing[[#This Row],[Drawing No]])</f>
        <v>2B25-265-01+DR-TW-2B25-265-01-00</v>
      </c>
    </row>
    <row r="657" spans="1:9">
      <c r="A657" s="33">
        <v>658</v>
      </c>
      <c r="B657" s="85">
        <v>44907</v>
      </c>
      <c r="C657" s="72" t="s">
        <v>5166</v>
      </c>
      <c r="D657" s="33" t="s">
        <v>5167</v>
      </c>
      <c r="E657" s="69" t="str">
        <f>RIGHT(บันทึกนำเข้าDrawing[[#This Row],[Drawing No]],1)</f>
        <v>0</v>
      </c>
      <c r="F657" s="68" t="s">
        <v>3980</v>
      </c>
      <c r="G657" s="118" t="s">
        <v>4027</v>
      </c>
      <c r="H657" s="80">
        <v>45040</v>
      </c>
      <c r="I657" s="29" t="str">
        <f>CONCATENATE(บันทึกนำเข้าDrawing[[#This Row],[Part No]],"+",บันทึกนำเข้าDrawing[[#This Row],[Drawing No]])</f>
        <v>2B25-268-01+DR-TW-2B25-268-01-00</v>
      </c>
    </row>
    <row r="658" spans="1:9">
      <c r="A658" s="33">
        <v>659</v>
      </c>
      <c r="B658" s="85">
        <v>44907</v>
      </c>
      <c r="C658" s="72" t="s">
        <v>5168</v>
      </c>
      <c r="D658" s="33" t="s">
        <v>5169</v>
      </c>
      <c r="E658" s="69" t="str">
        <f>RIGHT(บันทึกนำเข้าDrawing[[#This Row],[Drawing No]],1)</f>
        <v>0</v>
      </c>
      <c r="F658" s="68" t="s">
        <v>5170</v>
      </c>
      <c r="G658" s="118" t="s">
        <v>4027</v>
      </c>
      <c r="H658" s="80">
        <v>45012</v>
      </c>
      <c r="I658" s="29" t="str">
        <f>CONCATENATE(บันทึกนำเข้าDrawing[[#This Row],[Part No]],"+",บันทึกนำเข้าDrawing[[#This Row],[Drawing No]])</f>
        <v>2B25-282-02+DR-TW-2B25-282-02-00</v>
      </c>
    </row>
    <row r="659" spans="1:9">
      <c r="A659" s="33">
        <v>660</v>
      </c>
      <c r="B659" s="85">
        <v>44907</v>
      </c>
      <c r="C659" s="72" t="s">
        <v>5173</v>
      </c>
      <c r="D659" s="33" t="s">
        <v>5171</v>
      </c>
      <c r="E659" s="69" t="str">
        <f>RIGHT(บันทึกนำเข้าDrawing[[#This Row],[Drawing No]],1)</f>
        <v>0</v>
      </c>
      <c r="F659" s="68" t="s">
        <v>5172</v>
      </c>
      <c r="G659" s="118" t="s">
        <v>4027</v>
      </c>
      <c r="H659" s="80">
        <v>45040</v>
      </c>
      <c r="I659" s="29" t="str">
        <f>CONCATENATE(บันทึกนำเข้าDrawing[[#This Row],[Part No]],"+",บันทึกนำเข้าDrawing[[#This Row],[Drawing No]])</f>
        <v>2B91-247-01+DR-TW-2B91-247-01-00</v>
      </c>
    </row>
    <row r="660" spans="1:9">
      <c r="A660" s="33">
        <v>661</v>
      </c>
      <c r="B660" s="85">
        <v>44907</v>
      </c>
      <c r="C660" s="72" t="s">
        <v>5174</v>
      </c>
      <c r="D660" s="33" t="s">
        <v>5175</v>
      </c>
      <c r="E660" s="69" t="str">
        <f>RIGHT(บันทึกนำเข้าDrawing[[#This Row],[Drawing No]],1)</f>
        <v>0</v>
      </c>
      <c r="F660" s="68" t="s">
        <v>4164</v>
      </c>
      <c r="G660" s="118" t="s">
        <v>3779</v>
      </c>
      <c r="H660" s="80"/>
      <c r="I660" s="29" t="str">
        <f>CONCATENATE(บันทึกนำเข้าDrawing[[#This Row],[Part No]],"+",บันทึกนำเข้าDrawing[[#This Row],[Drawing No]])</f>
        <v>2B91-248-01+DR-TW-2B91-248-01-00</v>
      </c>
    </row>
    <row r="661" spans="1:9">
      <c r="A661" s="33">
        <v>566</v>
      </c>
      <c r="B661" s="85">
        <v>44739</v>
      </c>
      <c r="C661" s="72" t="s">
        <v>4786</v>
      </c>
      <c r="D661" s="33" t="s">
        <v>4787</v>
      </c>
      <c r="E661" s="69" t="str">
        <f>RIGHT(บันทึกนำเข้าDrawing[[#This Row],[Drawing No]],1)</f>
        <v>0</v>
      </c>
      <c r="F661" s="68" t="s">
        <v>4788</v>
      </c>
      <c r="G661" s="118" t="s">
        <v>4029</v>
      </c>
      <c r="H661" s="80">
        <v>44765</v>
      </c>
      <c r="I661" s="29" t="str">
        <f>CONCATENATE(บันทึกนำเข้าDrawing[[#This Row],[Part No]],"+",บันทึกนำเข้าDrawing[[#This Row],[Drawing No]])</f>
        <v>2B94-051-00+DR-TW-2B94-051-00-00</v>
      </c>
    </row>
    <row r="662" spans="1:9">
      <c r="A662" s="33">
        <v>663</v>
      </c>
      <c r="B662" s="85">
        <v>44911</v>
      </c>
      <c r="C662" s="72" t="s">
        <v>5078</v>
      </c>
      <c r="D662" s="33" t="s">
        <v>5079</v>
      </c>
      <c r="E662" s="69" t="str">
        <f>RIGHT(บันทึกนำเข้าDrawing[[#This Row],[Drawing No]],1)</f>
        <v>0</v>
      </c>
      <c r="F662" s="68" t="s">
        <v>3794</v>
      </c>
      <c r="G662" s="118" t="s">
        <v>4521</v>
      </c>
      <c r="H662" s="80"/>
      <c r="I662" s="29" t="str">
        <f>CONCATENATE(บันทึกนำเข้าDrawing[[#This Row],[Part No]],"+",บันทึกนำเข้าDrawing[[#This Row],[Drawing No]])</f>
        <v>2B69M319-00+DR-TW-2B69M319-00-00</v>
      </c>
    </row>
    <row r="663" spans="1:9">
      <c r="A663" s="33">
        <v>664</v>
      </c>
      <c r="B663" s="85">
        <v>44911</v>
      </c>
      <c r="C663" s="72" t="s">
        <v>5080</v>
      </c>
      <c r="D663" s="33" t="s">
        <v>5081</v>
      </c>
      <c r="E663" s="69" t="str">
        <f>RIGHT(บันทึกนำเข้าDrawing[[#This Row],[Drawing No]],1)</f>
        <v>0</v>
      </c>
      <c r="F663" s="68" t="s">
        <v>5082</v>
      </c>
      <c r="G663" s="118" t="s">
        <v>4521</v>
      </c>
      <c r="H663" s="80"/>
      <c r="I663" s="29" t="str">
        <f>CONCATENATE(บันทึกนำเข้าDrawing[[#This Row],[Part No]],"+",บันทึกนำเข้าDrawing[[#This Row],[Drawing No]])</f>
        <v>2B69M320-00+DR-TW-2B69M320-00-00</v>
      </c>
    </row>
    <row r="664" spans="1:9">
      <c r="A664" s="33">
        <v>665</v>
      </c>
      <c r="B664" s="85">
        <v>44911</v>
      </c>
      <c r="C664" s="72" t="s">
        <v>5128</v>
      </c>
      <c r="D664" s="33" t="s">
        <v>5129</v>
      </c>
      <c r="E664" s="69" t="str">
        <f>RIGHT(บันทึกนำเข้าDrawing[[#This Row],[Drawing No]],1)</f>
        <v>0</v>
      </c>
      <c r="F664" s="68" t="s">
        <v>3975</v>
      </c>
      <c r="G664" s="118" t="s">
        <v>4027</v>
      </c>
      <c r="H664" s="80">
        <v>44964</v>
      </c>
      <c r="I664" s="29" t="str">
        <f>CONCATENATE(บันทึกนำเข้าDrawing[[#This Row],[Part No]],"+",บันทึกนำเข้าDrawing[[#This Row],[Drawing No]])</f>
        <v>2B25-267-01+DR-TW-2B25-267-01-00</v>
      </c>
    </row>
    <row r="665" spans="1:9">
      <c r="A665" s="33">
        <v>666</v>
      </c>
      <c r="B665" s="85">
        <v>44938</v>
      </c>
      <c r="C665" s="72" t="s">
        <v>5083</v>
      </c>
      <c r="D665" s="33" t="s">
        <v>5084</v>
      </c>
      <c r="E665" s="69" t="str">
        <f>RIGHT(บันทึกนำเข้าDrawing[[#This Row],[Drawing No]],1)</f>
        <v>0</v>
      </c>
      <c r="F665" s="68" t="s">
        <v>5085</v>
      </c>
      <c r="G665" s="118" t="s">
        <v>4029</v>
      </c>
      <c r="H665" s="80"/>
      <c r="I665" s="29" t="str">
        <f>CONCATENATE(บันทึกนำเข้าDrawing[[#This Row],[Part No]],"+",บันทึกนำเข้าDrawing[[#This Row],[Drawing No]])</f>
        <v>2B48-430-00+DR-TW-2B48-430-00-00</v>
      </c>
    </row>
    <row r="666" spans="1:9">
      <c r="A666" s="33">
        <v>667</v>
      </c>
      <c r="B666" s="85">
        <v>44938</v>
      </c>
      <c r="C666" s="72" t="s">
        <v>5086</v>
      </c>
      <c r="D666" s="33" t="s">
        <v>5087</v>
      </c>
      <c r="E666" s="69" t="str">
        <f>RIGHT(บันทึกนำเข้าDrawing[[#This Row],[Drawing No]],1)</f>
        <v>0</v>
      </c>
      <c r="F666" s="68" t="s">
        <v>5088</v>
      </c>
      <c r="G666" s="118" t="s">
        <v>4029</v>
      </c>
      <c r="H666" s="80"/>
      <c r="I666" s="29" t="str">
        <f>CONCATENATE(บันทึกนำเข้าDrawing[[#This Row],[Part No]],"+",บันทึกนำเข้าDrawing[[#This Row],[Drawing No]])</f>
        <v>2B48-431-00+DR-TW-2B48-431-00-00</v>
      </c>
    </row>
    <row r="667" spans="1:9">
      <c r="A667" s="33">
        <v>668</v>
      </c>
      <c r="B667" s="85">
        <v>44938</v>
      </c>
      <c r="C667" s="72" t="s">
        <v>5089</v>
      </c>
      <c r="D667" s="33" t="s">
        <v>5090</v>
      </c>
      <c r="E667" s="69" t="str">
        <f>RIGHT(บันทึกนำเข้าDrawing[[#This Row],[Drawing No]],1)</f>
        <v>0</v>
      </c>
      <c r="F667" s="68" t="s">
        <v>4951</v>
      </c>
      <c r="G667" s="118" t="s">
        <v>3772</v>
      </c>
      <c r="H667" s="80"/>
      <c r="I667" s="29" t="str">
        <f>CONCATENATE(บันทึกนำเข้าDrawing[[#This Row],[Part No]],"+",บันทึกนำเข้าDrawing[[#This Row],[Drawing No]])</f>
        <v>2B48-308-00+DR-TW-2B48-308-00-00</v>
      </c>
    </row>
    <row r="668" spans="1:9">
      <c r="A668" s="33">
        <v>669</v>
      </c>
      <c r="B668" s="85">
        <v>44938</v>
      </c>
      <c r="C668" s="72" t="s">
        <v>5091</v>
      </c>
      <c r="D668" s="33" t="s">
        <v>5098</v>
      </c>
      <c r="E668" s="69" t="s">
        <v>4919</v>
      </c>
      <c r="F668" s="68" t="s">
        <v>5092</v>
      </c>
      <c r="G668" s="118" t="s">
        <v>3772</v>
      </c>
      <c r="H668" s="80"/>
      <c r="I668" s="29" t="str">
        <f>CONCATENATE(บันทึกนำเข้าDrawing[[#This Row],[Part No]],"+",บันทึกนำเข้าDrawing[[#This Row],[Drawing No]])</f>
        <v>2B48-307-00+DR-TW-2B48-307-00-00</v>
      </c>
    </row>
    <row r="669" spans="1:9">
      <c r="A669" s="33">
        <v>670</v>
      </c>
      <c r="B669" s="85">
        <v>44938</v>
      </c>
      <c r="C669" s="72" t="s">
        <v>5097</v>
      </c>
      <c r="D669" s="33" t="s">
        <v>5096</v>
      </c>
      <c r="E669" s="69" t="str">
        <f>RIGHT(บันทึกนำเข้าDrawing[[#This Row],[Drawing No]],1)</f>
        <v>0</v>
      </c>
      <c r="F669" s="68" t="s">
        <v>5072</v>
      </c>
      <c r="G669" s="118" t="s">
        <v>4029</v>
      </c>
      <c r="H669" s="80"/>
      <c r="I669" s="29" t="str">
        <f>CONCATENATE(บันทึกนำเข้าDrawing[[#This Row],[Part No]],"+",บันทึกนำเข้าDrawing[[#This Row],[Drawing No]])</f>
        <v>2B48-432-00+DR-TW-2B48-432-00-00</v>
      </c>
    </row>
    <row r="670" spans="1:9">
      <c r="A670" s="33">
        <v>671</v>
      </c>
      <c r="B670" s="85">
        <v>44938</v>
      </c>
      <c r="C670" s="72" t="s">
        <v>5094</v>
      </c>
      <c r="D670" s="33" t="s">
        <v>5095</v>
      </c>
      <c r="E670" s="69" t="str">
        <f>RIGHT(บันทึกนำเข้าDrawing[[#This Row],[Drawing No]],1)</f>
        <v>0</v>
      </c>
      <c r="F670" s="68" t="s">
        <v>5069</v>
      </c>
      <c r="G670" s="118" t="s">
        <v>4029</v>
      </c>
      <c r="H670" s="80"/>
      <c r="I670" s="29" t="str">
        <f>CONCATENATE(บันทึกนำเข้าDrawing[[#This Row],[Part No]],"+",บันทึกนำเข้าDrawing[[#This Row],[Drawing No]])</f>
        <v>2B48-433-00+DR-TW-2B48-433-00-00</v>
      </c>
    </row>
    <row r="671" spans="1:9">
      <c r="A671" s="33">
        <v>672</v>
      </c>
      <c r="B671" s="85">
        <v>44940</v>
      </c>
      <c r="C671" s="72" t="s">
        <v>5100</v>
      </c>
      <c r="D671" s="33" t="s">
        <v>5101</v>
      </c>
      <c r="E671" s="69" t="str">
        <f>RIGHT(บันทึกนำเข้าDrawing[[#This Row],[Drawing No]],1)</f>
        <v>0</v>
      </c>
      <c r="F671" s="68" t="s">
        <v>5099</v>
      </c>
      <c r="G671" s="118" t="s">
        <v>4029</v>
      </c>
      <c r="H671" s="80"/>
      <c r="I671" s="29" t="str">
        <f>CONCATENATE(บันทึกนำเข้าDrawing[[#This Row],[Part No]],"+",บันทึกนำเข้าDrawing[[#This Row],[Drawing No]])</f>
        <v>2B69M330-00+DR-TW-2B69M330-00-00</v>
      </c>
    </row>
    <row r="672" spans="1:9">
      <c r="A672" s="33">
        <v>673</v>
      </c>
      <c r="B672" s="85">
        <v>44940</v>
      </c>
      <c r="C672" s="72" t="s">
        <v>5104</v>
      </c>
      <c r="D672" s="33" t="s">
        <v>5105</v>
      </c>
      <c r="E672" s="69" t="str">
        <f>RIGHT(บันทึกนำเข้าDrawing[[#This Row],[Drawing No]],1)</f>
        <v>0</v>
      </c>
      <c r="F672" s="68" t="s">
        <v>5106</v>
      </c>
      <c r="G672" s="118" t="s">
        <v>4029</v>
      </c>
      <c r="H672" s="80"/>
      <c r="I672" s="29" t="str">
        <f>CONCATENATE(บันทึกนำเข้าDrawing[[#This Row],[Part No]],"+",บันทึกนำเข้าDrawing[[#This Row],[Drawing No]])</f>
        <v>2B69M328-00+DR-TW-2B69M328-00-00</v>
      </c>
    </row>
    <row r="673" spans="1:9">
      <c r="A673" s="33">
        <v>674</v>
      </c>
      <c r="B673" s="85">
        <v>44940</v>
      </c>
      <c r="C673" s="72" t="s">
        <v>5107</v>
      </c>
      <c r="D673" s="33" t="s">
        <v>5108</v>
      </c>
      <c r="E673" s="69" t="str">
        <f>RIGHT(บันทึกนำเข้าDrawing[[#This Row],[Drawing No]],1)</f>
        <v>0</v>
      </c>
      <c r="F673" s="68" t="s">
        <v>5109</v>
      </c>
      <c r="G673" s="118" t="s">
        <v>4029</v>
      </c>
      <c r="H673" s="80"/>
      <c r="I673" s="29" t="str">
        <f>CONCATENATE(บันทึกนำเข้าDrawing[[#This Row],[Part No]],"+",บันทึกนำเข้าDrawing[[#This Row],[Drawing No]])</f>
        <v>2B69M322-00+DR-TW-2B69M322-00-00</v>
      </c>
    </row>
    <row r="674" spans="1:9">
      <c r="A674" s="33">
        <v>675</v>
      </c>
      <c r="B674" s="85">
        <v>44940</v>
      </c>
      <c r="C674" s="72" t="s">
        <v>5115</v>
      </c>
      <c r="D674" s="33" t="s">
        <v>5116</v>
      </c>
      <c r="E674" s="69" t="str">
        <f>RIGHT(บันทึกนำเข้าDrawing[[#This Row],[Drawing No]],1)</f>
        <v>0</v>
      </c>
      <c r="F674" s="68" t="s">
        <v>5118</v>
      </c>
      <c r="G674" s="118" t="s">
        <v>4029</v>
      </c>
      <c r="H674" s="80"/>
      <c r="I674" s="29" t="str">
        <f>CONCATENATE(บันทึกนำเข้าDrawing[[#This Row],[Part No]],"+",บันทึกนำเข้าDrawing[[#This Row],[Drawing No]])</f>
        <v>2B69M321-00+DR-TW-2B69M321-00-00</v>
      </c>
    </row>
    <row r="675" spans="1:9">
      <c r="A675" s="33">
        <v>676</v>
      </c>
      <c r="B675" s="85">
        <v>44940</v>
      </c>
      <c r="C675" s="72" t="s">
        <v>5115</v>
      </c>
      <c r="D675" s="33" t="s">
        <v>5117</v>
      </c>
      <c r="E675" s="69" t="str">
        <f>RIGHT(บันทึกนำเข้าDrawing[[#This Row],[Drawing No]],1)</f>
        <v>0</v>
      </c>
      <c r="F675" s="68" t="s">
        <v>5119</v>
      </c>
      <c r="G675" s="118" t="s">
        <v>4029</v>
      </c>
      <c r="H675" s="80"/>
      <c r="I675" s="29" t="str">
        <f>CONCATENATE(บันทึกนำเข้าDrawing[[#This Row],[Part No]],"+",บันทึกนำเข้าDrawing[[#This Row],[Drawing No]])</f>
        <v>2B69M332-00+DR-TW-2B69M321-00-00</v>
      </c>
    </row>
    <row r="676" spans="1:9">
      <c r="A676" s="33">
        <v>677</v>
      </c>
      <c r="B676" s="85">
        <v>44952</v>
      </c>
      <c r="C676" s="72" t="s">
        <v>5122</v>
      </c>
      <c r="D676" s="33" t="s">
        <v>5121</v>
      </c>
      <c r="E676" s="69" t="str">
        <f>RIGHT(บันทึกนำเข้าDrawing[[#This Row],[Drawing No]],1)</f>
        <v>0</v>
      </c>
      <c r="F676" s="68" t="s">
        <v>5123</v>
      </c>
      <c r="G676" s="118" t="s">
        <v>4029</v>
      </c>
      <c r="H676" s="80"/>
      <c r="I676" s="29" t="str">
        <f>CONCATENATE(บันทึกนำเข้าDrawing[[#This Row],[Part No]],"+",บันทึกนำเข้าDrawing[[#This Row],[Drawing No]])</f>
        <v>2B69M330-01+DR-TW-2B69M330-01-00</v>
      </c>
    </row>
    <row r="677" spans="1:9">
      <c r="A677" s="33">
        <v>678</v>
      </c>
      <c r="B677" s="85">
        <v>44959</v>
      </c>
      <c r="C677" s="72" t="s">
        <v>5137</v>
      </c>
      <c r="D677" s="33" t="s">
        <v>4774</v>
      </c>
      <c r="E677" s="69" t="str">
        <f>RIGHT(บันทึกนำเข้าDrawing[[#This Row],[Drawing No]],1)</f>
        <v>1</v>
      </c>
      <c r="F677" s="68" t="s">
        <v>4775</v>
      </c>
      <c r="G677" s="118" t="s">
        <v>4029</v>
      </c>
      <c r="H677" s="80">
        <v>44964</v>
      </c>
      <c r="I677" s="29" t="str">
        <f>CONCATENATE(บันทึกนำเข้าDrawing[[#This Row],[Part No]],"+",บันทึกนำเข้าDrawing[[#This Row],[Drawing No]])</f>
        <v>2B26-295-00+DR-TW-2B26-295-00-01</v>
      </c>
    </row>
    <row r="678" spans="1:9">
      <c r="A678" s="33">
        <v>679</v>
      </c>
      <c r="B678" s="85">
        <v>44959</v>
      </c>
      <c r="C678" s="72" t="s">
        <v>5137</v>
      </c>
      <c r="D678" s="33" t="s">
        <v>5138</v>
      </c>
      <c r="E678" s="69" t="str">
        <f>RIGHT(บันทึกนำเข้าDrawing[[#This Row],[Drawing No]],1)</f>
        <v>1</v>
      </c>
      <c r="F678" s="68" t="s">
        <v>5139</v>
      </c>
      <c r="G678" s="118" t="s">
        <v>4029</v>
      </c>
      <c r="H678" s="80">
        <v>44964</v>
      </c>
      <c r="I678" s="29" t="str">
        <f>CONCATENATE(บันทึกนำเข้าDrawing[[#This Row],[Part No]],"+",บันทึกนำเข้าDrawing[[#This Row],[Drawing No]])</f>
        <v>2B26-296-00+DR-TW-2B26-295-00-01</v>
      </c>
    </row>
    <row r="679" spans="1:9">
      <c r="A679" s="33">
        <v>680</v>
      </c>
      <c r="B679" s="85">
        <v>44959</v>
      </c>
      <c r="C679" s="72" t="s">
        <v>5140</v>
      </c>
      <c r="D679" s="33" t="s">
        <v>5141</v>
      </c>
      <c r="E679" s="69" t="str">
        <f>RIGHT(บันทึกนำเข้าDrawing[[#This Row],[Drawing No]],1)</f>
        <v>0</v>
      </c>
      <c r="F679" s="68" t="s">
        <v>5142</v>
      </c>
      <c r="G679" s="118" t="s">
        <v>4029</v>
      </c>
      <c r="H679" s="80">
        <v>44964</v>
      </c>
      <c r="I679" s="29" t="str">
        <f>CONCATENATE(บันทึกนำเข้าDrawing[[#This Row],[Part No]],"+",บันทึกนำเข้าDrawing[[#This Row],[Drawing No]])</f>
        <v>2B26-042-00+DR-TW-2B26-042-00-00</v>
      </c>
    </row>
    <row r="680" spans="1:9">
      <c r="A680" s="33">
        <v>681</v>
      </c>
      <c r="B680" s="85">
        <v>44959</v>
      </c>
      <c r="C680" s="72" t="s">
        <v>5144</v>
      </c>
      <c r="D680" s="33" t="s">
        <v>5143</v>
      </c>
      <c r="E680" s="69" t="str">
        <f>RIGHT(บันทึกนำเข้าDrawing[[#This Row],[Drawing No]],1)</f>
        <v>0</v>
      </c>
      <c r="F680" s="68" t="s">
        <v>5145</v>
      </c>
      <c r="G680" s="118" t="s">
        <v>4029</v>
      </c>
      <c r="H680" s="80">
        <v>44964</v>
      </c>
      <c r="I680" s="29" t="str">
        <f>CONCATENATE(บันทึกนำเข้าDrawing[[#This Row],[Part No]],"+",บันทึกนำเข้าDrawing[[#This Row],[Drawing No]])</f>
        <v>2B26-041-00+DR-TW-2B26-041-00-00</v>
      </c>
    </row>
    <row r="681" spans="1:9">
      <c r="A681" s="33">
        <v>682</v>
      </c>
      <c r="B681" s="85">
        <v>44959</v>
      </c>
      <c r="C681" s="72" t="s">
        <v>5146</v>
      </c>
      <c r="D681" s="33" t="s">
        <v>5147</v>
      </c>
      <c r="E681" s="69" t="str">
        <f>RIGHT(บันทึกนำเข้าDrawing[[#This Row],[Drawing No]],1)</f>
        <v>0</v>
      </c>
      <c r="F681" s="68" t="s">
        <v>5148</v>
      </c>
      <c r="G681" s="118" t="s">
        <v>4029</v>
      </c>
      <c r="H681" s="80">
        <v>44964</v>
      </c>
      <c r="I681" s="29" t="str">
        <f>CONCATENATE(บันทึกนำเข้าDrawing[[#This Row],[Part No]],"+",บันทึกนำเข้าDrawing[[#This Row],[Drawing No]])</f>
        <v>2B26-191-00+DR-TW-2B26-191-00-00</v>
      </c>
    </row>
    <row r="682" spans="1:9">
      <c r="A682" s="33">
        <v>683</v>
      </c>
      <c r="B682" s="85">
        <v>44965</v>
      </c>
      <c r="C682" s="72" t="s">
        <v>5152</v>
      </c>
      <c r="D682" s="33" t="s">
        <v>5147</v>
      </c>
      <c r="E682" s="69" t="str">
        <f>RIGHT(บันทึกนำเข้าDrawing[[#This Row],[Drawing No]],1)</f>
        <v>1</v>
      </c>
      <c r="F682" s="68" t="s">
        <v>5148</v>
      </c>
      <c r="G682" s="118" t="s">
        <v>4029</v>
      </c>
      <c r="H682" s="80">
        <v>44965</v>
      </c>
      <c r="I682" s="29" t="str">
        <f>CONCATENATE(บันทึกนำเข้าDrawing[[#This Row],[Part No]],"+",บันทึกนำเข้าDrawing[[#This Row],[Drawing No]])</f>
        <v>2B26-191-00+DR-TW-2B26-191-00-01</v>
      </c>
    </row>
    <row r="683" spans="1:9">
      <c r="A683" s="33">
        <v>684</v>
      </c>
      <c r="B683" s="85">
        <v>44965</v>
      </c>
      <c r="C683" s="72" t="s">
        <v>5153</v>
      </c>
      <c r="D683" s="33" t="s">
        <v>5154</v>
      </c>
      <c r="E683" s="69" t="str">
        <f>RIGHT(บันทึกนำเข้าDrawing[[#This Row],[Drawing No]],1)</f>
        <v>0</v>
      </c>
      <c r="F683" s="68" t="s">
        <v>3682</v>
      </c>
      <c r="G683" s="118" t="s">
        <v>4027</v>
      </c>
      <c r="H683" s="80"/>
      <c r="I683" s="29" t="str">
        <f>CONCATENATE(บันทึกนำเข้าDrawing[[#This Row],[Part No]],"+",บันทึกนำเข้าDrawing[[#This Row],[Drawing No]])</f>
        <v>2B26-400-01+DR-TW-2B26-400-01-00</v>
      </c>
    </row>
    <row r="684" spans="1:9">
      <c r="A684" s="33">
        <v>685</v>
      </c>
      <c r="B684" s="85">
        <v>44966</v>
      </c>
      <c r="C684" s="72" t="s">
        <v>5179</v>
      </c>
      <c r="D684" s="33" t="s">
        <v>5180</v>
      </c>
      <c r="E684" s="69" t="str">
        <f>RIGHT(บันทึกนำเข้าDrawing[[#This Row],[Drawing No]],1)</f>
        <v>0</v>
      </c>
      <c r="F684" s="68" t="s">
        <v>4775</v>
      </c>
      <c r="G684" s="118" t="s">
        <v>4029</v>
      </c>
      <c r="H684" s="80">
        <v>45012</v>
      </c>
      <c r="I684" s="29" t="str">
        <f>CONCATENATE(บันทึกนำเข้าDrawing[[#This Row],[Part No]],"+",บันทึกนำเข้าDrawing[[#This Row],[Drawing No]])</f>
        <v>2B26-295-01+DR-TW-2B26-295-01-00</v>
      </c>
    </row>
    <row r="685" spans="1:9">
      <c r="A685" s="33">
        <v>686</v>
      </c>
      <c r="B685" s="85">
        <v>44966</v>
      </c>
      <c r="C685" s="72" t="s">
        <v>5179</v>
      </c>
      <c r="D685" s="33" t="s">
        <v>5181</v>
      </c>
      <c r="E685" s="69" t="str">
        <f>RIGHT(บันทึกนำเข้าDrawing[[#This Row],[Drawing No]],1)</f>
        <v>0</v>
      </c>
      <c r="F685" s="68" t="s">
        <v>4775</v>
      </c>
      <c r="G685" s="118" t="s">
        <v>4029</v>
      </c>
      <c r="H685" s="80">
        <v>45013</v>
      </c>
      <c r="I685" s="29" t="str">
        <f>CONCATENATE(บันทึกนำเข้าDrawing[[#This Row],[Part No]],"+",บันทึกนำเข้าDrawing[[#This Row],[Drawing No]])</f>
        <v>2B26-296-01+DR-TW-2B26-295-01-00</v>
      </c>
    </row>
    <row r="686" spans="1:9">
      <c r="A686" s="33">
        <v>687</v>
      </c>
      <c r="B686" s="85">
        <v>44966</v>
      </c>
      <c r="C686" s="72" t="s">
        <v>5187</v>
      </c>
      <c r="D686" s="33" t="s">
        <v>5182</v>
      </c>
      <c r="E686" s="69" t="str">
        <f>RIGHT(บันทึกนำเข้าDrawing[[#This Row],[Drawing No]],1)</f>
        <v>0</v>
      </c>
      <c r="F686" s="68" t="s">
        <v>5183</v>
      </c>
      <c r="G686" s="118" t="s">
        <v>4521</v>
      </c>
      <c r="H686" s="80"/>
      <c r="I686" s="29" t="str">
        <f>CONCATENATE(บันทึกนำเข้าDrawing[[#This Row],[Part No]],"+",บันทึกนำเข้าDrawing[[#This Row],[Drawing No]])</f>
        <v>2B69A020-01+DR-TW-2B69A020-01-00</v>
      </c>
    </row>
    <row r="687" spans="1:9">
      <c r="A687" s="33">
        <v>688</v>
      </c>
      <c r="B687" s="85">
        <v>44966</v>
      </c>
      <c r="C687" s="72" t="s">
        <v>5184</v>
      </c>
      <c r="D687" s="33" t="s">
        <v>5185</v>
      </c>
      <c r="E687" s="69" t="str">
        <f>RIGHT(บันทึกนำเข้าDrawing[[#This Row],[Drawing No]],1)</f>
        <v>0</v>
      </c>
      <c r="F687" s="68" t="s">
        <v>5186</v>
      </c>
      <c r="G687" s="118" t="s">
        <v>4521</v>
      </c>
      <c r="H687" s="80"/>
      <c r="I687" s="29" t="str">
        <f>CONCATENATE(บันทึกนำเข้าDrawing[[#This Row],[Part No]],"+",บันทึกนำเข้าDrawing[[#This Row],[Drawing No]])</f>
        <v>2B69M350-00+DR-TW-2B69M350-00-00</v>
      </c>
    </row>
    <row r="688" spans="1:9">
      <c r="A688" s="33">
        <v>689</v>
      </c>
      <c r="B688" s="85">
        <v>44978</v>
      </c>
      <c r="C688" s="72" t="s">
        <v>5189</v>
      </c>
      <c r="D688" s="33" t="s">
        <v>5190</v>
      </c>
      <c r="E688" s="69" t="str">
        <f>RIGHT(บันทึกนำเข้าDrawing[[#This Row],[Drawing No]],1)</f>
        <v>0</v>
      </c>
      <c r="F688" s="68" t="s">
        <v>5191</v>
      </c>
      <c r="G688" s="118" t="s">
        <v>4521</v>
      </c>
      <c r="H688" s="80"/>
      <c r="I688" s="29" t="str">
        <f>CONCATENATE(บันทึกนำเข้าDrawing[[#This Row],[Part No]],"+",บันทึกนำเข้าDrawing[[#This Row],[Drawing No]])</f>
        <v>2B69MXXX-00+DR-TW-2B69MXXX-00-00</v>
      </c>
    </row>
    <row r="689" spans="1:9">
      <c r="A689" s="33">
        <v>690</v>
      </c>
      <c r="B689" s="85">
        <v>44979</v>
      </c>
      <c r="C689" s="72" t="s">
        <v>5192</v>
      </c>
      <c r="D689" s="33" t="s">
        <v>5193</v>
      </c>
      <c r="E689" s="69" t="str">
        <f>RIGHT(บันทึกนำเข้าDrawing[[#This Row],[Drawing No]],1)</f>
        <v>0</v>
      </c>
      <c r="F689" s="68" t="s">
        <v>5194</v>
      </c>
      <c r="G689" s="118" t="s">
        <v>4027</v>
      </c>
      <c r="H689" s="80">
        <v>44982</v>
      </c>
      <c r="I689" s="29" t="str">
        <f>CONCATENATE(บันทึกนำเข้าDrawing[[#This Row],[Part No]],"+",บันทึกนำเข้าDrawing[[#This Row],[Drawing No]])</f>
        <v>2B27-120-02+DR-TW-2B27-120-02-00</v>
      </c>
    </row>
    <row r="690" spans="1:9">
      <c r="A690" s="33">
        <v>691</v>
      </c>
      <c r="B690" s="85">
        <v>44979</v>
      </c>
      <c r="C690" s="72" t="s">
        <v>5196</v>
      </c>
      <c r="D690" s="33" t="s">
        <v>5197</v>
      </c>
      <c r="E690" s="69" t="str">
        <f>RIGHT(บันทึกนำเข้าDrawing[[#This Row],[Drawing No]],1)</f>
        <v>0</v>
      </c>
      <c r="F690" s="68" t="s">
        <v>5198</v>
      </c>
      <c r="G690" s="118" t="s">
        <v>4027</v>
      </c>
      <c r="H690" s="80">
        <v>45094</v>
      </c>
      <c r="I690" s="29" t="str">
        <f>CONCATENATE(บันทึกนำเข้าDrawing[[#This Row],[Part No]],"+",บันทึกนำเข้าDrawing[[#This Row],[Drawing No]])</f>
        <v>2B27-063-00+DR-TW-2B27-063-00-00</v>
      </c>
    </row>
    <row r="691" spans="1:9">
      <c r="A691" s="33">
        <v>692</v>
      </c>
      <c r="B691" s="85">
        <v>44979</v>
      </c>
      <c r="C691" s="72" t="s">
        <v>5200</v>
      </c>
      <c r="D691" s="33" t="s">
        <v>5199</v>
      </c>
      <c r="E691" s="69" t="str">
        <f>RIGHT(บันทึกนำเข้าDrawing[[#This Row],[Drawing No]],1)</f>
        <v>0</v>
      </c>
      <c r="F691" s="68" t="s">
        <v>5202</v>
      </c>
      <c r="G691" s="118" t="s">
        <v>4027</v>
      </c>
      <c r="H691" s="80"/>
      <c r="I691" s="29" t="str">
        <f>CONCATENATE(บันทึกนำเข้าDrawing[[#This Row],[Part No]],"+",บันทึกนำเข้าDrawing[[#This Row],[Drawing No]])</f>
        <v>2B27-111-02+DR-TW-2B27-111-02-00</v>
      </c>
    </row>
    <row r="692" spans="1:9">
      <c r="A692" s="33">
        <v>693</v>
      </c>
      <c r="B692" s="85">
        <v>44979</v>
      </c>
      <c r="C692" s="72" t="s">
        <v>5203</v>
      </c>
      <c r="D692" s="33" t="s">
        <v>5204</v>
      </c>
      <c r="E692" s="69" t="str">
        <f>RIGHT(บันทึกนำเข้าDrawing[[#This Row],[Drawing No]],1)</f>
        <v>0</v>
      </c>
      <c r="F692" s="68" t="s">
        <v>5205</v>
      </c>
      <c r="G692" s="118" t="s">
        <v>4027</v>
      </c>
      <c r="H692" s="80">
        <v>44985</v>
      </c>
      <c r="I692" s="29" t="str">
        <f>CONCATENATE(บันทึกนำเข้าDrawing[[#This Row],[Part No]],"+",บันทึกนำเข้าDrawing[[#This Row],[Drawing No]])</f>
        <v>2B27-112-02+DR-TW-2B27-112-02-00</v>
      </c>
    </row>
    <row r="693" spans="1:9">
      <c r="A693" s="33">
        <v>694</v>
      </c>
      <c r="B693" s="85">
        <v>44979</v>
      </c>
      <c r="C693" s="72" t="s">
        <v>5210</v>
      </c>
      <c r="D693" s="33" t="s">
        <v>5211</v>
      </c>
      <c r="E693" s="69" t="str">
        <f>RIGHT(บันทึกนำเข้าDrawing[[#This Row],[Drawing No]],1)</f>
        <v>0</v>
      </c>
      <c r="F693" s="68" t="s">
        <v>5212</v>
      </c>
      <c r="G693" s="118" t="s">
        <v>4027</v>
      </c>
      <c r="H693" s="80">
        <v>44982</v>
      </c>
      <c r="I693" s="29" t="str">
        <f>CONCATENATE(บันทึกนำเข้าDrawing[[#This Row],[Part No]],"+",บันทึกนำเข้าDrawing[[#This Row],[Drawing No]])</f>
        <v>2B27-102-01+DR-TW-2B27-102-01-00</v>
      </c>
    </row>
    <row r="694" spans="1:9">
      <c r="A694" s="33">
        <v>695</v>
      </c>
      <c r="B694" s="85">
        <v>44979</v>
      </c>
      <c r="C694" s="72" t="s">
        <v>5214</v>
      </c>
      <c r="D694" s="33" t="s">
        <v>5215</v>
      </c>
      <c r="E694" s="69" t="str">
        <f>RIGHT(บันทึกนำเข้าDrawing[[#This Row],[Drawing No]],1)</f>
        <v>0</v>
      </c>
      <c r="F694" s="68" t="s">
        <v>4975</v>
      </c>
      <c r="G694" s="118" t="s">
        <v>4027</v>
      </c>
      <c r="H694" s="80">
        <v>45013</v>
      </c>
      <c r="I694" s="29" t="str">
        <f>CONCATENATE(บันทึกนำเข้าDrawing[[#This Row],[Part No]],"+",บันทึกนำเข้าDrawing[[#This Row],[Drawing No]])</f>
        <v>2B26-401-00+DR-TW-2B26-401-00-00</v>
      </c>
    </row>
    <row r="695" spans="1:9">
      <c r="A695" s="33">
        <v>696</v>
      </c>
      <c r="B695" s="85">
        <v>44979</v>
      </c>
      <c r="C695" s="72" t="s">
        <v>5216</v>
      </c>
      <c r="D695" s="33" t="s">
        <v>5217</v>
      </c>
      <c r="E695" s="69" t="str">
        <f>RIGHT(บันทึกนำเข้าDrawing[[#This Row],[Drawing No]],1)</f>
        <v>0</v>
      </c>
      <c r="F695" s="68" t="s">
        <v>4973</v>
      </c>
      <c r="G695" s="118" t="s">
        <v>4027</v>
      </c>
      <c r="H695" s="80">
        <v>45013</v>
      </c>
      <c r="I695" s="29" t="str">
        <f>CONCATENATE(บันทึกนำเข้าDrawing[[#This Row],[Part No]],"+",บันทึกนำเข้าDrawing[[#This Row],[Drawing No]])</f>
        <v>2B91-220-00+DR-TW-2B91-220-00-00</v>
      </c>
    </row>
    <row r="696" spans="1:9">
      <c r="A696" s="33">
        <v>697</v>
      </c>
      <c r="B696" s="85">
        <v>44979</v>
      </c>
      <c r="C696" s="72" t="s">
        <v>5218</v>
      </c>
      <c r="D696" s="33" t="s">
        <v>5219</v>
      </c>
      <c r="E696" s="69" t="str">
        <f>RIGHT(บันทึกนำเข้าDrawing[[#This Row],[Drawing No]],1)</f>
        <v>0</v>
      </c>
      <c r="F696" s="68" t="s">
        <v>5220</v>
      </c>
      <c r="G696" s="118" t="s">
        <v>4029</v>
      </c>
      <c r="H696" s="80"/>
      <c r="I696" s="29" t="str">
        <f>CONCATENATE(บันทึกนำเข้าDrawing[[#This Row],[Part No]],"+",บันทึกนำเข้าDrawing[[#This Row],[Drawing No]])</f>
        <v>2B26-430-00+DR-TW-2B26-430-00-00</v>
      </c>
    </row>
    <row r="697" spans="1:9">
      <c r="A697" s="33">
        <v>698</v>
      </c>
      <c r="B697" s="85">
        <v>44979</v>
      </c>
      <c r="C697" s="72" t="s">
        <v>5221</v>
      </c>
      <c r="D697" s="33" t="s">
        <v>5222</v>
      </c>
      <c r="E697" s="69" t="str">
        <f>RIGHT(บันทึกนำเข้าDrawing[[#This Row],[Drawing No]],1)</f>
        <v>0</v>
      </c>
      <c r="F697" s="68" t="s">
        <v>5223</v>
      </c>
      <c r="G697" s="118" t="s">
        <v>4029</v>
      </c>
      <c r="H697" s="80"/>
      <c r="I697" s="29" t="str">
        <f>CONCATENATE(บันทึกนำเข้าDrawing[[#This Row],[Part No]],"+",บันทึกนำเข้าDrawing[[#This Row],[Drawing No]])</f>
        <v>2B26-431-00+DR-TW-2B26-431-00-00</v>
      </c>
    </row>
    <row r="698" spans="1:9">
      <c r="A698" s="33">
        <v>699</v>
      </c>
      <c r="B698" s="85">
        <v>44979</v>
      </c>
      <c r="C698" s="72" t="s">
        <v>5224</v>
      </c>
      <c r="D698" s="33" t="s">
        <v>5225</v>
      </c>
      <c r="E698" s="69" t="str">
        <f>RIGHT(บันทึกนำเข้าDrawing[[#This Row],[Drawing No]],1)</f>
        <v>0</v>
      </c>
      <c r="F698" s="68" t="s">
        <v>5226</v>
      </c>
      <c r="G698" s="118" t="s">
        <v>4029</v>
      </c>
      <c r="H698" s="80"/>
      <c r="I698" s="29" t="str">
        <f>CONCATENATE(บันทึกนำเข้าDrawing[[#This Row],[Part No]],"+",บันทึกนำเข้าDrawing[[#This Row],[Drawing No]])</f>
        <v>2B26-490-00+DR-TW-2B26-490-00-00</v>
      </c>
    </row>
    <row r="699" spans="1:9">
      <c r="A699" s="33">
        <v>700</v>
      </c>
      <c r="B699" s="85">
        <v>44979</v>
      </c>
      <c r="C699" s="72" t="s">
        <v>5228</v>
      </c>
      <c r="D699" s="33" t="s">
        <v>5227</v>
      </c>
      <c r="E699" s="69" t="str">
        <f>RIGHT(บันทึกนำเข้าDrawing[[#This Row],[Drawing No]],1)</f>
        <v>0</v>
      </c>
      <c r="F699" s="68" t="s">
        <v>5229</v>
      </c>
      <c r="G699" s="118" t="s">
        <v>4029</v>
      </c>
      <c r="H699" s="80"/>
      <c r="I699" s="29" t="str">
        <f>CONCATENATE(บันทึกนำเข้าDrawing[[#This Row],[Part No]],"+",บันทึกนำเข้าDrawing[[#This Row],[Drawing No]])</f>
        <v>2B26-491-00+DR-TW-2B26-491-00-00</v>
      </c>
    </row>
    <row r="700" spans="1:9">
      <c r="A700" s="33">
        <v>701</v>
      </c>
      <c r="B700" s="85">
        <v>44980</v>
      </c>
      <c r="C700" s="72" t="s">
        <v>5231</v>
      </c>
      <c r="D700" s="33" t="s">
        <v>5230</v>
      </c>
      <c r="E700" s="69" t="str">
        <f>RIGHT(บันทึกนำเข้าDrawing[[#This Row],[Drawing No]],1)</f>
        <v>0</v>
      </c>
      <c r="F700" s="68" t="s">
        <v>5232</v>
      </c>
      <c r="G700" s="118" t="s">
        <v>4027</v>
      </c>
      <c r="H700" s="80">
        <v>44982</v>
      </c>
      <c r="I700" s="29" t="str">
        <f>CONCATENATE(บันทึกนำเข้าDrawing[[#This Row],[Part No]],"+",บันทึกนำเข้าDrawing[[#This Row],[Drawing No]])</f>
        <v>2B25-019-06+DR-TW-2B25-019-06-00</v>
      </c>
    </row>
    <row r="701" spans="1:9">
      <c r="A701" s="33">
        <v>702</v>
      </c>
      <c r="B701" s="85">
        <v>44981</v>
      </c>
      <c r="C701" s="72" t="s">
        <v>5233</v>
      </c>
      <c r="D701" s="33" t="s">
        <v>5234</v>
      </c>
      <c r="E701" s="69" t="str">
        <f>RIGHT(บันทึกนำเข้าDrawing[[#This Row],[Drawing No]],1)</f>
        <v>0</v>
      </c>
      <c r="F701" s="68" t="s">
        <v>5235</v>
      </c>
      <c r="G701" s="118" t="s">
        <v>3772</v>
      </c>
      <c r="H701" s="80"/>
      <c r="I701" s="29" t="str">
        <f>CONCATENATE(บันทึกนำเข้าDrawing[[#This Row],[Part No]],"+",บันทึกนำเข้าDrawing[[#This Row],[Drawing No]])</f>
        <v>2B91-301-00-R+DR-TW-2B91-301-00-R-00</v>
      </c>
    </row>
    <row r="702" spans="1:9">
      <c r="A702" s="33">
        <v>703</v>
      </c>
      <c r="B702" s="81">
        <v>44984</v>
      </c>
      <c r="C702" s="82" t="s">
        <v>5237</v>
      </c>
      <c r="D702" s="33" t="s">
        <v>5238</v>
      </c>
      <c r="E702" s="69" t="str">
        <f>RIGHT(บันทึกนำเข้าDrawing[[#This Row],[Drawing No]],1)</f>
        <v>0</v>
      </c>
      <c r="F702" s="84" t="s">
        <v>5239</v>
      </c>
      <c r="G702" s="120" t="s">
        <v>4521</v>
      </c>
      <c r="H702" s="83"/>
      <c r="I702" s="29" t="str">
        <f>CONCATENATE(บันทึกนำเข้าDrawing[[#This Row],[Part No]],"+",บันทึกนำเข้าDrawing[[#This Row],[Drawing No]])</f>
        <v>2B69M365-00+DR-TW-2B69M365-00-00</v>
      </c>
    </row>
    <row r="703" spans="1:9">
      <c r="A703" s="33">
        <v>704</v>
      </c>
      <c r="B703" s="81">
        <v>44984</v>
      </c>
      <c r="C703" s="82" t="s">
        <v>5240</v>
      </c>
      <c r="D703" s="33" t="s">
        <v>5241</v>
      </c>
      <c r="E703" s="69" t="str">
        <f>RIGHT(บันทึกนำเข้าDrawing[[#This Row],[Drawing No]],1)</f>
        <v>1</v>
      </c>
      <c r="F703" s="84" t="s">
        <v>5242</v>
      </c>
      <c r="G703" s="120" t="s">
        <v>4029</v>
      </c>
      <c r="H703" s="83"/>
      <c r="I703" s="29" t="str">
        <f>CONCATENATE(บันทึกนำเข้าDrawing[[#This Row],[Part No]],"+",บันทึกนำเข้าDrawing[[#This Row],[Drawing No]])</f>
        <v>2B69M361-00+DR-TW-2B69M330-01-01</v>
      </c>
    </row>
    <row r="704" spans="1:9">
      <c r="A704" s="33">
        <v>705</v>
      </c>
      <c r="B704" s="81">
        <v>44984</v>
      </c>
      <c r="C704" s="82" t="s">
        <v>5240</v>
      </c>
      <c r="D704" s="33" t="s">
        <v>5121</v>
      </c>
      <c r="E704" s="69" t="str">
        <f>RIGHT(บันทึกนำเข้าDrawing[[#This Row],[Drawing No]],1)</f>
        <v>1</v>
      </c>
      <c r="F704" s="84" t="s">
        <v>5243</v>
      </c>
      <c r="G704" s="120" t="s">
        <v>4029</v>
      </c>
      <c r="H704" s="83"/>
      <c r="I704" s="29" t="str">
        <f>CONCATENATE(บันทึกนำเข้าDrawing[[#This Row],[Part No]],"+",บันทึกนำเข้าDrawing[[#This Row],[Drawing No]])</f>
        <v>2B69M330-01+DR-TW-2B69M330-01-01</v>
      </c>
    </row>
    <row r="705" spans="1:9">
      <c r="A705" s="33">
        <v>706</v>
      </c>
      <c r="B705" s="81">
        <v>44984</v>
      </c>
      <c r="C705" s="82" t="s">
        <v>5240</v>
      </c>
      <c r="D705" s="33" t="s">
        <v>5244</v>
      </c>
      <c r="E705" s="69" t="str">
        <f>RIGHT(บันทึกนำเข้าDrawing[[#This Row],[Drawing No]],1)</f>
        <v>1</v>
      </c>
      <c r="F705" s="84" t="s">
        <v>5245</v>
      </c>
      <c r="G705" s="120" t="s">
        <v>4029</v>
      </c>
      <c r="H705" s="83"/>
      <c r="I705" s="29" t="str">
        <f>CONCATENATE(บันทึกนำเข้าDrawing[[#This Row],[Part No]],"+",บันทึกนำเข้าDrawing[[#This Row],[Drawing No]])</f>
        <v>2B69M362-00+DR-TW-2B69M330-01-01</v>
      </c>
    </row>
    <row r="706" spans="1:9">
      <c r="A706" s="33">
        <v>707</v>
      </c>
      <c r="B706" s="81">
        <v>44984</v>
      </c>
      <c r="C706" s="82" t="s">
        <v>5246</v>
      </c>
      <c r="D706" s="33" t="s">
        <v>5105</v>
      </c>
      <c r="E706" s="69" t="str">
        <f>RIGHT(บันทึกนำเข้าDrawing[[#This Row],[Drawing No]],1)</f>
        <v>1</v>
      </c>
      <c r="F706" s="68" t="s">
        <v>5106</v>
      </c>
      <c r="G706" s="120" t="s">
        <v>4029</v>
      </c>
      <c r="H706" s="83"/>
      <c r="I706" s="29" t="str">
        <f>CONCATENATE(บันทึกนำเข้าDrawing[[#This Row],[Part No]],"+",บันทึกนำเข้าDrawing[[#This Row],[Drawing No]])</f>
        <v>2B69M328-00+DR-TW-2B69M328-00-01</v>
      </c>
    </row>
    <row r="707" spans="1:9">
      <c r="A707" s="33">
        <v>708</v>
      </c>
      <c r="B707" s="81">
        <v>44984</v>
      </c>
      <c r="C707" s="82" t="s">
        <v>5246</v>
      </c>
      <c r="D707" s="33" t="s">
        <v>5247</v>
      </c>
      <c r="E707" s="69" t="str">
        <f>RIGHT(บันทึกนำเข้าDrawing[[#This Row],[Drawing No]],1)</f>
        <v>1</v>
      </c>
      <c r="F707" s="68" t="s">
        <v>5248</v>
      </c>
      <c r="G707" s="120" t="s">
        <v>4029</v>
      </c>
      <c r="H707" s="83"/>
      <c r="I707" s="29" t="str">
        <f>CONCATENATE(บันทึกนำเข้าDrawing[[#This Row],[Part No]],"+",บันทึกนำเข้าDrawing[[#This Row],[Drawing No]])</f>
        <v>2B69M359-00+DR-TW-2B69M328-00-01</v>
      </c>
    </row>
    <row r="708" spans="1:9">
      <c r="A708" s="33">
        <v>709</v>
      </c>
      <c r="B708" s="81">
        <v>44984</v>
      </c>
      <c r="C708" s="82" t="s">
        <v>5246</v>
      </c>
      <c r="D708" s="33" t="s">
        <v>5249</v>
      </c>
      <c r="E708" s="69" t="str">
        <f>RIGHT(บันทึกนำเข้าDrawing[[#This Row],[Drawing No]],1)</f>
        <v>1</v>
      </c>
      <c r="F708" s="68" t="s">
        <v>5250</v>
      </c>
      <c r="G708" s="120" t="s">
        <v>4029</v>
      </c>
      <c r="H708" s="83"/>
      <c r="I708" s="29" t="str">
        <f>CONCATENATE(บันทึกนำเข้าDrawing[[#This Row],[Part No]],"+",บันทึกนำเข้าDrawing[[#This Row],[Drawing No]])</f>
        <v>2B69M360-00+DR-TW-2B69M328-00-01</v>
      </c>
    </row>
    <row r="709" spans="1:9">
      <c r="A709" s="33">
        <v>710</v>
      </c>
      <c r="B709" s="81">
        <v>44984</v>
      </c>
      <c r="C709" s="82" t="s">
        <v>5251</v>
      </c>
      <c r="D709" s="33" t="s">
        <v>5252</v>
      </c>
      <c r="E709" s="69" t="str">
        <f>RIGHT(บันทึกนำเข้าDrawing[[#This Row],[Drawing No]],1)</f>
        <v>0</v>
      </c>
      <c r="F709" s="84" t="s">
        <v>5253</v>
      </c>
      <c r="G709" s="120" t="s">
        <v>4027</v>
      </c>
      <c r="H709" s="83">
        <v>44995</v>
      </c>
      <c r="I709" s="29" t="str">
        <f>CONCATENATE(บันทึกนำเข้าDrawing[[#This Row],[Part No]],"+",บันทึกนำเข้าDrawing[[#This Row],[Drawing No]])</f>
        <v>2B26-150-09+DR-TW-2B26-150-09-00</v>
      </c>
    </row>
    <row r="710" spans="1:9">
      <c r="A710" s="33">
        <v>711</v>
      </c>
      <c r="B710" s="81">
        <v>44984</v>
      </c>
      <c r="C710" s="82" t="s">
        <v>5333</v>
      </c>
      <c r="D710" s="33" t="s">
        <v>5334</v>
      </c>
      <c r="E710" s="69" t="str">
        <f>RIGHT(บันทึกนำเข้าDrawing[[#This Row],[Drawing No]],1)</f>
        <v>1</v>
      </c>
      <c r="F710" s="84" t="s">
        <v>5335</v>
      </c>
      <c r="G710" s="120" t="s">
        <v>3772</v>
      </c>
      <c r="H710" s="83"/>
      <c r="I710" s="29" t="str">
        <f>CONCATENATE(บันทึกนำเข้าDrawing[[#This Row],[Part No]],"+",บันทึกนำเข้าDrawing[[#This Row],[Drawing No]])</f>
        <v>2B22-090-00+DR-TW-2B22-090-00-01</v>
      </c>
    </row>
    <row r="711" spans="1:9">
      <c r="A711" s="33">
        <v>712</v>
      </c>
      <c r="B711" s="81">
        <v>44984</v>
      </c>
      <c r="C711" s="82" t="s">
        <v>5333</v>
      </c>
      <c r="D711" s="33" t="s">
        <v>5336</v>
      </c>
      <c r="E711" s="69" t="str">
        <f>RIGHT(บันทึกนำเข้าDrawing[[#This Row],[Drawing No]],1)</f>
        <v>1</v>
      </c>
      <c r="F711" s="84" t="s">
        <v>5337</v>
      </c>
      <c r="G711" s="120" t="s">
        <v>3772</v>
      </c>
      <c r="H711" s="83"/>
      <c r="I711" s="29" t="str">
        <f>CONCATENATE(บันทึกนำเข้าDrawing[[#This Row],[Part No]],"+",บันทึกนำเข้าDrawing[[#This Row],[Drawing No]])</f>
        <v>2B22-095-00+DR-TW-2B22-090-00-01</v>
      </c>
    </row>
    <row r="712" spans="1:9">
      <c r="A712" s="33">
        <v>713</v>
      </c>
      <c r="B712" s="85">
        <v>44984</v>
      </c>
      <c r="C712" s="72" t="s">
        <v>5333</v>
      </c>
      <c r="D712" s="33" t="s">
        <v>5338</v>
      </c>
      <c r="E712" s="69" t="str">
        <f>RIGHT(บันทึกนำเข้าDrawing[[#This Row],[Drawing No]],1)</f>
        <v>1</v>
      </c>
      <c r="F712" s="68" t="s">
        <v>5339</v>
      </c>
      <c r="G712" s="118" t="s">
        <v>3772</v>
      </c>
      <c r="H712" s="80"/>
      <c r="I712" s="29" t="str">
        <f>CONCATENATE(บันทึกนำเข้าDrawing[[#This Row],[Part No]],"+",บันทึกนำเข้าDrawing[[#This Row],[Drawing No]])</f>
        <v>2B22-100-00+DR-TW-2B22-090-00-01</v>
      </c>
    </row>
    <row r="713" spans="1:9">
      <c r="A713" s="33">
        <v>714</v>
      </c>
      <c r="B713" s="81">
        <v>44984</v>
      </c>
      <c r="C713" s="82" t="s">
        <v>5333</v>
      </c>
      <c r="D713" s="33" t="s">
        <v>5340</v>
      </c>
      <c r="E713" s="69" t="str">
        <f>RIGHT(บันทึกนำเข้าDrawing[[#This Row],[Drawing No]],1)</f>
        <v>1</v>
      </c>
      <c r="F713" s="84" t="s">
        <v>5343</v>
      </c>
      <c r="G713" s="120" t="s">
        <v>3772</v>
      </c>
      <c r="H713" s="83"/>
      <c r="I713" s="29" t="str">
        <f>CONCATENATE(บันทึกนำเข้าDrawing[[#This Row],[Part No]],"+",บันทึกนำเข้าDrawing[[#This Row],[Drawing No]])</f>
        <v>2B22-105-00+DR-TW-2B22-090-00-01</v>
      </c>
    </row>
    <row r="714" spans="1:9">
      <c r="A714" s="33">
        <v>715</v>
      </c>
      <c r="B714" s="81">
        <v>44984</v>
      </c>
      <c r="C714" s="82" t="s">
        <v>5333</v>
      </c>
      <c r="D714" s="33" t="s">
        <v>5342</v>
      </c>
      <c r="E714" s="69" t="str">
        <f>RIGHT(บันทึกนำเข้าDrawing[[#This Row],[Drawing No]],1)</f>
        <v>1</v>
      </c>
      <c r="F714" s="84" t="s">
        <v>5339</v>
      </c>
      <c r="G714" s="120" t="s">
        <v>3772</v>
      </c>
      <c r="H714" s="83"/>
      <c r="I714" s="29" t="str">
        <f>CONCATENATE(บันทึกนำเข้าDrawing[[#This Row],[Part No]],"+",บันทึกนำเข้าDrawing[[#This Row],[Drawing No]])</f>
        <v>2B22-110-00+DR-TW-2B22-090-00-01</v>
      </c>
    </row>
    <row r="715" spans="1:9">
      <c r="A715" s="33">
        <v>716</v>
      </c>
      <c r="B715" s="85">
        <v>44984</v>
      </c>
      <c r="C715" s="72" t="s">
        <v>5333</v>
      </c>
      <c r="D715" s="33" t="s">
        <v>5344</v>
      </c>
      <c r="E715" s="69" t="str">
        <f>RIGHT(บันทึกนำเข้าDrawing[[#This Row],[Drawing No]],1)</f>
        <v>1</v>
      </c>
      <c r="F715" s="68" t="s">
        <v>5345</v>
      </c>
      <c r="G715" s="118" t="s">
        <v>3772</v>
      </c>
      <c r="H715" s="80"/>
      <c r="I715" s="29" t="str">
        <f>CONCATENATE(บันทึกนำเข้าDrawing[[#This Row],[Part No]],"+",บันทึกนำเข้าDrawing[[#This Row],[Drawing No]])</f>
        <v>2B22-115-00+DR-TW-2B22-090-00-01</v>
      </c>
    </row>
    <row r="716" spans="1:9">
      <c r="A716" s="33">
        <v>717</v>
      </c>
      <c r="B716" s="85">
        <v>44984</v>
      </c>
      <c r="C716" s="72" t="s">
        <v>5333</v>
      </c>
      <c r="D716" s="33" t="s">
        <v>5346</v>
      </c>
      <c r="E716" s="69" t="str">
        <f>RIGHT(บันทึกนำเข้าDrawing[[#This Row],[Drawing No]],1)</f>
        <v>1</v>
      </c>
      <c r="F716" s="68" t="s">
        <v>5385</v>
      </c>
      <c r="G716" s="118" t="s">
        <v>3772</v>
      </c>
      <c r="H716" s="80"/>
      <c r="I716" s="29" t="str">
        <f>CONCATENATE(บันทึกนำเข้าDrawing[[#This Row],[Part No]],"+",บันทึกนำเข้าDrawing[[#This Row],[Drawing No]])</f>
        <v>2B22-120-00+DR-TW-2B22-090-00-01</v>
      </c>
    </row>
    <row r="717" spans="1:9">
      <c r="A717" s="33">
        <v>718</v>
      </c>
      <c r="B717" s="81">
        <v>44984</v>
      </c>
      <c r="C717" s="82" t="s">
        <v>5333</v>
      </c>
      <c r="D717" s="33" t="s">
        <v>5347</v>
      </c>
      <c r="E717" s="69" t="str">
        <f>RIGHT(บันทึกนำเข้าDrawing[[#This Row],[Drawing No]],1)</f>
        <v>1</v>
      </c>
      <c r="F717" s="84" t="s">
        <v>5386</v>
      </c>
      <c r="G717" s="120" t="s">
        <v>3772</v>
      </c>
      <c r="H717" s="83"/>
      <c r="I717" s="29" t="str">
        <f>CONCATENATE(บันทึกนำเข้าDrawing[[#This Row],[Part No]],"+",บันทึกนำเข้าDrawing[[#This Row],[Drawing No]])</f>
        <v>2B22-125-00+DR-TW-2B22-090-00-01</v>
      </c>
    </row>
    <row r="718" spans="1:9">
      <c r="A718" s="33">
        <v>719</v>
      </c>
      <c r="B718" s="81">
        <v>44984</v>
      </c>
      <c r="C718" s="82" t="s">
        <v>5333</v>
      </c>
      <c r="D718" s="33" t="s">
        <v>5348</v>
      </c>
      <c r="E718" s="69" t="str">
        <f>RIGHT(บันทึกนำเข้าDrawing[[#This Row],[Drawing No]],1)</f>
        <v>1</v>
      </c>
      <c r="F718" s="84" t="s">
        <v>5387</v>
      </c>
      <c r="G718" s="120" t="s">
        <v>3772</v>
      </c>
      <c r="H718" s="83"/>
      <c r="I718" s="29" t="str">
        <f>CONCATENATE(บันทึกนำเข้าDrawing[[#This Row],[Part No]],"+",บันทึกนำเข้าDrawing[[#This Row],[Drawing No]])</f>
        <v>2B22-130-00+DR-TW-2B22-090-00-01</v>
      </c>
    </row>
    <row r="719" spans="1:9">
      <c r="A719" s="33">
        <v>720</v>
      </c>
      <c r="B719" s="85">
        <v>44984</v>
      </c>
      <c r="C719" s="72" t="s">
        <v>5333</v>
      </c>
      <c r="D719" s="33" t="s">
        <v>5349</v>
      </c>
      <c r="E719" s="69" t="str">
        <f>RIGHT(บันทึกนำเข้าDrawing[[#This Row],[Drawing No]],1)</f>
        <v>1</v>
      </c>
      <c r="F719" s="68" t="s">
        <v>5388</v>
      </c>
      <c r="G719" s="118" t="s">
        <v>3772</v>
      </c>
      <c r="H719" s="80"/>
      <c r="I719" s="29" t="str">
        <f>CONCATENATE(บันทึกนำเข้าDrawing[[#This Row],[Part No]],"+",บันทึกนำเข้าDrawing[[#This Row],[Drawing No]])</f>
        <v>2B22-135-00+DR-TW-2B22-090-00-01</v>
      </c>
    </row>
    <row r="720" spans="1:9">
      <c r="A720" s="33">
        <v>721</v>
      </c>
      <c r="B720" s="85">
        <v>44984</v>
      </c>
      <c r="C720" s="72" t="s">
        <v>5333</v>
      </c>
      <c r="D720" s="33" t="s">
        <v>5350</v>
      </c>
      <c r="E720" s="69" t="str">
        <f>RIGHT(บันทึกนำเข้าDrawing[[#This Row],[Drawing No]],1)</f>
        <v>1</v>
      </c>
      <c r="F720" s="68" t="s">
        <v>4715</v>
      </c>
      <c r="G720" s="118" t="s">
        <v>3772</v>
      </c>
      <c r="H720" s="80"/>
      <c r="I720" s="29" t="str">
        <f>CONCATENATE(บันทึกนำเข้าDrawing[[#This Row],[Part No]],"+",บันทึกนำเข้าDrawing[[#This Row],[Drawing No]])</f>
        <v>2B22-140-00+DR-TW-2B22-090-00-01</v>
      </c>
    </row>
    <row r="721" spans="1:9">
      <c r="A721" s="33">
        <v>722</v>
      </c>
      <c r="B721" s="81">
        <v>44984</v>
      </c>
      <c r="C721" s="82" t="s">
        <v>5333</v>
      </c>
      <c r="D721" s="33" t="s">
        <v>5351</v>
      </c>
      <c r="E721" s="69" t="str">
        <f>RIGHT(บันทึกนำเข้าDrawing[[#This Row],[Drawing No]],1)</f>
        <v>1</v>
      </c>
      <c r="F721" s="84" t="s">
        <v>5389</v>
      </c>
      <c r="G721" s="120" t="s">
        <v>3772</v>
      </c>
      <c r="H721" s="83"/>
      <c r="I721" s="29" t="str">
        <f>CONCATENATE(บันทึกนำเข้าDrawing[[#This Row],[Part No]],"+",บันทึกนำเข้าDrawing[[#This Row],[Drawing No]])</f>
        <v>2B22-145-00+DR-TW-2B22-090-00-01</v>
      </c>
    </row>
    <row r="722" spans="1:9">
      <c r="A722" s="33">
        <v>723</v>
      </c>
      <c r="B722" s="81">
        <v>44984</v>
      </c>
      <c r="C722" s="82" t="s">
        <v>5333</v>
      </c>
      <c r="D722" s="33" t="s">
        <v>5352</v>
      </c>
      <c r="E722" s="69" t="str">
        <f>RIGHT(บันทึกนำเข้าDrawing[[#This Row],[Drawing No]],1)</f>
        <v>1</v>
      </c>
      <c r="F722" s="84" t="s">
        <v>4714</v>
      </c>
      <c r="G722" s="120" t="s">
        <v>4027</v>
      </c>
      <c r="H722" s="83">
        <v>45013</v>
      </c>
      <c r="I722" s="29" t="str">
        <f>CONCATENATE(บันทึกนำเข้าDrawing[[#This Row],[Part No]],"+",บันทึกนำเข้าDrawing[[#This Row],[Drawing No]])</f>
        <v>2B22-150-00+DR-TW-2B22-090-00-01</v>
      </c>
    </row>
    <row r="723" spans="1:9">
      <c r="A723" s="33">
        <v>724</v>
      </c>
      <c r="B723" s="85">
        <v>44984</v>
      </c>
      <c r="C723" s="72" t="s">
        <v>5333</v>
      </c>
      <c r="D723" s="33" t="s">
        <v>5353</v>
      </c>
      <c r="E723" s="69" t="str">
        <f>RIGHT(บันทึกนำเข้าDrawing[[#This Row],[Drawing No]],1)</f>
        <v>1</v>
      </c>
      <c r="F723" s="68" t="s">
        <v>5390</v>
      </c>
      <c r="G723" s="118" t="s">
        <v>3772</v>
      </c>
      <c r="H723" s="80"/>
      <c r="I723" s="29" t="str">
        <f>CONCATENATE(บันทึกนำเข้าDrawing[[#This Row],[Part No]],"+",บันทึกนำเข้าDrawing[[#This Row],[Drawing No]])</f>
        <v>2B22-155-00+DR-TW-2B22-090-00-01</v>
      </c>
    </row>
    <row r="724" spans="1:9">
      <c r="A724" s="33">
        <v>725</v>
      </c>
      <c r="B724" s="85">
        <v>44984</v>
      </c>
      <c r="C724" s="72" t="s">
        <v>5333</v>
      </c>
      <c r="D724" s="33" t="s">
        <v>5354</v>
      </c>
      <c r="E724" s="69" t="str">
        <f>RIGHT(บันทึกนำเข้าDrawing[[#This Row],[Drawing No]],1)</f>
        <v>1</v>
      </c>
      <c r="F724" s="68" t="s">
        <v>5391</v>
      </c>
      <c r="G724" s="118" t="s">
        <v>3772</v>
      </c>
      <c r="H724" s="80"/>
      <c r="I724" s="29" t="str">
        <f>CONCATENATE(บันทึกนำเข้าDrawing[[#This Row],[Part No]],"+",บันทึกนำเข้าDrawing[[#This Row],[Drawing No]])</f>
        <v>2B22-160-00+DR-TW-2B22-090-00-01</v>
      </c>
    </row>
    <row r="725" spans="1:9">
      <c r="A725" s="33">
        <v>726</v>
      </c>
      <c r="B725" s="81">
        <v>44984</v>
      </c>
      <c r="C725" s="82" t="s">
        <v>5333</v>
      </c>
      <c r="D725" s="33" t="s">
        <v>5355</v>
      </c>
      <c r="E725" s="69" t="str">
        <f>RIGHT(บันทึกนำเข้าDrawing[[#This Row],[Drawing No]],1)</f>
        <v>1</v>
      </c>
      <c r="F725" s="84" t="s">
        <v>5392</v>
      </c>
      <c r="G725" s="120" t="s">
        <v>3772</v>
      </c>
      <c r="H725" s="83"/>
      <c r="I725" s="29" t="str">
        <f>CONCATENATE(บันทึกนำเข้าDrawing[[#This Row],[Part No]],"+",บันทึกนำเข้าDrawing[[#This Row],[Drawing No]])</f>
        <v>2B22-165-00+DR-TW-2B22-090-00-01</v>
      </c>
    </row>
    <row r="726" spans="1:9">
      <c r="A726" s="33">
        <v>727</v>
      </c>
      <c r="B726" s="81">
        <v>44984</v>
      </c>
      <c r="C726" s="82" t="s">
        <v>5333</v>
      </c>
      <c r="D726" s="33" t="s">
        <v>5356</v>
      </c>
      <c r="E726" s="69" t="str">
        <f>RIGHT(บันทึกนำเข้าDrawing[[#This Row],[Drawing No]],1)</f>
        <v>1</v>
      </c>
      <c r="F726" s="84" t="s">
        <v>5393</v>
      </c>
      <c r="G726" s="120" t="s">
        <v>3772</v>
      </c>
      <c r="H726" s="83"/>
      <c r="I726" s="29" t="str">
        <f>CONCATENATE(บันทึกนำเข้าDrawing[[#This Row],[Part No]],"+",บันทึกนำเข้าDrawing[[#This Row],[Drawing No]])</f>
        <v>2B22-170-00+DR-TW-2B22-090-00-01</v>
      </c>
    </row>
    <row r="727" spans="1:9">
      <c r="A727" s="33">
        <v>728</v>
      </c>
      <c r="B727" s="85">
        <v>44984</v>
      </c>
      <c r="C727" s="72" t="s">
        <v>5333</v>
      </c>
      <c r="D727" s="33" t="s">
        <v>5357</v>
      </c>
      <c r="E727" s="69" t="str">
        <f>RIGHT(บันทึกนำเข้าDrawing[[#This Row],[Drawing No]],1)</f>
        <v>1</v>
      </c>
      <c r="F727" s="68" t="s">
        <v>5394</v>
      </c>
      <c r="G727" s="118" t="s">
        <v>3772</v>
      </c>
      <c r="H727" s="80"/>
      <c r="I727" s="29" t="str">
        <f>CONCATENATE(บันทึกนำเข้าDrawing[[#This Row],[Part No]],"+",บันทึกนำเข้าDrawing[[#This Row],[Drawing No]])</f>
        <v>2B22-175-00+DR-TW-2B22-090-00-01</v>
      </c>
    </row>
    <row r="728" spans="1:9">
      <c r="A728" s="33">
        <v>729</v>
      </c>
      <c r="B728" s="85">
        <v>44984</v>
      </c>
      <c r="C728" s="72" t="s">
        <v>5333</v>
      </c>
      <c r="D728" s="33" t="s">
        <v>5358</v>
      </c>
      <c r="E728" s="69" t="str">
        <f>RIGHT(บันทึกนำเข้าDrawing[[#This Row],[Drawing No]],1)</f>
        <v>1</v>
      </c>
      <c r="F728" s="68" t="s">
        <v>5395</v>
      </c>
      <c r="G728" s="118" t="s">
        <v>3772</v>
      </c>
      <c r="H728" s="80"/>
      <c r="I728" s="29" t="str">
        <f>CONCATENATE(บันทึกนำเข้าDrawing[[#This Row],[Part No]],"+",บันทึกนำเข้าDrawing[[#This Row],[Drawing No]])</f>
        <v>2B22-180-00+DR-TW-2B22-090-00-01</v>
      </c>
    </row>
    <row r="729" spans="1:9">
      <c r="A729" s="33">
        <v>730</v>
      </c>
      <c r="B729" s="81">
        <v>44984</v>
      </c>
      <c r="C729" s="82" t="s">
        <v>5333</v>
      </c>
      <c r="D729" s="33" t="s">
        <v>5359</v>
      </c>
      <c r="E729" s="69" t="str">
        <f>RIGHT(บันทึกนำเข้าDrawing[[#This Row],[Drawing No]],1)</f>
        <v>1</v>
      </c>
      <c r="F729" s="84" t="s">
        <v>5396</v>
      </c>
      <c r="G729" s="120" t="s">
        <v>3772</v>
      </c>
      <c r="H729" s="83"/>
      <c r="I729" s="29" t="str">
        <f>CONCATENATE(บันทึกนำเข้าDrawing[[#This Row],[Part No]],"+",บันทึกนำเข้าDrawing[[#This Row],[Drawing No]])</f>
        <v>2B22-185-00+DR-TW-2B22-090-00-01</v>
      </c>
    </row>
    <row r="730" spans="1:9">
      <c r="A730" s="33">
        <v>731</v>
      </c>
      <c r="B730" s="81">
        <v>44984</v>
      </c>
      <c r="C730" s="82" t="s">
        <v>5333</v>
      </c>
      <c r="D730" s="33" t="s">
        <v>5360</v>
      </c>
      <c r="E730" s="69" t="str">
        <f>RIGHT(บันทึกนำเข้าDrawing[[#This Row],[Drawing No]],1)</f>
        <v>1</v>
      </c>
      <c r="F730" s="84" t="s">
        <v>5397</v>
      </c>
      <c r="G730" s="120" t="s">
        <v>3772</v>
      </c>
      <c r="H730" s="83"/>
      <c r="I730" s="29" t="str">
        <f>CONCATENATE(บันทึกนำเข้าDrawing[[#This Row],[Part No]],"+",บันทึกนำเข้าDrawing[[#This Row],[Drawing No]])</f>
        <v>2B22-190-00+DR-TW-2B22-090-00-01</v>
      </c>
    </row>
    <row r="731" spans="1:9">
      <c r="A731" s="33">
        <v>732</v>
      </c>
      <c r="B731" s="85">
        <v>44984</v>
      </c>
      <c r="C731" s="72" t="s">
        <v>5333</v>
      </c>
      <c r="D731" s="33" t="s">
        <v>5361</v>
      </c>
      <c r="E731" s="69" t="str">
        <f>RIGHT(บันทึกนำเข้าDrawing[[#This Row],[Drawing No]],1)</f>
        <v>1</v>
      </c>
      <c r="F731" s="68" t="s">
        <v>5398</v>
      </c>
      <c r="G731" s="118" t="s">
        <v>3772</v>
      </c>
      <c r="H731" s="80"/>
      <c r="I731" s="29" t="str">
        <f>CONCATENATE(บันทึกนำเข้าDrawing[[#This Row],[Part No]],"+",บันทึกนำเข้าDrawing[[#This Row],[Drawing No]])</f>
        <v>2B22-195-00+DR-TW-2B22-090-00-01</v>
      </c>
    </row>
    <row r="732" spans="1:9">
      <c r="A732" s="33">
        <v>733</v>
      </c>
      <c r="B732" s="85">
        <v>44984</v>
      </c>
      <c r="C732" s="72" t="s">
        <v>5333</v>
      </c>
      <c r="D732" s="33" t="s">
        <v>5362</v>
      </c>
      <c r="E732" s="69" t="str">
        <f>RIGHT(บันทึกนำเข้าDrawing[[#This Row],[Drawing No]],1)</f>
        <v>1</v>
      </c>
      <c r="F732" s="68" t="s">
        <v>5399</v>
      </c>
      <c r="G732" s="118" t="s">
        <v>3772</v>
      </c>
      <c r="H732" s="80"/>
      <c r="I732" s="29" t="str">
        <f>CONCATENATE(บันทึกนำเข้าDrawing[[#This Row],[Part No]],"+",บันทึกนำเข้าDrawing[[#This Row],[Drawing No]])</f>
        <v>2B22-200-00+DR-TW-2B22-090-00-01</v>
      </c>
    </row>
    <row r="733" spans="1:9">
      <c r="A733" s="33">
        <v>734</v>
      </c>
      <c r="B733" s="81">
        <v>44984</v>
      </c>
      <c r="C733" s="82" t="s">
        <v>5333</v>
      </c>
      <c r="D733" s="33" t="s">
        <v>5363</v>
      </c>
      <c r="E733" s="69" t="str">
        <f>RIGHT(บันทึกนำเข้าDrawing[[#This Row],[Drawing No]],1)</f>
        <v>1</v>
      </c>
      <c r="F733" s="84" t="s">
        <v>5400</v>
      </c>
      <c r="G733" s="120" t="s">
        <v>3772</v>
      </c>
      <c r="H733" s="83"/>
      <c r="I733" s="29" t="str">
        <f>CONCATENATE(บันทึกนำเข้าDrawing[[#This Row],[Part No]],"+",บันทึกนำเข้าDrawing[[#This Row],[Drawing No]])</f>
        <v>2B22-205-00+DR-TW-2B22-090-00-01</v>
      </c>
    </row>
    <row r="734" spans="1:9">
      <c r="A734" s="33">
        <v>735</v>
      </c>
      <c r="B734" s="81">
        <v>44984</v>
      </c>
      <c r="C734" s="82" t="s">
        <v>5333</v>
      </c>
      <c r="D734" s="33" t="s">
        <v>5364</v>
      </c>
      <c r="E734" s="69" t="str">
        <f>RIGHT(บันทึกนำเข้าDrawing[[#This Row],[Drawing No]],1)</f>
        <v>1</v>
      </c>
      <c r="F734" s="84" t="s">
        <v>5401</v>
      </c>
      <c r="G734" s="120" t="s">
        <v>3772</v>
      </c>
      <c r="H734" s="83"/>
      <c r="I734" s="29" t="str">
        <f>CONCATENATE(บันทึกนำเข้าDrawing[[#This Row],[Part No]],"+",บันทึกนำเข้าDrawing[[#This Row],[Drawing No]])</f>
        <v>2B22-210-00+DR-TW-2B22-090-00-01</v>
      </c>
    </row>
    <row r="735" spans="1:9">
      <c r="A735" s="33">
        <v>736</v>
      </c>
      <c r="B735" s="85">
        <v>44984</v>
      </c>
      <c r="C735" s="72" t="s">
        <v>5333</v>
      </c>
      <c r="D735" s="33" t="s">
        <v>5365</v>
      </c>
      <c r="E735" s="69" t="str">
        <f>RIGHT(บันทึกนำเข้าDrawing[[#This Row],[Drawing No]],1)</f>
        <v>1</v>
      </c>
      <c r="F735" s="68" t="s">
        <v>5402</v>
      </c>
      <c r="G735" s="118" t="s">
        <v>3772</v>
      </c>
      <c r="H735" s="80"/>
      <c r="I735" s="29" t="str">
        <f>CONCATENATE(บันทึกนำเข้าDrawing[[#This Row],[Part No]],"+",บันทึกนำเข้าDrawing[[#This Row],[Drawing No]])</f>
        <v>2B22-215-00+DR-TW-2B22-090-00-01</v>
      </c>
    </row>
    <row r="736" spans="1:9">
      <c r="A736" s="33">
        <v>737</v>
      </c>
      <c r="B736" s="85">
        <v>44984</v>
      </c>
      <c r="C736" s="72" t="s">
        <v>5333</v>
      </c>
      <c r="D736" s="33" t="s">
        <v>5366</v>
      </c>
      <c r="E736" s="69" t="str">
        <f>RIGHT(บันทึกนำเข้าDrawing[[#This Row],[Drawing No]],1)</f>
        <v>1</v>
      </c>
      <c r="F736" s="68" t="s">
        <v>5403</v>
      </c>
      <c r="G736" s="118" t="s">
        <v>3772</v>
      </c>
      <c r="H736" s="80"/>
      <c r="I736" s="29" t="str">
        <f>CONCATENATE(บันทึกนำเข้าDrawing[[#This Row],[Part No]],"+",บันทึกนำเข้าDrawing[[#This Row],[Drawing No]])</f>
        <v>2B22-220-00+DR-TW-2B22-090-00-01</v>
      </c>
    </row>
    <row r="737" spans="1:9">
      <c r="A737" s="33">
        <v>738</v>
      </c>
      <c r="B737" s="81">
        <v>44984</v>
      </c>
      <c r="C737" s="82" t="s">
        <v>5333</v>
      </c>
      <c r="D737" s="33" t="s">
        <v>5367</v>
      </c>
      <c r="E737" s="69" t="str">
        <f>RIGHT(บันทึกนำเข้าDrawing[[#This Row],[Drawing No]],1)</f>
        <v>1</v>
      </c>
      <c r="F737" s="84" t="s">
        <v>5404</v>
      </c>
      <c r="G737" s="120" t="s">
        <v>3772</v>
      </c>
      <c r="H737" s="83"/>
      <c r="I737" s="29" t="str">
        <f>CONCATENATE(บันทึกนำเข้าDrawing[[#This Row],[Part No]],"+",บันทึกนำเข้าDrawing[[#This Row],[Drawing No]])</f>
        <v>2B22-225-00+DR-TW-2B22-090-00-01</v>
      </c>
    </row>
    <row r="738" spans="1:9">
      <c r="A738" s="33">
        <v>739</v>
      </c>
      <c r="B738" s="81">
        <v>44984</v>
      </c>
      <c r="C738" s="82" t="s">
        <v>5333</v>
      </c>
      <c r="D738" s="33" t="s">
        <v>5368</v>
      </c>
      <c r="E738" s="69" t="str">
        <f>RIGHT(บันทึกนำเข้าDrawing[[#This Row],[Drawing No]],1)</f>
        <v>1</v>
      </c>
      <c r="F738" s="84" t="s">
        <v>5405</v>
      </c>
      <c r="G738" s="120" t="s">
        <v>3772</v>
      </c>
      <c r="H738" s="83"/>
      <c r="I738" s="29" t="str">
        <f>CONCATENATE(บันทึกนำเข้าDrawing[[#This Row],[Part No]],"+",บันทึกนำเข้าDrawing[[#This Row],[Drawing No]])</f>
        <v>2B22-230-00+DR-TW-2B22-090-00-01</v>
      </c>
    </row>
    <row r="739" spans="1:9">
      <c r="A739" s="33">
        <v>740</v>
      </c>
      <c r="B739" s="85">
        <v>44984</v>
      </c>
      <c r="C739" s="72" t="s">
        <v>5333</v>
      </c>
      <c r="D739" s="33" t="s">
        <v>5369</v>
      </c>
      <c r="E739" s="69" t="str">
        <f>RIGHT(บันทึกนำเข้าDrawing[[#This Row],[Drawing No]],1)</f>
        <v>1</v>
      </c>
      <c r="F739" s="68" t="s">
        <v>5406</v>
      </c>
      <c r="G739" s="118" t="s">
        <v>3772</v>
      </c>
      <c r="H739" s="80"/>
      <c r="I739" s="29" t="str">
        <f>CONCATENATE(บันทึกนำเข้าDrawing[[#This Row],[Part No]],"+",บันทึกนำเข้าDrawing[[#This Row],[Drawing No]])</f>
        <v>2B22-235-00+DR-TW-2B22-090-00-01</v>
      </c>
    </row>
    <row r="740" spans="1:9">
      <c r="A740" s="33">
        <v>741</v>
      </c>
      <c r="B740" s="85">
        <v>44984</v>
      </c>
      <c r="C740" s="72" t="s">
        <v>5333</v>
      </c>
      <c r="D740" s="33" t="s">
        <v>5370</v>
      </c>
      <c r="E740" s="69" t="str">
        <f>RIGHT(บันทึกนำเข้าDrawing[[#This Row],[Drawing No]],1)</f>
        <v>1</v>
      </c>
      <c r="F740" s="68" t="s">
        <v>5407</v>
      </c>
      <c r="G740" s="118" t="s">
        <v>3772</v>
      </c>
      <c r="H740" s="80"/>
      <c r="I740" s="29" t="str">
        <f>CONCATENATE(บันทึกนำเข้าDrawing[[#This Row],[Part No]],"+",บันทึกนำเข้าDrawing[[#This Row],[Drawing No]])</f>
        <v>2B22-240-00+DR-TW-2B22-090-00-01</v>
      </c>
    </row>
    <row r="741" spans="1:9">
      <c r="A741" s="33">
        <v>742</v>
      </c>
      <c r="B741" s="81">
        <v>44984</v>
      </c>
      <c r="C741" s="82" t="s">
        <v>5333</v>
      </c>
      <c r="D741" s="33" t="s">
        <v>5371</v>
      </c>
      <c r="E741" s="69" t="str">
        <f>RIGHT(บันทึกนำเข้าDrawing[[#This Row],[Drawing No]],1)</f>
        <v>1</v>
      </c>
      <c r="F741" s="84" t="s">
        <v>5408</v>
      </c>
      <c r="G741" s="120" t="s">
        <v>3772</v>
      </c>
      <c r="H741" s="83"/>
      <c r="I741" s="29" t="str">
        <f>CONCATENATE(บันทึกนำเข้าDrawing[[#This Row],[Part No]],"+",บันทึกนำเข้าDrawing[[#This Row],[Drawing No]])</f>
        <v>2B22-245-00+DR-TW-2B22-090-00-01</v>
      </c>
    </row>
    <row r="742" spans="1:9">
      <c r="A742" s="33">
        <v>743</v>
      </c>
      <c r="B742" s="81">
        <v>44984</v>
      </c>
      <c r="C742" s="82" t="s">
        <v>5333</v>
      </c>
      <c r="D742" s="33" t="s">
        <v>5372</v>
      </c>
      <c r="E742" s="69" t="str">
        <f>RIGHT(บันทึกนำเข้าDrawing[[#This Row],[Drawing No]],1)</f>
        <v>1</v>
      </c>
      <c r="F742" s="84" t="s">
        <v>5409</v>
      </c>
      <c r="G742" s="120" t="s">
        <v>3772</v>
      </c>
      <c r="H742" s="83"/>
      <c r="I742" s="29" t="str">
        <f>CONCATENATE(บันทึกนำเข้าDrawing[[#This Row],[Part No]],"+",บันทึกนำเข้าDrawing[[#This Row],[Drawing No]])</f>
        <v>2B22-250-00+DR-TW-2B22-090-00-01</v>
      </c>
    </row>
    <row r="743" spans="1:9">
      <c r="A743" s="33">
        <v>744</v>
      </c>
      <c r="B743" s="85">
        <v>44984</v>
      </c>
      <c r="C743" s="72" t="s">
        <v>5333</v>
      </c>
      <c r="D743" s="33" t="s">
        <v>5373</v>
      </c>
      <c r="E743" s="69" t="str">
        <f>RIGHT(บันทึกนำเข้าDrawing[[#This Row],[Drawing No]],1)</f>
        <v>1</v>
      </c>
      <c r="F743" s="68" t="s">
        <v>5410</v>
      </c>
      <c r="G743" s="118" t="s">
        <v>3772</v>
      </c>
      <c r="H743" s="80"/>
      <c r="I743" s="29" t="str">
        <f>CONCATENATE(บันทึกนำเข้าDrawing[[#This Row],[Part No]],"+",บันทึกนำเข้าDrawing[[#This Row],[Drawing No]])</f>
        <v>2B22-255-00+DR-TW-2B22-090-00-01</v>
      </c>
    </row>
    <row r="744" spans="1:9">
      <c r="A744" s="33">
        <v>745</v>
      </c>
      <c r="B744" s="85">
        <v>44984</v>
      </c>
      <c r="C744" s="72" t="s">
        <v>5333</v>
      </c>
      <c r="D744" s="33" t="s">
        <v>5374</v>
      </c>
      <c r="E744" s="69" t="str">
        <f>RIGHT(บันทึกนำเข้าDrawing[[#This Row],[Drawing No]],1)</f>
        <v>1</v>
      </c>
      <c r="F744" s="68" t="s">
        <v>4714</v>
      </c>
      <c r="G744" s="118" t="s">
        <v>3772</v>
      </c>
      <c r="H744" s="80"/>
      <c r="I744" s="29" t="str">
        <f>CONCATENATE(บันทึกนำเข้าDrawing[[#This Row],[Part No]],"+",บันทึกนำเข้าDrawing[[#This Row],[Drawing No]])</f>
        <v>2B22-260-00+DR-TW-2B22-090-00-01</v>
      </c>
    </row>
    <row r="745" spans="1:9">
      <c r="A745" s="33">
        <v>746</v>
      </c>
      <c r="B745" s="81">
        <v>44984</v>
      </c>
      <c r="C745" s="82" t="s">
        <v>5333</v>
      </c>
      <c r="D745" s="33" t="s">
        <v>5375</v>
      </c>
      <c r="E745" s="69" t="str">
        <f>RIGHT(บันทึกนำเข้าDrawing[[#This Row],[Drawing No]],1)</f>
        <v>1</v>
      </c>
      <c r="F745" s="84" t="s">
        <v>5411</v>
      </c>
      <c r="G745" s="120" t="s">
        <v>3772</v>
      </c>
      <c r="H745" s="83"/>
      <c r="I745" s="29" t="str">
        <f>CONCATENATE(บันทึกนำเข้าDrawing[[#This Row],[Part No]],"+",บันทึกนำเข้าDrawing[[#This Row],[Drawing No]])</f>
        <v>2B22-270-00+DR-TW-2B22-090-00-01</v>
      </c>
    </row>
    <row r="746" spans="1:9">
      <c r="A746" s="33">
        <v>747</v>
      </c>
      <c r="B746" s="85">
        <v>44984</v>
      </c>
      <c r="C746" s="72" t="s">
        <v>5333</v>
      </c>
      <c r="D746" s="33" t="s">
        <v>5376</v>
      </c>
      <c r="E746" s="69" t="str">
        <f>RIGHT(บันทึกนำเข้าDrawing[[#This Row],[Drawing No]],1)</f>
        <v>1</v>
      </c>
      <c r="F746" s="68" t="s">
        <v>5412</v>
      </c>
      <c r="G746" s="118" t="s">
        <v>3772</v>
      </c>
      <c r="H746" s="80"/>
      <c r="I746" s="29" t="str">
        <f>CONCATENATE(บันทึกนำเข้าDrawing[[#This Row],[Part No]],"+",บันทึกนำเข้าDrawing[[#This Row],[Drawing No]])</f>
        <v>2B22-275-00+DR-TW-2B22-090-00-01</v>
      </c>
    </row>
    <row r="747" spans="1:9">
      <c r="A747" s="33">
        <v>748</v>
      </c>
      <c r="B747" s="85">
        <v>44984</v>
      </c>
      <c r="C747" s="72" t="s">
        <v>5333</v>
      </c>
      <c r="D747" s="33" t="s">
        <v>5377</v>
      </c>
      <c r="E747" s="69" t="str">
        <f>RIGHT(บันทึกนำเข้าDrawing[[#This Row],[Drawing No]],1)</f>
        <v>1</v>
      </c>
      <c r="F747" s="68" t="s">
        <v>5413</v>
      </c>
      <c r="G747" s="118" t="s">
        <v>3772</v>
      </c>
      <c r="H747" s="80"/>
      <c r="I747" s="29" t="str">
        <f>CONCATENATE(บันทึกนำเข้าDrawing[[#This Row],[Part No]],"+",บันทึกนำเข้าDrawing[[#This Row],[Drawing No]])</f>
        <v>2B22-280-00+DR-TW-2B22-090-00-01</v>
      </c>
    </row>
    <row r="748" spans="1:9">
      <c r="A748" s="33">
        <v>749</v>
      </c>
      <c r="B748" s="81">
        <v>44984</v>
      </c>
      <c r="C748" s="82" t="s">
        <v>5333</v>
      </c>
      <c r="D748" s="33" t="s">
        <v>5378</v>
      </c>
      <c r="E748" s="69" t="str">
        <f>RIGHT(บันทึกนำเข้าDrawing[[#This Row],[Drawing No]],1)</f>
        <v>1</v>
      </c>
      <c r="F748" s="84" t="s">
        <v>5415</v>
      </c>
      <c r="G748" s="120" t="s">
        <v>3772</v>
      </c>
      <c r="H748" s="83"/>
      <c r="I748" s="29" t="str">
        <f>CONCATENATE(บันทึกนำเข้าDrawing[[#This Row],[Part No]],"+",บันทึกนำเข้าDrawing[[#This Row],[Drawing No]])</f>
        <v>2B22-290-00+DR-TW-2B22-090-00-01</v>
      </c>
    </row>
    <row r="749" spans="1:9">
      <c r="A749" s="33">
        <v>750</v>
      </c>
      <c r="B749" s="85">
        <v>44984</v>
      </c>
      <c r="C749" s="72" t="s">
        <v>5333</v>
      </c>
      <c r="D749" s="33" t="s">
        <v>5379</v>
      </c>
      <c r="E749" s="69" t="str">
        <f>RIGHT(บันทึกนำเข้าDrawing[[#This Row],[Drawing No]],1)</f>
        <v>1</v>
      </c>
      <c r="F749" s="68" t="s">
        <v>5414</v>
      </c>
      <c r="G749" s="118" t="s">
        <v>3772</v>
      </c>
      <c r="H749" s="80"/>
      <c r="I749" s="29" t="str">
        <f>CONCATENATE(บันทึกนำเข้าDrawing[[#This Row],[Part No]],"+",บันทึกนำเข้าDrawing[[#This Row],[Drawing No]])</f>
        <v>2B22-300-00+DR-TW-2B22-090-00-01</v>
      </c>
    </row>
    <row r="750" spans="1:9">
      <c r="A750" s="33">
        <v>751</v>
      </c>
      <c r="B750" s="81">
        <v>44984</v>
      </c>
      <c r="C750" s="82" t="s">
        <v>5333</v>
      </c>
      <c r="D750" s="33" t="s">
        <v>5380</v>
      </c>
      <c r="E750" s="69" t="str">
        <f>RIGHT(บันทึกนำเข้าDrawing[[#This Row],[Drawing No]],1)</f>
        <v>1</v>
      </c>
      <c r="F750" s="84" t="s">
        <v>5416</v>
      </c>
      <c r="G750" s="120" t="s">
        <v>3772</v>
      </c>
      <c r="H750" s="83"/>
      <c r="I750" s="29" t="str">
        <f>CONCATENATE(บันทึกนำเข้าDrawing[[#This Row],[Part No]],"+",บันทึกนำเข้าDrawing[[#This Row],[Drawing No]])</f>
        <v>2B22-310-00+DR-TW-2B22-090-00-01</v>
      </c>
    </row>
    <row r="751" spans="1:9">
      <c r="A751" s="33">
        <v>752</v>
      </c>
      <c r="B751" s="85">
        <v>44984</v>
      </c>
      <c r="C751" s="72" t="s">
        <v>5333</v>
      </c>
      <c r="D751" s="33" t="s">
        <v>5381</v>
      </c>
      <c r="E751" s="69" t="str">
        <f>RIGHT(บันทึกนำเข้าDrawing[[#This Row],[Drawing No]],1)</f>
        <v>1</v>
      </c>
      <c r="F751" s="68" t="s">
        <v>5417</v>
      </c>
      <c r="G751" s="118" t="s">
        <v>3772</v>
      </c>
      <c r="H751" s="80"/>
      <c r="I751" s="29" t="str">
        <f>CONCATENATE(บันทึกนำเข้าDrawing[[#This Row],[Part No]],"+",บันทึกนำเข้าDrawing[[#This Row],[Drawing No]])</f>
        <v>2B22-320-00+DR-TW-2B22-090-00-01</v>
      </c>
    </row>
    <row r="752" spans="1:9">
      <c r="A752" s="33">
        <v>753</v>
      </c>
      <c r="B752" s="81">
        <v>44984</v>
      </c>
      <c r="C752" s="82" t="s">
        <v>5333</v>
      </c>
      <c r="D752" s="33" t="s">
        <v>5382</v>
      </c>
      <c r="E752" s="69" t="str">
        <f>RIGHT(บันทึกนำเข้าDrawing[[#This Row],[Drawing No]],1)</f>
        <v>1</v>
      </c>
      <c r="F752" s="84" t="s">
        <v>5418</v>
      </c>
      <c r="G752" s="120" t="s">
        <v>3772</v>
      </c>
      <c r="H752" s="83"/>
      <c r="I752" s="29" t="str">
        <f>CONCATENATE(บันทึกนำเข้าDrawing[[#This Row],[Part No]],"+",บันทึกนำเข้าDrawing[[#This Row],[Drawing No]])</f>
        <v>2B22-330-00+DR-TW-2B22-090-00-01</v>
      </c>
    </row>
    <row r="753" spans="1:9">
      <c r="A753" s="33">
        <v>754</v>
      </c>
      <c r="B753" s="85">
        <v>44984</v>
      </c>
      <c r="C753" s="72" t="s">
        <v>5333</v>
      </c>
      <c r="D753" s="33" t="s">
        <v>5383</v>
      </c>
      <c r="E753" s="69" t="str">
        <f>RIGHT(บันทึกนำเข้าDrawing[[#This Row],[Drawing No]],1)</f>
        <v>1</v>
      </c>
      <c r="F753" s="68" t="s">
        <v>5419</v>
      </c>
      <c r="G753" s="118" t="s">
        <v>3772</v>
      </c>
      <c r="H753" s="80"/>
      <c r="I753" s="29" t="str">
        <f>CONCATENATE(บันทึกนำเข้าDrawing[[#This Row],[Part No]],"+",บันทึกนำเข้าDrawing[[#This Row],[Drawing No]])</f>
        <v>2B22-340-00+DR-TW-2B22-090-00-01</v>
      </c>
    </row>
    <row r="754" spans="1:9">
      <c r="A754" s="33">
        <v>755</v>
      </c>
      <c r="B754" s="85">
        <v>44984</v>
      </c>
      <c r="C754" s="72" t="s">
        <v>5333</v>
      </c>
      <c r="D754" s="33" t="s">
        <v>5384</v>
      </c>
      <c r="E754" s="69" t="str">
        <f>RIGHT(บันทึกนำเข้าDrawing[[#This Row],[Drawing No]],1)</f>
        <v>1</v>
      </c>
      <c r="F754" s="68" t="s">
        <v>5420</v>
      </c>
      <c r="G754" s="118" t="s">
        <v>3772</v>
      </c>
      <c r="H754" s="80"/>
      <c r="I754" s="29" t="str">
        <f>CONCATENATE(บันทึกนำเข้าDrawing[[#This Row],[Part No]],"+",บันทึกนำเข้าDrawing[[#This Row],[Drawing No]])</f>
        <v>2B22-350-00+DR-TW-2B22-090-00-01</v>
      </c>
    </row>
    <row r="755" spans="1:9">
      <c r="A755" s="33">
        <v>756</v>
      </c>
      <c r="B755" s="81">
        <v>44991</v>
      </c>
      <c r="C755" s="72" t="s">
        <v>5254</v>
      </c>
      <c r="D755" s="33" t="s">
        <v>5282</v>
      </c>
      <c r="E755" s="69" t="str">
        <f>RIGHT(บันทึกนำเข้าDrawing[[#This Row],[Drawing No]],1)</f>
        <v>0</v>
      </c>
      <c r="F755" s="68" t="s">
        <v>5255</v>
      </c>
      <c r="G755" s="120" t="s">
        <v>4029</v>
      </c>
      <c r="H755" s="80"/>
      <c r="I755" s="29" t="str">
        <f>CONCATENATE(บันทึกนำเข้าDrawing[[#This Row],[Part No]],"+",บันทึกนำเข้าDrawing[[#This Row],[Drawing No]])</f>
        <v>2B19F090-00+DR-TW-2B19F090-00-00</v>
      </c>
    </row>
    <row r="756" spans="1:9">
      <c r="A756" s="33">
        <v>757</v>
      </c>
      <c r="B756" s="81">
        <v>44991</v>
      </c>
      <c r="C756" s="82" t="s">
        <v>5254</v>
      </c>
      <c r="D756" s="33" t="s">
        <v>5283</v>
      </c>
      <c r="E756" s="69" t="str">
        <f>RIGHT(บันทึกนำเข้าDrawing[[#This Row],[Drawing No]],1)</f>
        <v>0</v>
      </c>
      <c r="F756" s="84" t="s">
        <v>5256</v>
      </c>
      <c r="G756" s="120" t="s">
        <v>4029</v>
      </c>
      <c r="H756" s="83"/>
      <c r="I756" s="29" t="str">
        <f>CONCATENATE(บันทึกนำเข้าDrawing[[#This Row],[Part No]],"+",บันทึกนำเข้าDrawing[[#This Row],[Drawing No]])</f>
        <v>2B19F095-00+DR-TW-2B19F090-00-00</v>
      </c>
    </row>
    <row r="757" spans="1:9">
      <c r="A757" s="33">
        <v>758</v>
      </c>
      <c r="B757" s="81">
        <v>44991</v>
      </c>
      <c r="C757" s="82" t="s">
        <v>5254</v>
      </c>
      <c r="D757" s="33" t="s">
        <v>5284</v>
      </c>
      <c r="E757" s="69" t="str">
        <f>RIGHT(บันทึกนำเข้าDrawing[[#This Row],[Drawing No]],1)</f>
        <v>0</v>
      </c>
      <c r="F757" s="84" t="s">
        <v>5257</v>
      </c>
      <c r="G757" s="120" t="s">
        <v>4029</v>
      </c>
      <c r="H757" s="83"/>
      <c r="I757" s="29" t="str">
        <f>CONCATENATE(บันทึกนำเข้าDrawing[[#This Row],[Part No]],"+",บันทึกนำเข้าDrawing[[#This Row],[Drawing No]])</f>
        <v>2B19F100-00+DR-TW-2B19F090-00-00</v>
      </c>
    </row>
    <row r="758" spans="1:9">
      <c r="A758" s="33">
        <v>759</v>
      </c>
      <c r="B758" s="81">
        <v>44991</v>
      </c>
      <c r="C758" s="82" t="s">
        <v>5254</v>
      </c>
      <c r="D758" s="33" t="s">
        <v>5285</v>
      </c>
      <c r="E758" s="69" t="str">
        <f>RIGHT(บันทึกนำเข้าDrawing[[#This Row],[Drawing No]],1)</f>
        <v>0</v>
      </c>
      <c r="F758" s="84" t="s">
        <v>5258</v>
      </c>
      <c r="G758" s="120" t="s">
        <v>4029</v>
      </c>
      <c r="H758" s="83"/>
      <c r="I758" s="29" t="str">
        <f>CONCATENATE(บันทึกนำเข้าDrawing[[#This Row],[Part No]],"+",บันทึกนำเข้าDrawing[[#This Row],[Drawing No]])</f>
        <v>2B19F105-00+DR-TW-2B19F090-00-00</v>
      </c>
    </row>
    <row r="759" spans="1:9">
      <c r="A759" s="33">
        <v>760</v>
      </c>
      <c r="B759" s="81">
        <v>44991</v>
      </c>
      <c r="C759" s="82" t="s">
        <v>5254</v>
      </c>
      <c r="D759" s="33" t="s">
        <v>5286</v>
      </c>
      <c r="E759" s="69" t="str">
        <f>RIGHT(บันทึกนำเข้าDrawing[[#This Row],[Drawing No]],1)</f>
        <v>0</v>
      </c>
      <c r="F759" s="84" t="s">
        <v>5259</v>
      </c>
      <c r="G759" s="120" t="s">
        <v>4029</v>
      </c>
      <c r="H759" s="83"/>
      <c r="I759" s="29" t="str">
        <f>CONCATENATE(บันทึกนำเข้าDrawing[[#This Row],[Part No]],"+",บันทึกนำเข้าDrawing[[#This Row],[Drawing No]])</f>
        <v>2B19F110-00+DR-TW-2B19F090-00-00</v>
      </c>
    </row>
    <row r="760" spans="1:9">
      <c r="A760" s="33">
        <v>761</v>
      </c>
      <c r="B760" s="81">
        <v>44991</v>
      </c>
      <c r="C760" s="82" t="s">
        <v>5254</v>
      </c>
      <c r="D760" s="33" t="s">
        <v>5287</v>
      </c>
      <c r="E760" s="69" t="str">
        <f>RIGHT(บันทึกนำเข้าDrawing[[#This Row],[Drawing No]],1)</f>
        <v>0</v>
      </c>
      <c r="F760" s="84" t="s">
        <v>5260</v>
      </c>
      <c r="G760" s="120" t="s">
        <v>4029</v>
      </c>
      <c r="H760" s="83"/>
      <c r="I760" s="29" t="str">
        <f>CONCATENATE(บันทึกนำเข้าDrawing[[#This Row],[Part No]],"+",บันทึกนำเข้าDrawing[[#This Row],[Drawing No]])</f>
        <v>2B19F115-00+DR-TW-2B19F090-00-00</v>
      </c>
    </row>
    <row r="761" spans="1:9">
      <c r="A761" s="33">
        <v>762</v>
      </c>
      <c r="B761" s="81">
        <v>44991</v>
      </c>
      <c r="C761" s="82" t="s">
        <v>5254</v>
      </c>
      <c r="D761" s="33" t="s">
        <v>5288</v>
      </c>
      <c r="E761" s="69" t="str">
        <f>RIGHT(บันทึกนำเข้าDrawing[[#This Row],[Drawing No]],1)</f>
        <v>0</v>
      </c>
      <c r="F761" s="84" t="s">
        <v>5261</v>
      </c>
      <c r="G761" s="120" t="s">
        <v>4029</v>
      </c>
      <c r="H761" s="83"/>
      <c r="I761" s="29" t="str">
        <f>CONCATENATE(บันทึกนำเข้าDrawing[[#This Row],[Part No]],"+",บันทึกนำเข้าDrawing[[#This Row],[Drawing No]])</f>
        <v>2B19F120-00+DR-TW-2B19F090-00-00</v>
      </c>
    </row>
    <row r="762" spans="1:9">
      <c r="A762" s="33">
        <v>763</v>
      </c>
      <c r="B762" s="81">
        <v>44991</v>
      </c>
      <c r="C762" s="82" t="s">
        <v>5254</v>
      </c>
      <c r="D762" s="33" t="s">
        <v>5289</v>
      </c>
      <c r="E762" s="69" t="str">
        <f>RIGHT(บันทึกนำเข้าDrawing[[#This Row],[Drawing No]],1)</f>
        <v>0</v>
      </c>
      <c r="F762" s="84" t="s">
        <v>5262</v>
      </c>
      <c r="G762" s="120" t="s">
        <v>4029</v>
      </c>
      <c r="H762" s="83"/>
      <c r="I762" s="29" t="str">
        <f>CONCATENATE(บันทึกนำเข้าDrawing[[#This Row],[Part No]],"+",บันทึกนำเข้าDrawing[[#This Row],[Drawing No]])</f>
        <v>2B19F125-00+DR-TW-2B19F090-00-00</v>
      </c>
    </row>
    <row r="763" spans="1:9">
      <c r="A763" s="33">
        <v>764</v>
      </c>
      <c r="B763" s="85">
        <v>44991</v>
      </c>
      <c r="C763" s="72" t="s">
        <v>5254</v>
      </c>
      <c r="D763" s="33" t="s">
        <v>5290</v>
      </c>
      <c r="E763" s="69" t="str">
        <f>RIGHT(บันทึกนำเข้าDrawing[[#This Row],[Drawing No]],1)</f>
        <v>0</v>
      </c>
      <c r="F763" s="84" t="s">
        <v>5263</v>
      </c>
      <c r="G763" s="120" t="s">
        <v>4029</v>
      </c>
      <c r="H763" s="80"/>
      <c r="I763" s="29" t="str">
        <f>CONCATENATE(บันทึกนำเข้าDrawing[[#This Row],[Part No]],"+",บันทึกนำเข้าDrawing[[#This Row],[Drawing No]])</f>
        <v>2B19F130-00+DR-TW-2B19F090-00-00</v>
      </c>
    </row>
    <row r="764" spans="1:9">
      <c r="A764" s="33">
        <v>765</v>
      </c>
      <c r="B764" s="81">
        <v>44991</v>
      </c>
      <c r="C764" s="82" t="s">
        <v>5254</v>
      </c>
      <c r="D764" s="33" t="s">
        <v>5291</v>
      </c>
      <c r="E764" s="69" t="str">
        <f>RIGHT(บันทึกนำเข้าDrawing[[#This Row],[Drawing No]],1)</f>
        <v>0</v>
      </c>
      <c r="F764" s="84" t="s">
        <v>5264</v>
      </c>
      <c r="G764" s="120" t="s">
        <v>4029</v>
      </c>
      <c r="H764" s="83"/>
      <c r="I764" s="29" t="str">
        <f>CONCATENATE(บันทึกนำเข้าDrawing[[#This Row],[Part No]],"+",บันทึกนำเข้าDrawing[[#This Row],[Drawing No]])</f>
        <v>2B19F135-00+DR-TW-2B19F090-00-00</v>
      </c>
    </row>
    <row r="765" spans="1:9">
      <c r="A765" s="33">
        <v>766</v>
      </c>
      <c r="B765" s="81">
        <v>44991</v>
      </c>
      <c r="C765" s="82" t="s">
        <v>5254</v>
      </c>
      <c r="D765" s="33" t="s">
        <v>5292</v>
      </c>
      <c r="E765" s="69" t="str">
        <f>RIGHT(บันทึกนำเข้าDrawing[[#This Row],[Drawing No]],1)</f>
        <v>0</v>
      </c>
      <c r="F765" s="84" t="s">
        <v>5265</v>
      </c>
      <c r="G765" s="120" t="s">
        <v>4029</v>
      </c>
      <c r="H765" s="83"/>
      <c r="I765" s="29" t="str">
        <f>CONCATENATE(บันทึกนำเข้าDrawing[[#This Row],[Part No]],"+",บันทึกนำเข้าDrawing[[#This Row],[Drawing No]])</f>
        <v>2B19F140-00+DR-TW-2B19F090-00-00</v>
      </c>
    </row>
    <row r="766" spans="1:9">
      <c r="A766" s="33">
        <v>767</v>
      </c>
      <c r="B766" s="81">
        <v>44991</v>
      </c>
      <c r="C766" s="82" t="s">
        <v>5254</v>
      </c>
      <c r="D766" s="33" t="s">
        <v>5293</v>
      </c>
      <c r="E766" s="69" t="str">
        <f>RIGHT(บันทึกนำเข้าDrawing[[#This Row],[Drawing No]],1)</f>
        <v>0</v>
      </c>
      <c r="F766" s="84" t="s">
        <v>5262</v>
      </c>
      <c r="G766" s="120" t="s">
        <v>4029</v>
      </c>
      <c r="H766" s="83"/>
      <c r="I766" s="29" t="str">
        <f>CONCATENATE(บันทึกนำเข้าDrawing[[#This Row],[Part No]],"+",บันทึกนำเข้าDrawing[[#This Row],[Drawing No]])</f>
        <v>2B19F145-00+DR-TW-2B19F090-00-00</v>
      </c>
    </row>
    <row r="767" spans="1:9">
      <c r="A767" s="33">
        <v>768</v>
      </c>
      <c r="B767" s="81">
        <v>44991</v>
      </c>
      <c r="C767" s="82" t="s">
        <v>5254</v>
      </c>
      <c r="D767" s="33" t="s">
        <v>5294</v>
      </c>
      <c r="E767" s="69" t="str">
        <f>RIGHT(บันทึกนำเข้าDrawing[[#This Row],[Drawing No]],1)</f>
        <v>0</v>
      </c>
      <c r="F767" s="84" t="s">
        <v>5266</v>
      </c>
      <c r="G767" s="120" t="s">
        <v>4029</v>
      </c>
      <c r="H767" s="83"/>
      <c r="I767" s="29" t="str">
        <f>CONCATENATE(บันทึกนำเข้าDrawing[[#This Row],[Part No]],"+",บันทึกนำเข้าDrawing[[#This Row],[Drawing No]])</f>
        <v>2B19F150-00+DR-TW-2B19F090-00-00</v>
      </c>
    </row>
    <row r="768" spans="1:9">
      <c r="A768" s="33">
        <v>769</v>
      </c>
      <c r="B768" s="85">
        <v>44991</v>
      </c>
      <c r="C768" s="72" t="s">
        <v>5254</v>
      </c>
      <c r="D768" s="33" t="s">
        <v>5295</v>
      </c>
      <c r="E768" s="69" t="str">
        <f>RIGHT(บันทึกนำเข้าDrawing[[#This Row],[Drawing No]],1)</f>
        <v>0</v>
      </c>
      <c r="F768" s="84" t="s">
        <v>5267</v>
      </c>
      <c r="G768" s="120" t="s">
        <v>4029</v>
      </c>
      <c r="H768" s="83"/>
      <c r="I768" s="29" t="str">
        <f>CONCATENATE(บันทึกนำเข้าDrawing[[#This Row],[Part No]],"+",บันทึกนำเข้าDrawing[[#This Row],[Drawing No]])</f>
        <v>2B19F155-00+DR-TW-2B19F090-00-00</v>
      </c>
    </row>
    <row r="769" spans="1:9">
      <c r="A769" s="33">
        <v>770</v>
      </c>
      <c r="B769" s="85">
        <v>44991</v>
      </c>
      <c r="C769" s="72" t="s">
        <v>5254</v>
      </c>
      <c r="D769" s="33" t="s">
        <v>5296</v>
      </c>
      <c r="E769" s="69" t="str">
        <f>RIGHT(บันทึกนำเข้าDrawing[[#This Row],[Drawing No]],1)</f>
        <v>0</v>
      </c>
      <c r="F769" s="84" t="s">
        <v>5268</v>
      </c>
      <c r="G769" s="120" t="s">
        <v>4029</v>
      </c>
      <c r="H769" s="83"/>
      <c r="I769" s="29" t="str">
        <f>CONCATENATE(บันทึกนำเข้าDrawing[[#This Row],[Part No]],"+",บันทึกนำเข้าDrawing[[#This Row],[Drawing No]])</f>
        <v>2B19F160-00+DR-TW-2B19F090-00-00</v>
      </c>
    </row>
    <row r="770" spans="1:9">
      <c r="A770" s="33">
        <v>771</v>
      </c>
      <c r="B770" s="81">
        <v>44991</v>
      </c>
      <c r="C770" s="82" t="s">
        <v>5254</v>
      </c>
      <c r="D770" s="33" t="s">
        <v>5297</v>
      </c>
      <c r="E770" s="69" t="str">
        <f>RIGHT(บันทึกนำเข้าDrawing[[#This Row],[Drawing No]],1)</f>
        <v>0</v>
      </c>
      <c r="F770" s="84" t="s">
        <v>5269</v>
      </c>
      <c r="G770" s="120" t="s">
        <v>4029</v>
      </c>
      <c r="H770" s="83"/>
      <c r="I770" s="29" t="str">
        <f>CONCATENATE(บันทึกนำเข้าDrawing[[#This Row],[Part No]],"+",บันทึกนำเข้าDrawing[[#This Row],[Drawing No]])</f>
        <v>2B19F165-00+DR-TW-2B19F090-00-00</v>
      </c>
    </row>
    <row r="771" spans="1:9">
      <c r="A771" s="33">
        <v>772</v>
      </c>
      <c r="B771" s="81">
        <v>44991</v>
      </c>
      <c r="C771" s="82" t="s">
        <v>5254</v>
      </c>
      <c r="D771" s="33" t="s">
        <v>5298</v>
      </c>
      <c r="E771" s="69" t="str">
        <f>RIGHT(บันทึกนำเข้าDrawing[[#This Row],[Drawing No]],1)</f>
        <v>0</v>
      </c>
      <c r="F771" s="84" t="s">
        <v>5270</v>
      </c>
      <c r="G771" s="120" t="s">
        <v>4029</v>
      </c>
      <c r="H771" s="83"/>
      <c r="I771" s="29" t="str">
        <f>CONCATENATE(บันทึกนำเข้าDrawing[[#This Row],[Part No]],"+",บันทึกนำเข้าDrawing[[#This Row],[Drawing No]])</f>
        <v>2B19F170-00+DR-TW-2B19F090-00-00</v>
      </c>
    </row>
    <row r="772" spans="1:9">
      <c r="A772" s="33">
        <v>773</v>
      </c>
      <c r="B772" s="81">
        <v>44991</v>
      </c>
      <c r="C772" s="82" t="s">
        <v>5254</v>
      </c>
      <c r="D772" s="33" t="s">
        <v>5299</v>
      </c>
      <c r="E772" s="69" t="str">
        <f>RIGHT(บันทึกนำเข้าDrawing[[#This Row],[Drawing No]],1)</f>
        <v>0</v>
      </c>
      <c r="F772" s="84" t="s">
        <v>5271</v>
      </c>
      <c r="G772" s="120" t="s">
        <v>4029</v>
      </c>
      <c r="H772" s="83"/>
      <c r="I772" s="29" t="str">
        <f>CONCATENATE(บันทึกนำเข้าDrawing[[#This Row],[Part No]],"+",บันทึกนำเข้าDrawing[[#This Row],[Drawing No]])</f>
        <v>2B19F175-00+DR-TW-2B19F090-00-00</v>
      </c>
    </row>
    <row r="773" spans="1:9">
      <c r="A773" s="33">
        <v>774</v>
      </c>
      <c r="B773" s="81">
        <v>44991</v>
      </c>
      <c r="C773" s="82" t="s">
        <v>5254</v>
      </c>
      <c r="D773" s="33" t="s">
        <v>5300</v>
      </c>
      <c r="E773" s="69" t="str">
        <f>RIGHT(บันทึกนำเข้าDrawing[[#This Row],[Drawing No]],1)</f>
        <v>0</v>
      </c>
      <c r="F773" s="84" t="s">
        <v>5272</v>
      </c>
      <c r="G773" s="120" t="s">
        <v>4029</v>
      </c>
      <c r="H773" s="83"/>
      <c r="I773" s="29" t="str">
        <f>CONCATENATE(บันทึกนำเข้าDrawing[[#This Row],[Part No]],"+",บันทึกนำเข้าDrawing[[#This Row],[Drawing No]])</f>
        <v>2B19F180-00+DR-TW-2B19F090-00-00</v>
      </c>
    </row>
    <row r="774" spans="1:9">
      <c r="A774" s="33">
        <v>775</v>
      </c>
      <c r="B774" s="85">
        <v>44991</v>
      </c>
      <c r="C774" s="72" t="s">
        <v>5254</v>
      </c>
      <c r="D774" s="33" t="s">
        <v>5301</v>
      </c>
      <c r="E774" s="69" t="str">
        <f>RIGHT(บันทึกนำเข้าDrawing[[#This Row],[Drawing No]],1)</f>
        <v>0</v>
      </c>
      <c r="F774" s="68" t="s">
        <v>5273</v>
      </c>
      <c r="G774" s="120" t="s">
        <v>4029</v>
      </c>
      <c r="H774" s="83"/>
      <c r="I774" s="29" t="str">
        <f>CONCATENATE(บันทึกนำเข้าDrawing[[#This Row],[Part No]],"+",บันทึกนำเข้าDrawing[[#This Row],[Drawing No]])</f>
        <v>2B19F185-00+DR-TW-2B19F090-00-00</v>
      </c>
    </row>
    <row r="775" spans="1:9">
      <c r="A775" s="33">
        <v>776</v>
      </c>
      <c r="B775" s="71">
        <v>44991</v>
      </c>
      <c r="C775" s="72" t="s">
        <v>5254</v>
      </c>
      <c r="D775" s="33" t="s">
        <v>5302</v>
      </c>
      <c r="E775" s="69" t="str">
        <f>RIGHT(บันทึกนำเข้าDrawing[[#This Row],[Drawing No]],1)</f>
        <v>0</v>
      </c>
      <c r="F775" s="68" t="s">
        <v>5274</v>
      </c>
      <c r="G775" s="120" t="s">
        <v>4029</v>
      </c>
      <c r="H775" s="83"/>
      <c r="I775" s="29" t="str">
        <f>CONCATENATE(บันทึกนำเข้าDrawing[[#This Row],[Part No]],"+",บันทึกนำเข้าDrawing[[#This Row],[Drawing No]])</f>
        <v>2B19F190-00+DR-TW-2B19F090-00-00</v>
      </c>
    </row>
    <row r="776" spans="1:9">
      <c r="A776" s="33">
        <v>777</v>
      </c>
      <c r="B776" s="81">
        <v>44991</v>
      </c>
      <c r="C776" s="72" t="s">
        <v>5254</v>
      </c>
      <c r="D776" s="33" t="s">
        <v>5303</v>
      </c>
      <c r="E776" s="69" t="str">
        <f>RIGHT(บันทึกนำเข้าDrawing[[#This Row],[Drawing No]],1)</f>
        <v>0</v>
      </c>
      <c r="F776" s="68" t="s">
        <v>5275</v>
      </c>
      <c r="G776" s="120" t="s">
        <v>4029</v>
      </c>
      <c r="H776" s="83"/>
      <c r="I776" s="29" t="str">
        <f>CONCATENATE(บันทึกนำเข้าDrawing[[#This Row],[Part No]],"+",บันทึกนำเข้าDrawing[[#This Row],[Drawing No]])</f>
        <v>2B19F195-00+DR-TW-2B19F090-00-00</v>
      </c>
    </row>
    <row r="777" spans="1:9">
      <c r="A777" s="33">
        <v>778</v>
      </c>
      <c r="B777" s="81">
        <v>44991</v>
      </c>
      <c r="C777" s="72" t="s">
        <v>5254</v>
      </c>
      <c r="D777" s="33" t="s">
        <v>5304</v>
      </c>
      <c r="E777" s="69" t="str">
        <f>RIGHT(บันทึกนำเข้าDrawing[[#This Row],[Drawing No]],1)</f>
        <v>0</v>
      </c>
      <c r="F777" s="68" t="s">
        <v>5191</v>
      </c>
      <c r="G777" s="120" t="s">
        <v>4029</v>
      </c>
      <c r="H777" s="83"/>
      <c r="I777" s="29" t="str">
        <f>CONCATENATE(บันทึกนำเข้าDrawing[[#This Row],[Part No]],"+",บันทึกนำเข้าDrawing[[#This Row],[Drawing No]])</f>
        <v>2B19F200-00+DR-TW-2B19F090-00-00</v>
      </c>
    </row>
    <row r="778" spans="1:9">
      <c r="A778" s="33">
        <v>779</v>
      </c>
      <c r="B778" s="81">
        <v>44991</v>
      </c>
      <c r="C778" s="82" t="s">
        <v>5254</v>
      </c>
      <c r="D778" s="33" t="s">
        <v>5305</v>
      </c>
      <c r="E778" s="69" t="str">
        <f>RIGHT(บันทึกนำเข้าDrawing[[#This Row],[Drawing No]],1)</f>
        <v>0</v>
      </c>
      <c r="F778" s="84" t="s">
        <v>5276</v>
      </c>
      <c r="G778" s="120" t="s">
        <v>4029</v>
      </c>
      <c r="H778" s="83"/>
      <c r="I778" s="29" t="str">
        <f>CONCATENATE(บันทึกนำเข้าDrawing[[#This Row],[Part No]],"+",บันทึกนำเข้าDrawing[[#This Row],[Drawing No]])</f>
        <v>2B19F205-00+DR-TW-2B19F090-00-00</v>
      </c>
    </row>
    <row r="779" spans="1:9">
      <c r="A779" s="33">
        <v>780</v>
      </c>
      <c r="B779" s="81">
        <v>44991</v>
      </c>
      <c r="C779" s="82" t="s">
        <v>5254</v>
      </c>
      <c r="D779" s="33" t="s">
        <v>5306</v>
      </c>
      <c r="E779" s="69" t="str">
        <f>RIGHT(บันทึกนำเข้าDrawing[[#This Row],[Drawing No]],1)</f>
        <v>0</v>
      </c>
      <c r="F779" s="84" t="s">
        <v>5277</v>
      </c>
      <c r="G779" s="120" t="s">
        <v>4029</v>
      </c>
      <c r="H779" s="83"/>
      <c r="I779" s="29" t="str">
        <f>CONCATENATE(บันทึกนำเข้าDrawing[[#This Row],[Part No]],"+",บันทึกนำเข้าDrawing[[#This Row],[Drawing No]])</f>
        <v>2B19F210-00+DR-TW-2B19F090-00-00</v>
      </c>
    </row>
    <row r="780" spans="1:9">
      <c r="A780" s="33">
        <v>781</v>
      </c>
      <c r="B780" s="81">
        <v>44991</v>
      </c>
      <c r="C780" s="82" t="s">
        <v>5254</v>
      </c>
      <c r="D780" s="33" t="s">
        <v>5307</v>
      </c>
      <c r="E780" s="69" t="str">
        <f>RIGHT(บันทึกนำเข้าDrawing[[#This Row],[Drawing No]],1)</f>
        <v>0</v>
      </c>
      <c r="F780" s="84" t="s">
        <v>5277</v>
      </c>
      <c r="G780" s="120" t="s">
        <v>4029</v>
      </c>
      <c r="H780" s="83"/>
      <c r="I780" s="29" t="str">
        <f>CONCATENATE(บันทึกนำเข้าDrawing[[#This Row],[Part No]],"+",บันทึกนำเข้าDrawing[[#This Row],[Drawing No]])</f>
        <v>2B19F215-00+DR-TW-2B19F090-00-00</v>
      </c>
    </row>
    <row r="781" spans="1:9">
      <c r="A781" s="33">
        <v>782</v>
      </c>
      <c r="B781" s="81">
        <v>44991</v>
      </c>
      <c r="C781" s="82" t="s">
        <v>5254</v>
      </c>
      <c r="D781" s="33" t="s">
        <v>5308</v>
      </c>
      <c r="E781" s="69" t="str">
        <f>RIGHT(บันทึกนำเข้าDrawing[[#This Row],[Drawing No]],1)</f>
        <v>0</v>
      </c>
      <c r="F781" s="84" t="s">
        <v>5278</v>
      </c>
      <c r="G781" s="120" t="s">
        <v>4029</v>
      </c>
      <c r="H781" s="83"/>
      <c r="I781" s="29" t="str">
        <f>CONCATENATE(บันทึกนำเข้าDrawing[[#This Row],[Part No]],"+",บันทึกนำเข้าDrawing[[#This Row],[Drawing No]])</f>
        <v>2B19F220-00+DR-TW-2B19F090-00-00</v>
      </c>
    </row>
    <row r="782" spans="1:9">
      <c r="A782" s="33">
        <v>783</v>
      </c>
      <c r="B782" s="81">
        <v>44991</v>
      </c>
      <c r="C782" s="82" t="s">
        <v>5254</v>
      </c>
      <c r="D782" s="33" t="s">
        <v>5446</v>
      </c>
      <c r="E782" s="69" t="str">
        <f>RIGHT(บันทึกนำเข้าDrawing[[#This Row],[Drawing No]],1)</f>
        <v>0</v>
      </c>
      <c r="F782" s="84" t="s">
        <v>5279</v>
      </c>
      <c r="G782" s="120" t="s">
        <v>4029</v>
      </c>
      <c r="H782" s="83"/>
      <c r="I782" s="29" t="str">
        <f>CONCATENATE(บันทึกนำเข้าDrawing[[#This Row],[Part No]],"+",บันทึกนำเข้าDrawing[[#This Row],[Drawing No]])</f>
        <v>2B19F225-00+DR-TW-2B19F090-00-00</v>
      </c>
    </row>
    <row r="783" spans="1:9">
      <c r="A783" s="33">
        <v>784</v>
      </c>
      <c r="B783" s="81">
        <v>44991</v>
      </c>
      <c r="C783" s="82" t="s">
        <v>5254</v>
      </c>
      <c r="D783" s="33" t="s">
        <v>5309</v>
      </c>
      <c r="E783" s="69" t="str">
        <f>RIGHT(บันทึกนำเข้าDrawing[[#This Row],[Drawing No]],1)</f>
        <v>0</v>
      </c>
      <c r="F783" s="84" t="s">
        <v>5280</v>
      </c>
      <c r="G783" s="120" t="s">
        <v>4029</v>
      </c>
      <c r="H783" s="83"/>
      <c r="I783" s="29" t="str">
        <f>CONCATENATE(บันทึกนำเข้าDrawing[[#This Row],[Part No]],"+",บันทึกนำเข้าDrawing[[#This Row],[Drawing No]])</f>
        <v>2B19F240-00+DR-TW-2B19F090-00-00</v>
      </c>
    </row>
    <row r="784" spans="1:9">
      <c r="A784" s="33">
        <v>785</v>
      </c>
      <c r="B784" s="81">
        <v>44991</v>
      </c>
      <c r="C784" s="82" t="s">
        <v>5254</v>
      </c>
      <c r="D784" s="33" t="s">
        <v>5310</v>
      </c>
      <c r="E784" s="69" t="str">
        <f>RIGHT(บันทึกนำเข้าDrawing[[#This Row],[Drawing No]],1)</f>
        <v>0</v>
      </c>
      <c r="F784" s="84" t="s">
        <v>5281</v>
      </c>
      <c r="G784" s="120" t="s">
        <v>4029</v>
      </c>
      <c r="H784" s="83"/>
      <c r="I784" s="29" t="str">
        <f>CONCATENATE(บันทึกนำเข้าDrawing[[#This Row],[Part No]],"+",บันทึกนำเข้าDrawing[[#This Row],[Drawing No]])</f>
        <v>2B19F300-00+DR-TW-2B19F090-00-00</v>
      </c>
    </row>
    <row r="785" spans="1:9">
      <c r="A785" s="33">
        <v>786</v>
      </c>
      <c r="B785" s="81">
        <v>44991</v>
      </c>
      <c r="C785" s="82" t="s">
        <v>5311</v>
      </c>
      <c r="D785" s="33" t="s">
        <v>5312</v>
      </c>
      <c r="E785" s="69" t="str">
        <f>RIGHT(บันทึกนำเข้าDrawing[[#This Row],[Drawing No]],1)</f>
        <v>0</v>
      </c>
      <c r="F785" s="84" t="s">
        <v>5313</v>
      </c>
      <c r="G785" s="120" t="s">
        <v>4029</v>
      </c>
      <c r="H785" s="83">
        <v>45050</v>
      </c>
      <c r="I785" s="29" t="str">
        <f>CONCATENATE(บันทึกนำเข้าDrawing[[#This Row],[Part No]],"+",บันทึกนำเข้าDrawing[[#This Row],[Drawing No]])</f>
        <v>2B26-085-00+DR-TW-2B26-085-00-00</v>
      </c>
    </row>
    <row r="786" spans="1:9">
      <c r="A786" s="33">
        <v>787</v>
      </c>
      <c r="B786" s="81">
        <v>44991</v>
      </c>
      <c r="C786" s="82" t="s">
        <v>5315</v>
      </c>
      <c r="D786" s="33" t="s">
        <v>5316</v>
      </c>
      <c r="E786" s="69" t="str">
        <f>RIGHT(บันทึกนำเข้าDrawing[[#This Row],[Drawing No]],1)</f>
        <v>0</v>
      </c>
      <c r="F786" s="84" t="s">
        <v>5317</v>
      </c>
      <c r="G786" s="120" t="s">
        <v>4027</v>
      </c>
      <c r="H786" s="83">
        <v>45050</v>
      </c>
      <c r="I786" s="29" t="str">
        <f>CONCATENATE(บันทึกนำเข้าDrawing[[#This Row],[Part No]],"+",บันทึกนำเข้าDrawing[[#This Row],[Drawing No]])</f>
        <v>2B27-157-00+DR-TW-2B27-157-00-00</v>
      </c>
    </row>
    <row r="787" spans="1:9">
      <c r="A787" s="33">
        <v>662</v>
      </c>
      <c r="B787" s="81">
        <v>44911</v>
      </c>
      <c r="C787" s="82" t="s">
        <v>5075</v>
      </c>
      <c r="D787" s="33" t="s">
        <v>5076</v>
      </c>
      <c r="E787" s="69" t="str">
        <f>RIGHT(บันทึกนำเข้าDrawing[[#This Row],[Drawing No]],1)</f>
        <v>0</v>
      </c>
      <c r="F787" s="84" t="s">
        <v>4788</v>
      </c>
      <c r="G787" s="120" t="s">
        <v>4521</v>
      </c>
      <c r="H787" s="83"/>
      <c r="I787" s="29" t="str">
        <f>CONCATENATE(บันทึกนำเข้าDrawing[[#This Row],[Part No]],"+",บันทึกนำเข้าDrawing[[#This Row],[Drawing No]])</f>
        <v>2B69M318-00+DR-TW-2B69M318-00-00</v>
      </c>
    </row>
    <row r="788" spans="1:9">
      <c r="A788" s="33">
        <v>789</v>
      </c>
      <c r="B788" s="81">
        <v>44991</v>
      </c>
      <c r="C788" s="82" t="s">
        <v>5546</v>
      </c>
      <c r="D788" s="33" t="s">
        <v>5547</v>
      </c>
      <c r="E788" s="69" t="str">
        <f>RIGHT(บันทึกนำเข้าDrawing[[#This Row],[Drawing No]],1)</f>
        <v>0</v>
      </c>
      <c r="F788" s="84" t="s">
        <v>5548</v>
      </c>
      <c r="G788" s="120" t="s">
        <v>3772</v>
      </c>
      <c r="H788" s="83"/>
      <c r="I788" s="29" t="str">
        <f>CONCATENATE(บันทึกนำเข้าDrawing[[#This Row],[Part No]],"+",บันทึกนำเข้าDrawing[[#This Row],[Drawing No]])</f>
        <v>2B27-085-00+DR-TW-2B27-085-00-00</v>
      </c>
    </row>
    <row r="789" spans="1:9">
      <c r="A789" s="33">
        <v>790</v>
      </c>
      <c r="B789" s="81">
        <v>44991</v>
      </c>
      <c r="C789" s="82" t="s">
        <v>5549</v>
      </c>
      <c r="D789" s="33" t="s">
        <v>5550</v>
      </c>
      <c r="E789" s="69" t="str">
        <f>RIGHT(บันทึกนำเข้าDrawing[[#This Row],[Drawing No]],1)</f>
        <v>0</v>
      </c>
      <c r="F789" s="84" t="s">
        <v>5551</v>
      </c>
      <c r="G789" s="120" t="s">
        <v>3772</v>
      </c>
      <c r="H789" s="83"/>
      <c r="I789" s="29" t="str">
        <f>CONCATENATE(บันทึกนำเข้าDrawing[[#This Row],[Part No]],"+",บันทึกนำเข้าDrawing[[#This Row],[Drawing No]])</f>
        <v>2B27-086-00+DR-TW-2B27-086-00-00</v>
      </c>
    </row>
    <row r="790" spans="1:9">
      <c r="A790" s="33">
        <v>791</v>
      </c>
      <c r="B790" s="81">
        <v>44994</v>
      </c>
      <c r="C790" s="82" t="s">
        <v>5323</v>
      </c>
      <c r="D790" s="33" t="s">
        <v>5324</v>
      </c>
      <c r="E790" s="69" t="str">
        <f>RIGHT(บันทึกนำเข้าDrawing[[#This Row],[Drawing No]],1)</f>
        <v>0</v>
      </c>
      <c r="F790" s="84" t="s">
        <v>4979</v>
      </c>
      <c r="G790" s="120" t="s">
        <v>4027</v>
      </c>
      <c r="H790" s="83">
        <v>45013</v>
      </c>
      <c r="I790" s="29" t="str">
        <f>CONCATENATE(บันทึกนำเข้าDrawing[[#This Row],[Part No]],"+",บันทึกนำเข้าDrawing[[#This Row],[Drawing No]])</f>
        <v>2B29-232-00+DR-TW-2B29-232-00-00</v>
      </c>
    </row>
    <row r="791" spans="1:9">
      <c r="A791" s="33">
        <v>792</v>
      </c>
      <c r="B791" s="81">
        <v>44994</v>
      </c>
      <c r="C791" s="82" t="s">
        <v>5325</v>
      </c>
      <c r="D791" s="33" t="s">
        <v>5326</v>
      </c>
      <c r="E791" s="69" t="str">
        <f>RIGHT(บันทึกนำเข้าDrawing[[#This Row],[Drawing No]],1)</f>
        <v>0</v>
      </c>
      <c r="F791" s="84" t="s">
        <v>5106</v>
      </c>
      <c r="G791" s="120" t="s">
        <v>4029</v>
      </c>
      <c r="H791" s="83"/>
      <c r="I791" s="29" t="str">
        <f>CONCATENATE(บันทึกนำเข้าDrawing[[#This Row],[Part No]],"+",บันทึกนำเข้าDrawing[[#This Row],[Drawing No]])</f>
        <v>2B69M328-01+DR-TW-2B69M328-01-00</v>
      </c>
    </row>
    <row r="792" spans="1:9">
      <c r="A792" s="33">
        <v>793</v>
      </c>
      <c r="B792" s="81">
        <v>44994</v>
      </c>
      <c r="C792" s="82" t="s">
        <v>5325</v>
      </c>
      <c r="D792" s="33" t="s">
        <v>5327</v>
      </c>
      <c r="E792" s="69" t="str">
        <f>RIGHT(บันทึกนำเข้าDrawing[[#This Row],[Drawing No]],1)</f>
        <v>0</v>
      </c>
      <c r="F792" s="84" t="s">
        <v>5248</v>
      </c>
      <c r="G792" s="120" t="s">
        <v>4029</v>
      </c>
      <c r="H792" s="83"/>
      <c r="I792" s="29" t="str">
        <f>CONCATENATE(บันทึกนำเข้าDrawing[[#This Row],[Part No]],"+",บันทึกนำเข้าDrawing[[#This Row],[Drawing No]])</f>
        <v>2b69M359-01+DR-TW-2B69M328-01-00</v>
      </c>
    </row>
    <row r="793" spans="1:9">
      <c r="A793" s="33">
        <v>794</v>
      </c>
      <c r="B793" s="81">
        <v>44994</v>
      </c>
      <c r="C793" s="82" t="s">
        <v>5325</v>
      </c>
      <c r="D793" s="33" t="s">
        <v>5328</v>
      </c>
      <c r="E793" s="69" t="str">
        <f>RIGHT(บันทึกนำเข้าDrawing[[#This Row],[Drawing No]],1)</f>
        <v>0</v>
      </c>
      <c r="F793" s="84" t="s">
        <v>5250</v>
      </c>
      <c r="G793" s="120" t="s">
        <v>4029</v>
      </c>
      <c r="H793" s="83"/>
      <c r="I793" s="29" t="str">
        <f>CONCATENATE(บันทึกนำเข้าDrawing[[#This Row],[Part No]],"+",บันทึกนำเข้าDrawing[[#This Row],[Drawing No]])</f>
        <v>2B69M360-01+DR-TW-2B69M328-01-00</v>
      </c>
    </row>
    <row r="794" spans="1:9">
      <c r="A794" s="33">
        <v>795</v>
      </c>
      <c r="B794" s="81">
        <v>44995</v>
      </c>
      <c r="C794" s="82" t="s">
        <v>5330</v>
      </c>
      <c r="D794" s="33" t="s">
        <v>5332</v>
      </c>
      <c r="E794" s="69" t="str">
        <f>RIGHT(บันทึกนำเข้าDrawing[[#This Row],[Drawing No]],1)</f>
        <v>0</v>
      </c>
      <c r="F794" s="84" t="s">
        <v>5331</v>
      </c>
      <c r="G794" s="120" t="s">
        <v>4027</v>
      </c>
      <c r="H794" s="83">
        <v>45040</v>
      </c>
      <c r="I794" s="29" t="str">
        <f>CONCATENATE(บันทึกนำเข้าDrawing[[#This Row],[Part No]],"+",บันทึกนำเข้าDrawing[[#This Row],[Drawing No]])</f>
        <v>2B26-162-02+DR-TW-2B26-162-02-00</v>
      </c>
    </row>
    <row r="795" spans="1:9">
      <c r="A795" s="33">
        <v>796</v>
      </c>
      <c r="B795" s="81">
        <v>44995</v>
      </c>
      <c r="C795" s="82" t="s">
        <v>5543</v>
      </c>
      <c r="D795" s="33" t="s">
        <v>5544</v>
      </c>
      <c r="E795" s="69" t="str">
        <f>RIGHT(บันทึกนำเข้าDrawing[[#This Row],[Drawing No]],1)</f>
        <v>0</v>
      </c>
      <c r="F795" s="68" t="s">
        <v>5545</v>
      </c>
      <c r="G795" s="120" t="s">
        <v>4027</v>
      </c>
      <c r="H795" s="83">
        <v>45050</v>
      </c>
      <c r="I795" s="29" t="str">
        <f>CONCATENATE(บันทึกนำเข้าDrawing[[#This Row],[Part No]],"+",บันทึกนำเข้าDrawing[[#This Row],[Drawing No]])</f>
        <v>2B27-084-00+DR-TW-2B27-084-00-00</v>
      </c>
    </row>
    <row r="796" spans="1:9">
      <c r="A796" s="33">
        <v>797</v>
      </c>
      <c r="B796" s="81">
        <v>45001</v>
      </c>
      <c r="C796" s="82" t="s">
        <v>5461</v>
      </c>
      <c r="D796" s="33" t="s">
        <v>5460</v>
      </c>
      <c r="E796" s="69" t="str">
        <f>RIGHT(บันทึกนำเข้าDrawing[[#This Row],[Drawing No]],1)</f>
        <v>0</v>
      </c>
      <c r="F796" s="68" t="s">
        <v>5220</v>
      </c>
      <c r="G796" s="120" t="s">
        <v>4029</v>
      </c>
      <c r="H796" s="83"/>
      <c r="I796" s="29" t="str">
        <f>CONCATENATE(บันทึกนำเข้าDrawing[[#This Row],[Part No]],"+",บันทึกนำเข้าDrawing[[#This Row],[Drawing No]])</f>
        <v>2B26-430-01+DR-TW-2B26-430-01-00</v>
      </c>
    </row>
    <row r="797" spans="1:9">
      <c r="A797" s="33">
        <v>798</v>
      </c>
      <c r="B797" s="81">
        <v>45001</v>
      </c>
      <c r="C797" s="82" t="s">
        <v>5462</v>
      </c>
      <c r="D797" s="33" t="s">
        <v>5463</v>
      </c>
      <c r="E797" s="69" t="str">
        <f>RIGHT(บันทึกนำเข้าDrawing[[#This Row],[Drawing No]],1)</f>
        <v>0</v>
      </c>
      <c r="F797" s="84" t="s">
        <v>5223</v>
      </c>
      <c r="G797" s="120" t="s">
        <v>4029</v>
      </c>
      <c r="H797" s="83"/>
      <c r="I797" s="29" t="str">
        <f>CONCATENATE(บันทึกนำเข้าDrawing[[#This Row],[Part No]],"+",บันทึกนำเข้าDrawing[[#This Row],[Drawing No]])</f>
        <v>2B26-431-01+DR-TW-2B26-431-01-00</v>
      </c>
    </row>
    <row r="798" spans="1:9">
      <c r="A798" s="33">
        <v>799</v>
      </c>
      <c r="B798" s="81">
        <v>45001</v>
      </c>
      <c r="C798" s="82" t="s">
        <v>5464</v>
      </c>
      <c r="D798" s="33" t="s">
        <v>5465</v>
      </c>
      <c r="E798" s="69" t="str">
        <f>RIGHT(บันทึกนำเข้าDrawing[[#This Row],[Drawing No]],1)</f>
        <v>0</v>
      </c>
      <c r="F798" s="84" t="s">
        <v>5226</v>
      </c>
      <c r="G798" s="120" t="s">
        <v>4029</v>
      </c>
      <c r="H798" s="83"/>
      <c r="I798" s="29" t="str">
        <f>CONCATENATE(บันทึกนำเข้าDrawing[[#This Row],[Part No]],"+",บันทึกนำเข้าDrawing[[#This Row],[Drawing No]])</f>
        <v>2B26-490-01+DR-TW-2B26-490-01-00</v>
      </c>
    </row>
    <row r="799" spans="1:9">
      <c r="A799" s="33">
        <v>800</v>
      </c>
      <c r="B799" s="81">
        <v>45001</v>
      </c>
      <c r="C799" s="82" t="s">
        <v>5466</v>
      </c>
      <c r="D799" s="33" t="s">
        <v>5467</v>
      </c>
      <c r="E799" s="69" t="str">
        <f>RIGHT(บันทึกนำเข้าDrawing[[#This Row],[Drawing No]],1)</f>
        <v>0</v>
      </c>
      <c r="F799" s="84" t="s">
        <v>5229</v>
      </c>
      <c r="G799" s="120" t="s">
        <v>4029</v>
      </c>
      <c r="H799" s="83"/>
      <c r="I799" s="29" t="str">
        <f>CONCATENATE(บันทึกนำเข้าDrawing[[#This Row],[Part No]],"+",บันทึกนำเข้าDrawing[[#This Row],[Drawing No]])</f>
        <v>2B26-491-01+DR-TW-2B26-491-01-00</v>
      </c>
    </row>
    <row r="800" spans="1:9">
      <c r="A800" s="33">
        <v>801</v>
      </c>
      <c r="B800" s="85">
        <v>45009</v>
      </c>
      <c r="C800" s="72" t="s">
        <v>5447</v>
      </c>
      <c r="D800" s="33" t="s">
        <v>5448</v>
      </c>
      <c r="E800" s="69" t="str">
        <f>RIGHT(บันทึกนำเข้าDrawing[[#This Row],[Drawing No]],1)</f>
        <v>0</v>
      </c>
      <c r="F800" s="68" t="s">
        <v>5449</v>
      </c>
      <c r="G800" s="118" t="s">
        <v>4027</v>
      </c>
      <c r="H800" s="80">
        <v>45012</v>
      </c>
      <c r="I800" s="29" t="str">
        <f>CONCATENATE(บันทึกนำเข้าDrawing[[#This Row],[Part No]],"+",บันทึกนำเข้าDrawing[[#This Row],[Drawing No]])</f>
        <v>2B25-133-00+DR-TW-2B25-133-00-00</v>
      </c>
    </row>
    <row r="801" spans="1:9">
      <c r="A801" s="33">
        <v>802</v>
      </c>
      <c r="B801" s="85">
        <v>45015</v>
      </c>
      <c r="C801" s="72" t="s">
        <v>5472</v>
      </c>
      <c r="D801" s="33" t="s">
        <v>5473</v>
      </c>
      <c r="E801" s="69" t="str">
        <f>RIGHT(บันทึกนำเข้าDrawing[[#This Row],[Drawing No]],1)</f>
        <v>0</v>
      </c>
      <c r="F801" s="68" t="s">
        <v>5474</v>
      </c>
      <c r="G801" s="118" t="s">
        <v>4029</v>
      </c>
      <c r="H801" s="80">
        <v>45050</v>
      </c>
      <c r="I801" s="29" t="str">
        <f>CONCATENATE(บันทึกนำเข้าDrawing[[#This Row],[Part No]],"+",บันทึกนำเข้าDrawing[[#This Row],[Drawing No]])</f>
        <v>2B26-520-00+DR-TW-2B26-520-00-00</v>
      </c>
    </row>
    <row r="802" spans="1:9">
      <c r="A802" s="33">
        <v>803</v>
      </c>
      <c r="B802" s="85">
        <v>45015</v>
      </c>
      <c r="C802" s="72" t="s">
        <v>5475</v>
      </c>
      <c r="D802" s="33" t="s">
        <v>5476</v>
      </c>
      <c r="E802" s="69" t="str">
        <f>RIGHT(บันทึกนำเข้าDrawing[[#This Row],[Drawing No]],1)</f>
        <v>0</v>
      </c>
      <c r="F802" s="68" t="s">
        <v>5477</v>
      </c>
      <c r="G802" s="118" t="s">
        <v>4029</v>
      </c>
      <c r="H802" s="80">
        <v>45050</v>
      </c>
      <c r="I802" s="29" t="str">
        <f>CONCATENATE(บันทึกนำเข้าDrawing[[#This Row],[Part No]],"+",บันทึกนำเข้าDrawing[[#This Row],[Drawing No]])</f>
        <v>2B26-521-00+DR-TW-2B26-521-00-00</v>
      </c>
    </row>
    <row r="803" spans="1:9">
      <c r="A803" s="33">
        <v>804</v>
      </c>
      <c r="B803" s="85">
        <v>45015</v>
      </c>
      <c r="C803" s="72" t="s">
        <v>5478</v>
      </c>
      <c r="D803" s="33" t="s">
        <v>5479</v>
      </c>
      <c r="E803" s="69" t="str">
        <f>RIGHT(บันทึกนำเข้าDrawing[[#This Row],[Drawing No]],1)</f>
        <v>0</v>
      </c>
      <c r="F803" s="68" t="s">
        <v>5480</v>
      </c>
      <c r="G803" s="118" t="s">
        <v>4029</v>
      </c>
      <c r="H803" s="80">
        <v>45050</v>
      </c>
      <c r="I803" s="29" t="str">
        <f>CONCATENATE(บันทึกนำเข้าDrawing[[#This Row],[Part No]],"+",บันทึกนำเข้าDrawing[[#This Row],[Drawing No]])</f>
        <v>2B26-522-00+DR-TW-2B26-522-00-00</v>
      </c>
    </row>
    <row r="804" spans="1:9">
      <c r="A804" s="33">
        <v>805</v>
      </c>
      <c r="B804" s="85">
        <v>45015</v>
      </c>
      <c r="C804" s="72" t="s">
        <v>5481</v>
      </c>
      <c r="D804" s="33" t="s">
        <v>5482</v>
      </c>
      <c r="E804" s="69" t="str">
        <f>RIGHT(บันทึกนำเข้าDrawing[[#This Row],[Drawing No]],1)</f>
        <v>0</v>
      </c>
      <c r="F804" s="68" t="s">
        <v>5483</v>
      </c>
      <c r="G804" s="118" t="s">
        <v>4029</v>
      </c>
      <c r="H804" s="80">
        <v>45050</v>
      </c>
      <c r="I804" s="29" t="str">
        <f>CONCATENATE(บันทึกนำเข้าDrawing[[#This Row],[Part No]],"+",บันทึกนำเข้าDrawing[[#This Row],[Drawing No]])</f>
        <v>2B26-523-00+DR-TW-2B26-523-00-00</v>
      </c>
    </row>
    <row r="805" spans="1:9">
      <c r="A805" s="33">
        <v>806</v>
      </c>
      <c r="B805" s="85">
        <v>45015</v>
      </c>
      <c r="C805" s="72" t="s">
        <v>5484</v>
      </c>
      <c r="D805" s="33" t="s">
        <v>5485</v>
      </c>
      <c r="E805" s="69" t="str">
        <f>RIGHT(บันทึกนำเข้าDrawing[[#This Row],[Drawing No]],1)</f>
        <v>0</v>
      </c>
      <c r="F805" s="68" t="s">
        <v>5486</v>
      </c>
      <c r="G805" s="118" t="s">
        <v>4029</v>
      </c>
      <c r="H805" s="80"/>
      <c r="I805" s="29" t="str">
        <f>CONCATENATE(บันทึกนำเข้าDrawing[[#This Row],[Part No]],"+",บันทึกนำเข้าDrawing[[#This Row],[Drawing No]])</f>
        <v>2B26-581-00+DR-TW-2B26-581-00-00</v>
      </c>
    </row>
    <row r="806" spans="1:9">
      <c r="A806" s="33">
        <v>807</v>
      </c>
      <c r="B806" s="85">
        <v>45015</v>
      </c>
      <c r="C806" s="72" t="s">
        <v>5487</v>
      </c>
      <c r="D806" s="33" t="s">
        <v>5488</v>
      </c>
      <c r="E806" s="69" t="str">
        <f>RIGHT(บันทึกนำเข้าDrawing[[#This Row],[Drawing No]],1)</f>
        <v>0</v>
      </c>
      <c r="F806" s="68" t="s">
        <v>5489</v>
      </c>
      <c r="G806" s="118" t="s">
        <v>3772</v>
      </c>
      <c r="H806" s="80"/>
      <c r="I806" s="29" t="str">
        <f>CONCATENATE(บันทึกนำเข้าDrawing[[#This Row],[Part No]],"+",บันทึกนำเข้าDrawing[[#This Row],[Drawing No]])</f>
        <v>2B26-600-00+DR-TW-2B26-600-00-00</v>
      </c>
    </row>
    <row r="807" spans="1:9">
      <c r="A807" s="33">
        <v>808</v>
      </c>
      <c r="B807" s="85">
        <v>45015</v>
      </c>
      <c r="C807" s="72" t="s">
        <v>5490</v>
      </c>
      <c r="D807" s="33" t="s">
        <v>5491</v>
      </c>
      <c r="E807" s="69" t="str">
        <f>RIGHT(บันทึกนำเข้าDrawing[[#This Row],[Drawing No]],1)</f>
        <v>0</v>
      </c>
      <c r="F807" s="68" t="s">
        <v>5492</v>
      </c>
      <c r="G807" s="118" t="s">
        <v>3772</v>
      </c>
      <c r="H807" s="80"/>
      <c r="I807" s="29" t="str">
        <f>CONCATENATE(บันทึกนำเข้าDrawing[[#This Row],[Part No]],"+",บันทึกนำเข้าDrawing[[#This Row],[Drawing No]])</f>
        <v>2B26-601-00+DR-TW-2B26-601-00-00</v>
      </c>
    </row>
    <row r="808" spans="1:9">
      <c r="A808" s="33">
        <v>809</v>
      </c>
      <c r="B808" s="85">
        <v>45015</v>
      </c>
      <c r="C808" s="72" t="s">
        <v>5495</v>
      </c>
      <c r="D808" s="33" t="s">
        <v>5493</v>
      </c>
      <c r="E808" s="69" t="str">
        <f>RIGHT(บันทึกนำเข้าDrawing[[#This Row],[Drawing No]],1)</f>
        <v>0</v>
      </c>
      <c r="F808" s="68" t="s">
        <v>5494</v>
      </c>
      <c r="G808" s="118" t="s">
        <v>3772</v>
      </c>
      <c r="H808" s="80"/>
      <c r="I808" s="29" t="str">
        <f>CONCATENATE(บันทึกนำเข้าDrawing[[#This Row],[Part No]],"+",บันทึกนำเข้าDrawing[[#This Row],[Drawing No]])</f>
        <v>2B26-602-00+DR-TW-2B26-602-00-00</v>
      </c>
    </row>
    <row r="809" spans="1:9">
      <c r="A809" s="33">
        <v>810</v>
      </c>
      <c r="B809" s="85">
        <v>45015</v>
      </c>
      <c r="C809" s="72" t="s">
        <v>5496</v>
      </c>
      <c r="D809" s="33" t="s">
        <v>5497</v>
      </c>
      <c r="E809" s="69" t="str">
        <f>RIGHT(บันทึกนำเข้าDrawing[[#This Row],[Drawing No]],1)</f>
        <v>0</v>
      </c>
      <c r="F809" s="68" t="s">
        <v>5498</v>
      </c>
      <c r="G809" s="118" t="s">
        <v>3772</v>
      </c>
      <c r="H809" s="80"/>
      <c r="I809" s="29" t="str">
        <f>CONCATENATE(บันทึกนำเข้าDrawing[[#This Row],[Part No]],"+",บันทึกนำเข้าDrawing[[#This Row],[Drawing No]])</f>
        <v>2B26-603-00+DR-TW-2B26-603-00-00</v>
      </c>
    </row>
    <row r="810" spans="1:9">
      <c r="A810" s="33">
        <v>811</v>
      </c>
      <c r="B810" s="85">
        <v>45015</v>
      </c>
      <c r="C810" s="72" t="s">
        <v>5500</v>
      </c>
      <c r="D810" s="33" t="s">
        <v>5499</v>
      </c>
      <c r="E810" s="69" t="str">
        <f>RIGHT(บันทึกนำเข้าDrawing[[#This Row],[Drawing No]],1)</f>
        <v>0</v>
      </c>
      <c r="F810" s="68" t="s">
        <v>5501</v>
      </c>
      <c r="G810" s="118" t="s">
        <v>3772</v>
      </c>
      <c r="H810" s="80"/>
      <c r="I810" s="29" t="str">
        <f>CONCATENATE(บันทึกนำเข้าDrawing[[#This Row],[Part No]],"+",บันทึกนำเข้าDrawing[[#This Row],[Drawing No]])</f>
        <v>2B27-158-00+DR-TW-2B27-158-00-00</v>
      </c>
    </row>
    <row r="811" spans="1:9">
      <c r="A811" s="33">
        <v>812</v>
      </c>
      <c r="B811" s="85">
        <v>45015</v>
      </c>
      <c r="C811" s="72" t="s">
        <v>5502</v>
      </c>
      <c r="D811" s="33" t="s">
        <v>5503</v>
      </c>
      <c r="E811" s="69" t="str">
        <f>RIGHT(บันทึกนำเข้าDrawing[[#This Row],[Drawing No]],1)</f>
        <v>0</v>
      </c>
      <c r="F811" s="68" t="s">
        <v>5501</v>
      </c>
      <c r="G811" s="118" t="s">
        <v>4027</v>
      </c>
      <c r="H811" s="80">
        <v>45054</v>
      </c>
      <c r="I811" s="29" t="str">
        <f>CONCATENATE(บันทึกนำเข้าDrawing[[#This Row],[Part No]],"+",บันทึกนำเข้าDrawing[[#This Row],[Drawing No]])</f>
        <v>2B27-159-00+DR-TW-2B27-159-00-00</v>
      </c>
    </row>
    <row r="812" spans="1:9">
      <c r="A812" s="33">
        <v>788</v>
      </c>
      <c r="B812" s="85">
        <v>44991</v>
      </c>
      <c r="C812" s="72" t="s">
        <v>5319</v>
      </c>
      <c r="D812" s="33" t="s">
        <v>5318</v>
      </c>
      <c r="E812" s="69" t="str">
        <f>RIGHT(บันทึกนำเข้าDrawing[[#This Row],[Drawing No]],1)</f>
        <v>0</v>
      </c>
      <c r="F812" s="68" t="s">
        <v>5320</v>
      </c>
      <c r="G812" s="118" t="s">
        <v>4029</v>
      </c>
      <c r="H812" s="80">
        <v>45050</v>
      </c>
      <c r="I812" s="29" t="str">
        <f>CONCATENATE(บันทึกนำเข้าDrawing[[#This Row],[Part No]],"+",บันทึกนำเข้าDrawing[[#This Row],[Drawing No]])</f>
        <v>2B94-054-00+DR-TW-2B94-054-00-00</v>
      </c>
    </row>
    <row r="813" spans="1:9">
      <c r="A813" s="33">
        <v>813</v>
      </c>
      <c r="B813" s="85">
        <v>45015</v>
      </c>
      <c r="C813" s="72" t="s">
        <v>5504</v>
      </c>
      <c r="D813" s="33" t="s">
        <v>5505</v>
      </c>
      <c r="E813" s="69" t="str">
        <f>RIGHT(บันทึกนำเข้าDrawing[[#This Row],[Drawing No]],1)</f>
        <v>0</v>
      </c>
      <c r="F813" s="68" t="s">
        <v>5508</v>
      </c>
      <c r="G813" s="118" t="s">
        <v>4027</v>
      </c>
      <c r="H813" s="80">
        <v>45094</v>
      </c>
      <c r="I813" s="29" t="str">
        <f>CONCATENATE(บันทึกนำเข้าDrawing[[#This Row],[Part No]],"+",บันทึกนำเข้าDrawing[[#This Row],[Drawing No]])</f>
        <v>2B94-057-00+DR-TW-2B94-057-00-00</v>
      </c>
    </row>
    <row r="814" spans="1:9">
      <c r="A814" s="33">
        <v>815</v>
      </c>
      <c r="B814" s="85">
        <v>45019</v>
      </c>
      <c r="C814" s="72" t="s">
        <v>5511</v>
      </c>
      <c r="D814" s="33" t="s">
        <v>5512</v>
      </c>
      <c r="E814" s="69" t="str">
        <f>RIGHT(บันทึกนำเข้าDrawing[[#This Row],[Drawing No]],1)</f>
        <v>0</v>
      </c>
      <c r="F814" s="68" t="s">
        <v>5513</v>
      </c>
      <c r="G814" s="118" t="s">
        <v>4027</v>
      </c>
      <c r="H814" s="80">
        <v>45244</v>
      </c>
      <c r="I814" s="29" t="str">
        <f>CONCATENATE(บันทึกนำเข้าDrawing[[#This Row],[Part No]],"+",บันทึกนำเข้าDrawing[[#This Row],[Drawing No]])</f>
        <v>2B26-273-01+DR-TW-2B26-273-01-00</v>
      </c>
    </row>
    <row r="815" spans="1:9">
      <c r="A815" s="33">
        <v>816</v>
      </c>
      <c r="B815" s="85">
        <v>45019</v>
      </c>
      <c r="C815" s="72" t="s">
        <v>5514</v>
      </c>
      <c r="D815" s="33" t="s">
        <v>5515</v>
      </c>
      <c r="E815" s="69" t="str">
        <f>RIGHT(บันทึกนำเข้าDrawing[[#This Row],[Drawing No]],1)</f>
        <v>0</v>
      </c>
      <c r="F815" s="68" t="s">
        <v>5220</v>
      </c>
      <c r="G815" s="118" t="s">
        <v>4029</v>
      </c>
      <c r="H815" s="80"/>
      <c r="I815" s="29" t="str">
        <f>CONCATENATE(บันทึกนำเข้าDrawing[[#This Row],[Part No]],"+",บันทึกนำเข้าDrawing[[#This Row],[Drawing No]])</f>
        <v>2B26-430-03+DR-TW-2B26-430-03-00</v>
      </c>
    </row>
    <row r="816" spans="1:9">
      <c r="A816" s="33">
        <v>817</v>
      </c>
      <c r="B816" s="85">
        <v>45019</v>
      </c>
      <c r="C816" s="72" t="s">
        <v>5516</v>
      </c>
      <c r="D816" s="33" t="s">
        <v>5517</v>
      </c>
      <c r="E816" s="69" t="str">
        <f>RIGHT(บันทึกนำเข้าDrawing[[#This Row],[Drawing No]],1)</f>
        <v>0</v>
      </c>
      <c r="F816" s="68" t="s">
        <v>5223</v>
      </c>
      <c r="G816" s="118" t="s">
        <v>3779</v>
      </c>
      <c r="H816" s="80"/>
      <c r="I816" s="29" t="str">
        <f>CONCATENATE(บันทึกนำเข้าDrawing[[#This Row],[Part No]],"+",บันทึกนำเข้าDrawing[[#This Row],[Drawing No]])</f>
        <v>2B26-431-03+DR-TW-2B26-431-03-00</v>
      </c>
    </row>
    <row r="817" spans="1:9">
      <c r="A817" s="33">
        <v>818</v>
      </c>
      <c r="B817" s="85">
        <v>45019</v>
      </c>
      <c r="C817" s="72" t="s">
        <v>5518</v>
      </c>
      <c r="D817" s="33" t="s">
        <v>5519</v>
      </c>
      <c r="E817" s="69" t="str">
        <f>RIGHT(บันทึกนำเข้าDrawing[[#This Row],[Drawing No]],1)</f>
        <v>0</v>
      </c>
      <c r="F817" s="68" t="s">
        <v>5226</v>
      </c>
      <c r="G817" s="118" t="s">
        <v>4029</v>
      </c>
      <c r="H817" s="80">
        <v>45105</v>
      </c>
      <c r="I817" s="29" t="str">
        <f>CONCATENATE(บันทึกนำเข้าDrawing[[#This Row],[Part No]],"+",บันทึกนำเข้าDrawing[[#This Row],[Drawing No]])</f>
        <v>2B26-490-02+DR-TW-2B26-490-02-00</v>
      </c>
    </row>
    <row r="818" spans="1:9">
      <c r="A818" s="33">
        <v>819</v>
      </c>
      <c r="B818" s="85">
        <v>45021</v>
      </c>
      <c r="C818" s="72" t="s">
        <v>5509</v>
      </c>
      <c r="D818" s="33" t="s">
        <v>5510</v>
      </c>
      <c r="E818" s="69" t="str">
        <f>RIGHT(บันทึกนำเข้าDrawing[[#This Row],[Drawing No]],1)</f>
        <v>0</v>
      </c>
      <c r="F818" s="68" t="s">
        <v>5035</v>
      </c>
      <c r="G818" s="118" t="s">
        <v>4029</v>
      </c>
      <c r="H818" s="80">
        <v>45054</v>
      </c>
      <c r="I818" s="29" t="str">
        <f>CONCATENATE(บันทึกนำเข้าDrawing[[#This Row],[Part No]],"+",บันทึกนำเข้าDrawing[[#This Row],[Drawing No]])</f>
        <v>2B04-540-00+DR-TW-2B04-540-00-00</v>
      </c>
    </row>
    <row r="819" spans="1:9">
      <c r="A819" s="33">
        <v>820</v>
      </c>
      <c r="B819" s="85">
        <v>45021</v>
      </c>
      <c r="C819" s="72" t="s">
        <v>5520</v>
      </c>
      <c r="D819" s="33" t="s">
        <v>5521</v>
      </c>
      <c r="E819" s="69" t="str">
        <f>RIGHT(บันทึกนำเข้าDrawing[[#This Row],[Drawing No]],1)</f>
        <v>0</v>
      </c>
      <c r="F819" s="68" t="s">
        <v>5229</v>
      </c>
      <c r="G819" s="118" t="s">
        <v>4029</v>
      </c>
      <c r="H819" s="80"/>
      <c r="I819" s="29" t="str">
        <f>CONCATENATE(บันทึกนำเข้าDrawing[[#This Row],[Part No]],"+",บันทึกนำเข้าDrawing[[#This Row],[Drawing No]])</f>
        <v>2B26-491-02+DR-TW-2B26-491-02-00</v>
      </c>
    </row>
    <row r="820" spans="1:9">
      <c r="A820" s="33">
        <v>821</v>
      </c>
      <c r="B820" s="85">
        <v>45021</v>
      </c>
      <c r="C820" s="72" t="s">
        <v>5522</v>
      </c>
      <c r="D820" s="33" t="s">
        <v>5523</v>
      </c>
      <c r="E820" s="69" t="str">
        <f>RIGHT(บันทึกนำเข้าDrawing[[#This Row],[Drawing No]],1)</f>
        <v>0</v>
      </c>
      <c r="F820" s="68" t="s">
        <v>5524</v>
      </c>
      <c r="G820" s="118" t="s">
        <v>4029</v>
      </c>
      <c r="H820" s="80">
        <v>45117</v>
      </c>
      <c r="I820" s="29" t="str">
        <f>CONCATENATE(บันทึกนำเข้าDrawing[[#This Row],[Part No]],"+",บันทึกนำเข้าDrawing[[#This Row],[Drawing No]])</f>
        <v>2B04-450-00+DR-TW-2B04-450-00-00</v>
      </c>
    </row>
    <row r="821" spans="1:9">
      <c r="A821" s="33">
        <v>822</v>
      </c>
      <c r="B821" s="85">
        <v>45021</v>
      </c>
      <c r="C821" s="72" t="s">
        <v>5525</v>
      </c>
      <c r="D821" s="33" t="s">
        <v>5282</v>
      </c>
      <c r="E821" s="69" t="str">
        <f>RIGHT(บันทึกนำเข้าDrawing[[#This Row],[Drawing No]],1)</f>
        <v>1</v>
      </c>
      <c r="F821" s="68" t="s">
        <v>5255</v>
      </c>
      <c r="G821" s="118" t="s">
        <v>4029</v>
      </c>
      <c r="H821" s="80"/>
      <c r="I821" s="29" t="str">
        <f>CONCATENATE(บันทึกนำเข้าDrawing[[#This Row],[Part No]],"+",บันทึกนำเข้าDrawing[[#This Row],[Drawing No]])</f>
        <v>2B19F090-00+DR-TW-2B19F090-00-01</v>
      </c>
    </row>
    <row r="822" spans="1:9">
      <c r="A822" s="33">
        <v>823</v>
      </c>
      <c r="B822" s="85">
        <v>45021</v>
      </c>
      <c r="C822" s="72" t="s">
        <v>5525</v>
      </c>
      <c r="D822" s="33" t="s">
        <v>5283</v>
      </c>
      <c r="E822" s="69" t="str">
        <f>RIGHT(บันทึกนำเข้าDrawing[[#This Row],[Drawing No]],1)</f>
        <v>1</v>
      </c>
      <c r="F822" s="68" t="s">
        <v>5256</v>
      </c>
      <c r="G822" s="118" t="s">
        <v>4029</v>
      </c>
      <c r="H822" s="80"/>
      <c r="I822" s="29" t="str">
        <f>CONCATENATE(บันทึกนำเข้าDrawing[[#This Row],[Part No]],"+",บันทึกนำเข้าDrawing[[#This Row],[Drawing No]])</f>
        <v>2B19F095-00+DR-TW-2B19F090-00-01</v>
      </c>
    </row>
    <row r="823" spans="1:9">
      <c r="A823" s="33">
        <v>824</v>
      </c>
      <c r="B823" s="85">
        <v>45021</v>
      </c>
      <c r="C823" s="72" t="s">
        <v>5525</v>
      </c>
      <c r="D823" s="33" t="s">
        <v>5284</v>
      </c>
      <c r="E823" s="69" t="str">
        <f>RIGHT(บันทึกนำเข้าDrawing[[#This Row],[Drawing No]],1)</f>
        <v>1</v>
      </c>
      <c r="F823" s="68" t="s">
        <v>5257</v>
      </c>
      <c r="G823" s="118" t="s">
        <v>4029</v>
      </c>
      <c r="H823" s="80"/>
      <c r="I823" s="29" t="str">
        <f>CONCATENATE(บันทึกนำเข้าDrawing[[#This Row],[Part No]],"+",บันทึกนำเข้าDrawing[[#This Row],[Drawing No]])</f>
        <v>2B19F100-00+DR-TW-2B19F090-00-01</v>
      </c>
    </row>
    <row r="824" spans="1:9">
      <c r="A824" s="33">
        <v>825</v>
      </c>
      <c r="B824" s="85">
        <v>45021</v>
      </c>
      <c r="C824" s="72" t="s">
        <v>5525</v>
      </c>
      <c r="D824" s="33" t="s">
        <v>5285</v>
      </c>
      <c r="E824" s="69" t="str">
        <f>RIGHT(บันทึกนำเข้าDrawing[[#This Row],[Drawing No]],1)</f>
        <v>1</v>
      </c>
      <c r="F824" s="68" t="s">
        <v>5258</v>
      </c>
      <c r="G824" s="118" t="s">
        <v>4029</v>
      </c>
      <c r="H824" s="80"/>
      <c r="I824" s="29" t="str">
        <f>CONCATENATE(บันทึกนำเข้าDrawing[[#This Row],[Part No]],"+",บันทึกนำเข้าDrawing[[#This Row],[Drawing No]])</f>
        <v>2B19F105-00+DR-TW-2B19F090-00-01</v>
      </c>
    </row>
    <row r="825" spans="1:9">
      <c r="A825" s="33">
        <v>826</v>
      </c>
      <c r="B825" s="85">
        <v>45021</v>
      </c>
      <c r="C825" s="72" t="s">
        <v>5525</v>
      </c>
      <c r="D825" s="33" t="s">
        <v>5286</v>
      </c>
      <c r="E825" s="69" t="str">
        <f>RIGHT(บันทึกนำเข้าDrawing[[#This Row],[Drawing No]],1)</f>
        <v>1</v>
      </c>
      <c r="F825" s="68" t="s">
        <v>5259</v>
      </c>
      <c r="G825" s="118" t="s">
        <v>4029</v>
      </c>
      <c r="H825" s="80"/>
      <c r="I825" s="29" t="str">
        <f>CONCATENATE(บันทึกนำเข้าDrawing[[#This Row],[Part No]],"+",บันทึกนำเข้าDrawing[[#This Row],[Drawing No]])</f>
        <v>2B19F110-00+DR-TW-2B19F090-00-01</v>
      </c>
    </row>
    <row r="826" spans="1:9">
      <c r="A826" s="33">
        <v>827</v>
      </c>
      <c r="B826" s="85">
        <v>45021</v>
      </c>
      <c r="C826" s="72" t="s">
        <v>5525</v>
      </c>
      <c r="D826" s="33" t="s">
        <v>5287</v>
      </c>
      <c r="E826" s="69" t="str">
        <f>RIGHT(บันทึกนำเข้าDrawing[[#This Row],[Drawing No]],1)</f>
        <v>1</v>
      </c>
      <c r="F826" s="68" t="s">
        <v>5260</v>
      </c>
      <c r="G826" s="118" t="s">
        <v>4029</v>
      </c>
      <c r="H826" s="80"/>
      <c r="I826" s="29" t="str">
        <f>CONCATENATE(บันทึกนำเข้าDrawing[[#This Row],[Part No]],"+",บันทึกนำเข้าDrawing[[#This Row],[Drawing No]])</f>
        <v>2B19F115-00+DR-TW-2B19F090-00-01</v>
      </c>
    </row>
    <row r="827" spans="1:9">
      <c r="A827" s="33">
        <v>828</v>
      </c>
      <c r="B827" s="85">
        <v>45021</v>
      </c>
      <c r="C827" s="72" t="s">
        <v>5525</v>
      </c>
      <c r="D827" s="33" t="s">
        <v>5288</v>
      </c>
      <c r="E827" s="69" t="str">
        <f>RIGHT(บันทึกนำเข้าDrawing[[#This Row],[Drawing No]],1)</f>
        <v>1</v>
      </c>
      <c r="F827" s="68" t="s">
        <v>5261</v>
      </c>
      <c r="G827" s="118" t="s">
        <v>4029</v>
      </c>
      <c r="H827" s="80"/>
      <c r="I827" s="29" t="str">
        <f>CONCATENATE(บันทึกนำเข้าDrawing[[#This Row],[Part No]],"+",บันทึกนำเข้าDrawing[[#This Row],[Drawing No]])</f>
        <v>2B19F120-00+DR-TW-2B19F090-00-01</v>
      </c>
    </row>
    <row r="828" spans="1:9">
      <c r="A828" s="33">
        <v>829</v>
      </c>
      <c r="B828" s="85">
        <v>45021</v>
      </c>
      <c r="C828" s="72" t="s">
        <v>5525</v>
      </c>
      <c r="D828" s="33" t="s">
        <v>5289</v>
      </c>
      <c r="E828" s="69" t="str">
        <f>RIGHT(บันทึกนำเข้าDrawing[[#This Row],[Drawing No]],1)</f>
        <v>1</v>
      </c>
      <c r="F828" s="68" t="s">
        <v>5262</v>
      </c>
      <c r="G828" s="118" t="s">
        <v>4029</v>
      </c>
      <c r="H828" s="80"/>
      <c r="I828" s="29" t="str">
        <f>CONCATENATE(บันทึกนำเข้าDrawing[[#This Row],[Part No]],"+",บันทึกนำเข้าDrawing[[#This Row],[Drawing No]])</f>
        <v>2B19F125-00+DR-TW-2B19F090-00-01</v>
      </c>
    </row>
    <row r="829" spans="1:9">
      <c r="A829" s="33">
        <v>830</v>
      </c>
      <c r="B829" s="85">
        <v>45021</v>
      </c>
      <c r="C829" s="72" t="s">
        <v>5525</v>
      </c>
      <c r="D829" s="33" t="s">
        <v>5290</v>
      </c>
      <c r="E829" s="69" t="str">
        <f>RIGHT(บันทึกนำเข้าDrawing[[#This Row],[Drawing No]],1)</f>
        <v>1</v>
      </c>
      <c r="F829" s="84" t="s">
        <v>5263</v>
      </c>
      <c r="G829" s="120" t="s">
        <v>4029</v>
      </c>
      <c r="H829" s="83"/>
      <c r="I829" s="29" t="str">
        <f>CONCATENATE(บันทึกนำเข้าDrawing[[#This Row],[Part No]],"+",บันทึกนำเข้าDrawing[[#This Row],[Drawing No]])</f>
        <v>2B19F130-00+DR-TW-2B19F090-00-01</v>
      </c>
    </row>
    <row r="830" spans="1:9">
      <c r="A830" s="33">
        <v>831</v>
      </c>
      <c r="B830" s="81">
        <v>45021</v>
      </c>
      <c r="C830" s="82" t="s">
        <v>5525</v>
      </c>
      <c r="D830" s="33" t="s">
        <v>5291</v>
      </c>
      <c r="E830" s="69" t="str">
        <f>RIGHT(บันทึกนำเข้าDrawing[[#This Row],[Drawing No]],1)</f>
        <v>1</v>
      </c>
      <c r="F830" s="84" t="s">
        <v>5264</v>
      </c>
      <c r="G830" s="120" t="s">
        <v>4029</v>
      </c>
      <c r="H830" s="83">
        <v>45050</v>
      </c>
      <c r="I830" s="29" t="str">
        <f>CONCATENATE(บันทึกนำเข้าDrawing[[#This Row],[Part No]],"+",บันทึกนำเข้าDrawing[[#This Row],[Drawing No]])</f>
        <v>2B19F135-00+DR-TW-2B19F090-00-01</v>
      </c>
    </row>
    <row r="831" spans="1:9">
      <c r="A831" s="33">
        <v>832</v>
      </c>
      <c r="B831" s="81">
        <v>45021</v>
      </c>
      <c r="C831" s="82" t="s">
        <v>5525</v>
      </c>
      <c r="D831" s="33" t="s">
        <v>5292</v>
      </c>
      <c r="E831" s="69" t="str">
        <f>RIGHT(บันทึกนำเข้าDrawing[[#This Row],[Drawing No]],1)</f>
        <v>1</v>
      </c>
      <c r="F831" s="84" t="s">
        <v>5265</v>
      </c>
      <c r="G831" s="120" t="s">
        <v>4029</v>
      </c>
      <c r="H831" s="83">
        <v>45077</v>
      </c>
      <c r="I831" s="29" t="str">
        <f>CONCATENATE(บันทึกนำเข้าDrawing[[#This Row],[Part No]],"+",บันทึกนำเข้าDrawing[[#This Row],[Drawing No]])</f>
        <v>2B19F140-00+DR-TW-2B19F090-00-01</v>
      </c>
    </row>
    <row r="832" spans="1:9">
      <c r="A832" s="33">
        <v>833</v>
      </c>
      <c r="B832" s="85">
        <v>45021</v>
      </c>
      <c r="C832" s="72" t="s">
        <v>5525</v>
      </c>
      <c r="D832" s="33" t="s">
        <v>5293</v>
      </c>
      <c r="E832" s="69" t="str">
        <f>RIGHT(บันทึกนำเข้าDrawing[[#This Row],[Drawing No]],1)</f>
        <v>1</v>
      </c>
      <c r="F832" s="68" t="s">
        <v>5262</v>
      </c>
      <c r="G832" s="118" t="s">
        <v>4029</v>
      </c>
      <c r="H832" s="80"/>
      <c r="I832" s="29" t="str">
        <f>CONCATENATE(บันทึกนำเข้าDrawing[[#This Row],[Part No]],"+",บันทึกนำเข้าDrawing[[#This Row],[Drawing No]])</f>
        <v>2B19F145-00+DR-TW-2B19F090-00-01</v>
      </c>
    </row>
    <row r="833" spans="1:9">
      <c r="A833" s="33">
        <v>834</v>
      </c>
      <c r="B833" s="85">
        <v>45021</v>
      </c>
      <c r="C833" s="72" t="s">
        <v>5525</v>
      </c>
      <c r="D833" s="33" t="s">
        <v>5294</v>
      </c>
      <c r="E833" s="69" t="str">
        <f>RIGHT(บันทึกนำเข้าDrawing[[#This Row],[Drawing No]],1)</f>
        <v>1</v>
      </c>
      <c r="F833" s="68" t="s">
        <v>5266</v>
      </c>
      <c r="G833" s="118" t="s">
        <v>4029</v>
      </c>
      <c r="H833" s="80"/>
      <c r="I833" s="29" t="str">
        <f>CONCATENATE(บันทึกนำเข้าDrawing[[#This Row],[Part No]],"+",บันทึกนำเข้าDrawing[[#This Row],[Drawing No]])</f>
        <v>2B19F150-00+DR-TW-2B19F090-00-01</v>
      </c>
    </row>
    <row r="834" spans="1:9">
      <c r="A834" s="33">
        <v>835</v>
      </c>
      <c r="B834" s="85">
        <v>45021</v>
      </c>
      <c r="C834" s="72" t="s">
        <v>5525</v>
      </c>
      <c r="D834" s="33" t="s">
        <v>5295</v>
      </c>
      <c r="E834" s="69" t="str">
        <f>RIGHT(บันทึกนำเข้าDrawing[[#This Row],[Drawing No]],1)</f>
        <v>1</v>
      </c>
      <c r="F834" s="68" t="s">
        <v>5267</v>
      </c>
      <c r="G834" s="118" t="s">
        <v>4029</v>
      </c>
      <c r="H834" s="80"/>
      <c r="I834" s="29" t="str">
        <f>CONCATENATE(บันทึกนำเข้าDrawing[[#This Row],[Part No]],"+",บันทึกนำเข้าDrawing[[#This Row],[Drawing No]])</f>
        <v>2B19F155-00+DR-TW-2B19F090-00-01</v>
      </c>
    </row>
    <row r="835" spans="1:9">
      <c r="A835" s="33">
        <v>836</v>
      </c>
      <c r="B835" s="81">
        <v>45021</v>
      </c>
      <c r="C835" s="82" t="s">
        <v>5525</v>
      </c>
      <c r="D835" s="33" t="s">
        <v>5296</v>
      </c>
      <c r="E835" s="69" t="str">
        <f>RIGHT(บันทึกนำเข้าDrawing[[#This Row],[Drawing No]],1)</f>
        <v>1</v>
      </c>
      <c r="F835" s="84" t="s">
        <v>5268</v>
      </c>
      <c r="G835" s="120" t="s">
        <v>4029</v>
      </c>
      <c r="H835" s="83">
        <v>45139</v>
      </c>
      <c r="I835" s="29" t="str">
        <f>CONCATENATE(บันทึกนำเข้าDrawing[[#This Row],[Part No]],"+",บันทึกนำเข้าDrawing[[#This Row],[Drawing No]])</f>
        <v>2B19F160-00+DR-TW-2B19F090-00-01</v>
      </c>
    </row>
    <row r="836" spans="1:9">
      <c r="A836" s="33">
        <v>837</v>
      </c>
      <c r="B836" s="81">
        <v>45021</v>
      </c>
      <c r="C836" s="82" t="s">
        <v>5525</v>
      </c>
      <c r="D836" s="33" t="s">
        <v>5297</v>
      </c>
      <c r="E836" s="69" t="str">
        <f>RIGHT(บันทึกนำเข้าDrawing[[#This Row],[Drawing No]],1)</f>
        <v>1</v>
      </c>
      <c r="F836" s="84" t="s">
        <v>5269</v>
      </c>
      <c r="G836" s="120" t="s">
        <v>4029</v>
      </c>
      <c r="H836" s="83"/>
      <c r="I836" s="29" t="str">
        <f>CONCATENATE(บันทึกนำเข้าDrawing[[#This Row],[Part No]],"+",บันทึกนำเข้าDrawing[[#This Row],[Drawing No]])</f>
        <v>2B19F165-00+DR-TW-2B19F090-00-01</v>
      </c>
    </row>
    <row r="837" spans="1:9">
      <c r="A837" s="33">
        <v>838</v>
      </c>
      <c r="B837" s="81">
        <v>45021</v>
      </c>
      <c r="C837" s="82" t="s">
        <v>5525</v>
      </c>
      <c r="D837" s="33" t="s">
        <v>5298</v>
      </c>
      <c r="E837" s="69" t="str">
        <f>RIGHT(บันทึกนำเข้าDrawing[[#This Row],[Drawing No]],1)</f>
        <v>1</v>
      </c>
      <c r="F837" s="84" t="s">
        <v>5270</v>
      </c>
      <c r="G837" s="120" t="s">
        <v>4029</v>
      </c>
      <c r="H837" s="83"/>
      <c r="I837" s="29" t="str">
        <f>CONCATENATE(บันทึกนำเข้าDrawing[[#This Row],[Part No]],"+",บันทึกนำเข้าDrawing[[#This Row],[Drawing No]])</f>
        <v>2B19F170-00+DR-TW-2B19F090-00-01</v>
      </c>
    </row>
    <row r="838" spans="1:9">
      <c r="A838" s="33">
        <v>839</v>
      </c>
      <c r="B838" s="81">
        <v>45021</v>
      </c>
      <c r="C838" s="82" t="s">
        <v>5525</v>
      </c>
      <c r="D838" s="33" t="s">
        <v>5299</v>
      </c>
      <c r="E838" s="69" t="str">
        <f>RIGHT(บันทึกนำเข้าDrawing[[#This Row],[Drawing No]],1)</f>
        <v>1</v>
      </c>
      <c r="F838" s="84" t="s">
        <v>5271</v>
      </c>
      <c r="G838" s="120" t="s">
        <v>4029</v>
      </c>
      <c r="H838" s="83"/>
      <c r="I838" s="29" t="str">
        <f>CONCATENATE(บันทึกนำเข้าDrawing[[#This Row],[Part No]],"+",บันทึกนำเข้าDrawing[[#This Row],[Drawing No]])</f>
        <v>2B19F175-00+DR-TW-2B19F090-00-01</v>
      </c>
    </row>
    <row r="839" spans="1:9">
      <c r="A839" s="33">
        <v>840</v>
      </c>
      <c r="B839" s="81">
        <v>45021</v>
      </c>
      <c r="C839" s="82" t="s">
        <v>5525</v>
      </c>
      <c r="D839" s="33" t="s">
        <v>5300</v>
      </c>
      <c r="E839" s="69" t="str">
        <f>RIGHT(บันทึกนำเข้าDrawing[[#This Row],[Drawing No]],1)</f>
        <v>1</v>
      </c>
      <c r="F839" s="84" t="s">
        <v>5272</v>
      </c>
      <c r="G839" s="120" t="s">
        <v>4029</v>
      </c>
      <c r="H839" s="83">
        <v>45061</v>
      </c>
      <c r="I839" s="29" t="str">
        <f>CONCATENATE(บันทึกนำเข้าDrawing[[#This Row],[Part No]],"+",บันทึกนำเข้าDrawing[[#This Row],[Drawing No]])</f>
        <v>2B19F180-00+DR-TW-2B19F090-00-01</v>
      </c>
    </row>
    <row r="840" spans="1:9">
      <c r="A840" s="33">
        <v>841</v>
      </c>
      <c r="B840" s="81">
        <v>45021</v>
      </c>
      <c r="C840" s="82" t="s">
        <v>5525</v>
      </c>
      <c r="D840" s="33" t="s">
        <v>5301</v>
      </c>
      <c r="E840" s="69" t="str">
        <f>RIGHT(บันทึกนำเข้าDrawing[[#This Row],[Drawing No]],1)</f>
        <v>1</v>
      </c>
      <c r="F840" s="84" t="s">
        <v>5273</v>
      </c>
      <c r="G840" s="120" t="s">
        <v>4029</v>
      </c>
      <c r="H840" s="83"/>
      <c r="I840" s="29" t="str">
        <f>CONCATENATE(บันทึกนำเข้าDrawing[[#This Row],[Part No]],"+",บันทึกนำเข้าDrawing[[#This Row],[Drawing No]])</f>
        <v>2B19F185-00+DR-TW-2B19F090-00-01</v>
      </c>
    </row>
    <row r="841" spans="1:9">
      <c r="A841" s="33">
        <v>842</v>
      </c>
      <c r="B841" s="81">
        <v>45021</v>
      </c>
      <c r="C841" s="82" t="s">
        <v>5525</v>
      </c>
      <c r="D841" s="33" t="s">
        <v>5302</v>
      </c>
      <c r="E841" s="69" t="str">
        <f>RIGHT(บันทึกนำเข้าDrawing[[#This Row],[Drawing No]],1)</f>
        <v>1</v>
      </c>
      <c r="F841" s="84" t="s">
        <v>5274</v>
      </c>
      <c r="G841" s="120" t="s">
        <v>4029</v>
      </c>
      <c r="H841" s="83"/>
      <c r="I841" s="29" t="str">
        <f>CONCATENATE(บันทึกนำเข้าDrawing[[#This Row],[Part No]],"+",บันทึกนำเข้าDrawing[[#This Row],[Drawing No]])</f>
        <v>2B19F190-00+DR-TW-2B19F090-00-01</v>
      </c>
    </row>
    <row r="842" spans="1:9">
      <c r="A842" s="33">
        <v>843</v>
      </c>
      <c r="B842" s="81">
        <v>45021</v>
      </c>
      <c r="C842" s="82" t="s">
        <v>5525</v>
      </c>
      <c r="D842" s="33" t="s">
        <v>5303</v>
      </c>
      <c r="E842" s="69" t="str">
        <f>RIGHT(บันทึกนำเข้าDrawing[[#This Row],[Drawing No]],1)</f>
        <v>1</v>
      </c>
      <c r="F842" s="68" t="s">
        <v>5275</v>
      </c>
      <c r="G842" s="120" t="s">
        <v>4029</v>
      </c>
      <c r="H842" s="83">
        <v>45050</v>
      </c>
      <c r="I842" s="29" t="str">
        <f>CONCATENATE(บันทึกนำเข้าDrawing[[#This Row],[Part No]],"+",บันทึกนำเข้าDrawing[[#This Row],[Drawing No]])</f>
        <v>2B19F195-00+DR-TW-2B19F090-00-01</v>
      </c>
    </row>
    <row r="843" spans="1:9">
      <c r="A843" s="33">
        <v>844</v>
      </c>
      <c r="B843" s="81">
        <v>45021</v>
      </c>
      <c r="C843" s="82" t="s">
        <v>5525</v>
      </c>
      <c r="D843" s="33" t="s">
        <v>5304</v>
      </c>
      <c r="E843" s="69" t="str">
        <f>RIGHT(บันทึกนำเข้าDrawing[[#This Row],[Drawing No]],1)</f>
        <v>1</v>
      </c>
      <c r="F843" s="68" t="s">
        <v>5191</v>
      </c>
      <c r="G843" s="120" t="s">
        <v>4029</v>
      </c>
      <c r="H843" s="83"/>
      <c r="I843" s="29" t="str">
        <f>CONCATENATE(บันทึกนำเข้าDrawing[[#This Row],[Part No]],"+",บันทึกนำเข้าDrawing[[#This Row],[Drawing No]])</f>
        <v>2B19F200-00+DR-TW-2B19F090-00-01</v>
      </c>
    </row>
    <row r="844" spans="1:9">
      <c r="A844" s="33">
        <v>845</v>
      </c>
      <c r="B844" s="81">
        <v>45021</v>
      </c>
      <c r="C844" s="82" t="s">
        <v>5525</v>
      </c>
      <c r="D844" s="33" t="s">
        <v>5305</v>
      </c>
      <c r="E844" s="69" t="str">
        <f>RIGHT(บันทึกนำเข้าDrawing[[#This Row],[Drawing No]],1)</f>
        <v>1</v>
      </c>
      <c r="F844" s="84" t="s">
        <v>5276</v>
      </c>
      <c r="G844" s="120" t="s">
        <v>4029</v>
      </c>
      <c r="H844" s="83"/>
      <c r="I844" s="29" t="str">
        <f>CONCATENATE(บันทึกนำเข้าDrawing[[#This Row],[Part No]],"+",บันทึกนำเข้าDrawing[[#This Row],[Drawing No]])</f>
        <v>2B19F205-00+DR-TW-2B19F090-00-01</v>
      </c>
    </row>
    <row r="845" spans="1:9">
      <c r="A845" s="33">
        <v>846</v>
      </c>
      <c r="B845" s="71">
        <v>45021</v>
      </c>
      <c r="C845" s="72" t="s">
        <v>5525</v>
      </c>
      <c r="D845" s="33" t="s">
        <v>5306</v>
      </c>
      <c r="E845" s="69" t="str">
        <f>RIGHT(บันทึกนำเข้าDrawing[[#This Row],[Drawing No]],1)</f>
        <v>1</v>
      </c>
      <c r="F845" s="68" t="s">
        <v>5277</v>
      </c>
      <c r="G845" s="120" t="s">
        <v>4029</v>
      </c>
      <c r="H845" s="83"/>
      <c r="I845" s="29" t="str">
        <f>CONCATENATE(บันทึกนำเข้าDrawing[[#This Row],[Part No]],"+",บันทึกนำเข้าDrawing[[#This Row],[Drawing No]])</f>
        <v>2B19F210-00+DR-TW-2B19F090-00-01</v>
      </c>
    </row>
    <row r="846" spans="1:9">
      <c r="A846" s="33">
        <v>847</v>
      </c>
      <c r="B846" s="81">
        <v>45021</v>
      </c>
      <c r="C846" s="82" t="s">
        <v>5525</v>
      </c>
      <c r="D846" s="33" t="s">
        <v>5307</v>
      </c>
      <c r="E846" s="69" t="str">
        <f>RIGHT(บันทึกนำเข้าDrawing[[#This Row],[Drawing No]],1)</f>
        <v>1</v>
      </c>
      <c r="F846" s="84" t="s">
        <v>5277</v>
      </c>
      <c r="G846" s="120" t="s">
        <v>4029</v>
      </c>
      <c r="H846" s="83"/>
      <c r="I846" s="29" t="str">
        <f>CONCATENATE(บันทึกนำเข้าDrawing[[#This Row],[Part No]],"+",บันทึกนำเข้าDrawing[[#This Row],[Drawing No]])</f>
        <v>2B19F215-00+DR-TW-2B19F090-00-01</v>
      </c>
    </row>
    <row r="847" spans="1:9">
      <c r="A847" s="33">
        <v>848</v>
      </c>
      <c r="B847" s="81">
        <v>45021</v>
      </c>
      <c r="C847" s="82" t="s">
        <v>5525</v>
      </c>
      <c r="D847" s="33" t="s">
        <v>5308</v>
      </c>
      <c r="E847" s="69" t="str">
        <f>RIGHT(บันทึกนำเข้าDrawing[[#This Row],[Drawing No]],1)</f>
        <v>1</v>
      </c>
      <c r="F847" s="84" t="s">
        <v>5278</v>
      </c>
      <c r="G847" s="120" t="s">
        <v>4029</v>
      </c>
      <c r="H847" s="83"/>
      <c r="I847" s="29" t="str">
        <f>CONCATENATE(บันทึกนำเข้าDrawing[[#This Row],[Part No]],"+",บันทึกนำเข้าDrawing[[#This Row],[Drawing No]])</f>
        <v>2B19F220-00+DR-TW-2B19F090-00-01</v>
      </c>
    </row>
    <row r="848" spans="1:9">
      <c r="A848" s="33">
        <v>849</v>
      </c>
      <c r="B848" s="81">
        <v>45021</v>
      </c>
      <c r="C848" s="82" t="s">
        <v>5525</v>
      </c>
      <c r="D848" s="33" t="s">
        <v>5446</v>
      </c>
      <c r="E848" s="69" t="str">
        <f>RIGHT(บันทึกนำเข้าDrawing[[#This Row],[Drawing No]],1)</f>
        <v>1</v>
      </c>
      <c r="F848" s="84" t="s">
        <v>5279</v>
      </c>
      <c r="G848" s="120" t="s">
        <v>4029</v>
      </c>
      <c r="H848" s="83"/>
      <c r="I848" s="29" t="str">
        <f>CONCATENATE(บันทึกนำเข้าDrawing[[#This Row],[Part No]],"+",บันทึกนำเข้าDrawing[[#This Row],[Drawing No]])</f>
        <v>2B19F225-00+DR-TW-2B19F090-00-01</v>
      </c>
    </row>
    <row r="849" spans="1:9">
      <c r="A849" s="33">
        <v>850</v>
      </c>
      <c r="B849" s="81">
        <v>45021</v>
      </c>
      <c r="C849" s="82" t="s">
        <v>5525</v>
      </c>
      <c r="D849" s="33" t="s">
        <v>5309</v>
      </c>
      <c r="E849" s="69" t="str">
        <f>RIGHT(บันทึกนำเข้าDrawing[[#This Row],[Drawing No]],1)</f>
        <v>1</v>
      </c>
      <c r="F849" s="84" t="s">
        <v>5280</v>
      </c>
      <c r="G849" s="120" t="s">
        <v>4029</v>
      </c>
      <c r="H849" s="83"/>
      <c r="I849" s="29" t="str">
        <f>CONCATENATE(บันทึกนำเข้าDrawing[[#This Row],[Part No]],"+",บันทึกนำเข้าDrawing[[#This Row],[Drawing No]])</f>
        <v>2B19F240-00+DR-TW-2B19F090-00-01</v>
      </c>
    </row>
    <row r="850" spans="1:9">
      <c r="A850" s="33">
        <v>851</v>
      </c>
      <c r="B850" s="81">
        <v>45021</v>
      </c>
      <c r="C850" s="82" t="s">
        <v>5525</v>
      </c>
      <c r="D850" s="33" t="s">
        <v>5310</v>
      </c>
      <c r="E850" s="69" t="str">
        <f>RIGHT(บันทึกนำเข้าDrawing[[#This Row],[Drawing No]],1)</f>
        <v>1</v>
      </c>
      <c r="F850" s="84" t="s">
        <v>5281</v>
      </c>
      <c r="G850" s="120" t="s">
        <v>4029</v>
      </c>
      <c r="H850" s="83"/>
      <c r="I850" s="29" t="str">
        <f>CONCATENATE(บันทึกนำเข้าDrawing[[#This Row],[Part No]],"+",บันทึกนำเข้าDrawing[[#This Row],[Drawing No]])</f>
        <v>2B19F300-00+DR-TW-2B19F090-00-01</v>
      </c>
    </row>
    <row r="851" spans="1:9">
      <c r="A851" s="33">
        <v>852</v>
      </c>
      <c r="B851" s="81">
        <v>45021</v>
      </c>
      <c r="C851" s="82" t="s">
        <v>5526</v>
      </c>
      <c r="D851" s="33" t="s">
        <v>5528</v>
      </c>
      <c r="E851" s="69" t="str">
        <f>RIGHT(บันทึกนำเข้าDrawing[[#This Row],[Drawing No]],1)</f>
        <v>0</v>
      </c>
      <c r="F851" s="84" t="s">
        <v>5527</v>
      </c>
      <c r="G851" s="120" t="s">
        <v>4027</v>
      </c>
      <c r="H851" s="83">
        <v>45068</v>
      </c>
      <c r="I851" s="29" t="str">
        <f>CONCATENATE(บันทึกนำเข้าDrawing[[#This Row],[Part No]],"+",บันทึกนำเข้าDrawing[[#This Row],[Drawing No]])</f>
        <v>2B24-301-00+DR-TW-2B24-301-00-00</v>
      </c>
    </row>
    <row r="852" spans="1:9">
      <c r="A852" s="33">
        <v>853</v>
      </c>
      <c r="B852" s="81">
        <v>45035</v>
      </c>
      <c r="C852" s="82" t="s">
        <v>5529</v>
      </c>
      <c r="D852" s="33" t="s">
        <v>5530</v>
      </c>
      <c r="E852" s="69" t="str">
        <f>RIGHT(บันทึกนำเข้าDrawing[[#This Row],[Drawing No]],1)</f>
        <v>0</v>
      </c>
      <c r="F852" s="84" t="s">
        <v>5531</v>
      </c>
      <c r="G852" s="120" t="s">
        <v>3772</v>
      </c>
      <c r="H852" s="83"/>
      <c r="I852" s="29" t="str">
        <f>CONCATENATE(บันทึกนำเข้าDrawing[[#This Row],[Part No]],"+",บันทึกนำเข้าDrawing[[#This Row],[Drawing No]])</f>
        <v>2B26-086-00+DR-TW-2B26-086-00-00</v>
      </c>
    </row>
    <row r="853" spans="1:9">
      <c r="A853" s="33">
        <v>854</v>
      </c>
      <c r="B853" s="81">
        <v>45035</v>
      </c>
      <c r="C853" s="82" t="s">
        <v>5532</v>
      </c>
      <c r="D853" s="33" t="s">
        <v>5533</v>
      </c>
      <c r="E853" s="69" t="str">
        <f>RIGHT(บันทึกนำเข้าDrawing[[#This Row],[Drawing No]],1)</f>
        <v>0</v>
      </c>
      <c r="F853" s="84" t="s">
        <v>5536</v>
      </c>
      <c r="G853" s="120" t="s">
        <v>3772</v>
      </c>
      <c r="H853" s="83"/>
      <c r="I853" s="29" t="str">
        <f>CONCATENATE(บันทึกนำเข้าDrawing[[#This Row],[Part No]],"+",บันทึกนำเข้าDrawing[[#This Row],[Drawing No]])</f>
        <v>2B26-087-00+DR-TW-2B26-087-00-00</v>
      </c>
    </row>
    <row r="854" spans="1:9">
      <c r="A854" s="33">
        <v>855</v>
      </c>
      <c r="B854" s="81">
        <v>45035</v>
      </c>
      <c r="C854" s="82" t="s">
        <v>5534</v>
      </c>
      <c r="D854" s="33" t="s">
        <v>5535</v>
      </c>
      <c r="E854" s="69" t="str">
        <f>RIGHT(บันทึกนำเข้าDrawing[[#This Row],[Drawing No]],1)</f>
        <v>0</v>
      </c>
      <c r="F854" s="84" t="s">
        <v>5537</v>
      </c>
      <c r="G854" s="120" t="s">
        <v>3772</v>
      </c>
      <c r="H854" s="83"/>
      <c r="I854" s="29" t="str">
        <f>CONCATENATE(บันทึกนำเข้าDrawing[[#This Row],[Part No]],"+",บันทึกนำเข้าDrawing[[#This Row],[Drawing No]])</f>
        <v>2B26-297-00+DR-TW-2B26-297-00-00</v>
      </c>
    </row>
    <row r="855" spans="1:9">
      <c r="A855" s="33">
        <v>856</v>
      </c>
      <c r="B855" s="81">
        <v>45035</v>
      </c>
      <c r="C855" s="82" t="s">
        <v>5538</v>
      </c>
      <c r="D855" s="33" t="s">
        <v>5485</v>
      </c>
      <c r="E855" s="69" t="str">
        <f>RIGHT(บันทึกนำเข้าDrawing[[#This Row],[Drawing No]],1)</f>
        <v>1</v>
      </c>
      <c r="F855" s="84" t="s">
        <v>5539</v>
      </c>
      <c r="G855" s="120" t="s">
        <v>4029</v>
      </c>
      <c r="H855" s="83"/>
      <c r="I855" s="29" t="str">
        <f>CONCATENATE(บันทึกนำเข้าDrawing[[#This Row],[Part No]],"+",บันทึกนำเข้าDrawing[[#This Row],[Drawing No]])</f>
        <v>2B26-581-00+DR-TW-2B26-581-00-01</v>
      </c>
    </row>
    <row r="856" spans="1:9">
      <c r="A856" s="33">
        <v>857</v>
      </c>
      <c r="B856" s="71">
        <v>45048</v>
      </c>
      <c r="C856" s="72" t="s">
        <v>5552</v>
      </c>
      <c r="D856" s="33" t="s">
        <v>5553</v>
      </c>
      <c r="E856" s="69" t="str">
        <f>RIGHT(บันทึกนำเข้าDrawing[[#This Row],[Drawing No]],1)</f>
        <v>0</v>
      </c>
      <c r="F856" s="68" t="s">
        <v>5145</v>
      </c>
      <c r="G856" s="120" t="s">
        <v>4027</v>
      </c>
      <c r="H856" s="83">
        <v>45209</v>
      </c>
      <c r="I856" s="29" t="str">
        <f>CONCATENATE(บันทึกนำเข้าDrawing[[#This Row],[Part No]],"+",บันทึกนำเข้าDrawing[[#This Row],[Drawing No]])</f>
        <v>2B26-041-01+DR-TW-2B26-041-01-00</v>
      </c>
    </row>
    <row r="857" spans="1:9">
      <c r="A857" s="33">
        <v>858</v>
      </c>
      <c r="B857" s="81">
        <v>45048</v>
      </c>
      <c r="C857" s="82" t="s">
        <v>5554</v>
      </c>
      <c r="D857" s="33" t="s">
        <v>5555</v>
      </c>
      <c r="E857" s="69" t="str">
        <f>RIGHT(บันทึกนำเข้าDrawing[[#This Row],[Drawing No]],1)</f>
        <v>0</v>
      </c>
      <c r="F857" s="84" t="s">
        <v>5142</v>
      </c>
      <c r="G857" s="120" t="s">
        <v>4027</v>
      </c>
      <c r="H857" s="83">
        <v>45209</v>
      </c>
      <c r="I857" s="29" t="str">
        <f>CONCATENATE(บันทึกนำเข้าDrawing[[#This Row],[Part No]],"+",บันทึกนำเข้าDrawing[[#This Row],[Drawing No]])</f>
        <v>2B26-042-01+DR-TW-2B26-042-01-00</v>
      </c>
    </row>
    <row r="858" spans="1:9">
      <c r="A858" s="33">
        <v>859</v>
      </c>
      <c r="B858" s="81">
        <v>45048</v>
      </c>
      <c r="C858" s="82" t="s">
        <v>5556</v>
      </c>
      <c r="D858" s="33" t="s">
        <v>5485</v>
      </c>
      <c r="E858" s="69" t="str">
        <f>RIGHT(บันทึกนำเข้าDrawing[[#This Row],[Drawing No]],1)</f>
        <v>2</v>
      </c>
      <c r="F858" s="84" t="s">
        <v>5539</v>
      </c>
      <c r="G858" s="120" t="s">
        <v>4029</v>
      </c>
      <c r="H858" s="83">
        <v>45139</v>
      </c>
      <c r="I858" s="29" t="str">
        <f>CONCATENATE(บันทึกนำเข้าDrawing[[#This Row],[Part No]],"+",บันทึกนำเข้าDrawing[[#This Row],[Drawing No]])</f>
        <v>2B26-581-00+DR-TW-2B26-581-00-02</v>
      </c>
    </row>
    <row r="859" spans="1:9">
      <c r="A859" s="33">
        <v>860</v>
      </c>
      <c r="B859" s="81">
        <v>45048</v>
      </c>
      <c r="C859" s="82" t="s">
        <v>5557</v>
      </c>
      <c r="D859" s="33" t="s">
        <v>5558</v>
      </c>
      <c r="E859" s="69" t="str">
        <f>RIGHT(บันทึกนำเข้าDrawing[[#This Row],[Drawing No]],1)</f>
        <v>0</v>
      </c>
      <c r="F859" s="84" t="s">
        <v>5539</v>
      </c>
      <c r="G859" s="120" t="s">
        <v>3772</v>
      </c>
      <c r="H859" s="83"/>
      <c r="I859" s="29" t="str">
        <f>CONCATENATE(บันทึกนำเข้าDrawing[[#This Row],[Part No]],"+",บันทึกนำเข้าDrawing[[#This Row],[Drawing No]])</f>
        <v>2B26-582-00+DR-TW-2B26-582-00-00</v>
      </c>
    </row>
    <row r="860" spans="1:9">
      <c r="A860" s="33">
        <v>861</v>
      </c>
      <c r="B860" s="81">
        <v>45048</v>
      </c>
      <c r="C860" s="82" t="s">
        <v>5559</v>
      </c>
      <c r="D860" s="33" t="s">
        <v>5560</v>
      </c>
      <c r="E860" s="69" t="str">
        <f>RIGHT(บันทึกนำเข้าDrawing[[#This Row],[Drawing No]],1)</f>
        <v>0</v>
      </c>
      <c r="F860" s="84" t="s">
        <v>4405</v>
      </c>
      <c r="G860" s="120" t="s">
        <v>4029</v>
      </c>
      <c r="H860" s="83">
        <v>45117</v>
      </c>
      <c r="I860" s="29" t="str">
        <f>CONCATENATE(บันทึกนำเข้าDrawing[[#This Row],[Part No]],"+",บันทึกนำเข้าDrawing[[#This Row],[Drawing No]])</f>
        <v>2B29-402-02+DR-TW-2B29-402-02-00</v>
      </c>
    </row>
    <row r="861" spans="1:9">
      <c r="A861" s="33">
        <v>862</v>
      </c>
      <c r="B861" s="81">
        <v>45051</v>
      </c>
      <c r="C861" s="82" t="s">
        <v>5565</v>
      </c>
      <c r="D861" s="33" t="s">
        <v>5566</v>
      </c>
      <c r="E861" s="69" t="str">
        <f>RIGHT(บันทึกนำเข้าDrawing[[#This Row],[Drawing No]],1)</f>
        <v>0</v>
      </c>
      <c r="F861" s="84" t="s">
        <v>5567</v>
      </c>
      <c r="G861" s="120" t="s">
        <v>4029</v>
      </c>
      <c r="H861" s="83">
        <v>45063</v>
      </c>
      <c r="I861" s="29" t="str">
        <f>CONCATENATE(บันทึกนำเข้าDrawing[[#This Row],[Part No]],"+",บันทึกนำเข้าDrawing[[#This Row],[Drawing No]])</f>
        <v>2B26-193-00+DR-TW-2B26-193-00-00</v>
      </c>
    </row>
    <row r="862" spans="1:9">
      <c r="A862" s="33">
        <v>863</v>
      </c>
      <c r="B862" s="81">
        <v>45051</v>
      </c>
      <c r="C862" s="82" t="s">
        <v>5568</v>
      </c>
      <c r="D862" s="33" t="s">
        <v>5312</v>
      </c>
      <c r="E862" s="69" t="str">
        <f>RIGHT(บันทึกนำเข้าDrawing[[#This Row],[Drawing No]],1)</f>
        <v>1</v>
      </c>
      <c r="F862" s="84" t="s">
        <v>5313</v>
      </c>
      <c r="G862" s="120" t="s">
        <v>4029</v>
      </c>
      <c r="H862" s="83">
        <v>45139</v>
      </c>
      <c r="I862" s="29" t="str">
        <f>CONCATENATE(บันทึกนำเข้าDrawing[[#This Row],[Part No]],"+",บันทึกนำเข้าDrawing[[#This Row],[Drawing No]])</f>
        <v>2B26-085-00+DR-TW-2B26-085-00-01</v>
      </c>
    </row>
    <row r="863" spans="1:9">
      <c r="A863" s="33">
        <v>864</v>
      </c>
      <c r="B863" s="81">
        <v>45056</v>
      </c>
      <c r="C863" s="82" t="s">
        <v>5571</v>
      </c>
      <c r="D863" s="33" t="s">
        <v>5572</v>
      </c>
      <c r="E863" s="69" t="str">
        <f>RIGHT(บันทึกนำเข้าDrawing[[#This Row],[Drawing No]],1)</f>
        <v>0</v>
      </c>
      <c r="F863" s="84" t="s">
        <v>5573</v>
      </c>
      <c r="G863" s="120" t="s">
        <v>3772</v>
      </c>
      <c r="H863" s="83"/>
      <c r="I863" s="29" t="str">
        <f>CONCATENATE(บันทึกนำเข้าDrawing[[#This Row],[Part No]],"+",บันทึกนำเข้าDrawing[[#This Row],[Drawing No]])</f>
        <v>2B26-420-00+DR-TW-2B26-420-00-00</v>
      </c>
    </row>
    <row r="864" spans="1:9">
      <c r="A864" s="33">
        <v>865</v>
      </c>
      <c r="B864" s="81">
        <v>45056</v>
      </c>
      <c r="C864" s="82" t="s">
        <v>5574</v>
      </c>
      <c r="D864" s="33" t="s">
        <v>5575</v>
      </c>
      <c r="E864" s="69" t="str">
        <f>RIGHT(บันทึกนำเข้าDrawing[[#This Row],[Drawing No]],1)</f>
        <v>0</v>
      </c>
      <c r="F864" s="84" t="s">
        <v>4392</v>
      </c>
      <c r="G864" s="120" t="s">
        <v>4029</v>
      </c>
      <c r="H864" s="83">
        <v>45117</v>
      </c>
      <c r="I864" s="29" t="str">
        <f>CONCATENATE(บันทึกนำเข้าDrawing[[#This Row],[Part No]],"+",บันทึกนำเข้าDrawing[[#This Row],[Drawing No]])</f>
        <v>2B29-401-02+DR-TW-2B29-401-02-00</v>
      </c>
    </row>
    <row r="865" spans="1:9">
      <c r="A865" s="33">
        <v>866</v>
      </c>
      <c r="B865" s="81">
        <v>45056</v>
      </c>
      <c r="C865" s="82" t="s">
        <v>5576</v>
      </c>
      <c r="D865" s="33" t="s">
        <v>5577</v>
      </c>
      <c r="E865" s="69" t="str">
        <f>RIGHT(บันทึกนำเข้าDrawing[[#This Row],[Drawing No]],1)</f>
        <v>0</v>
      </c>
      <c r="F865" s="84" t="s">
        <v>5578</v>
      </c>
      <c r="G865" s="120" t="s">
        <v>4029</v>
      </c>
      <c r="H865" s="83"/>
      <c r="I865" s="29" t="str">
        <f>CONCATENATE(บันทึกนำเข้าDrawing[[#This Row],[Part No]],"+",บันทึกนำเข้าDrawing[[#This Row],[Drawing No]])</f>
        <v>2B29-417-00+DR-TW-2B29-417-00-00</v>
      </c>
    </row>
    <row r="866" spans="1:9">
      <c r="A866" s="33">
        <v>867</v>
      </c>
      <c r="B866" s="81">
        <v>45076</v>
      </c>
      <c r="C866" s="82" t="s">
        <v>5586</v>
      </c>
      <c r="D866" s="33" t="s">
        <v>5587</v>
      </c>
      <c r="E866" s="69" t="str">
        <f>RIGHT(บันทึกนำเข้าDrawing[[#This Row],[Drawing No]],1)</f>
        <v>0</v>
      </c>
      <c r="F866" s="84" t="s">
        <v>5588</v>
      </c>
      <c r="G866" s="120" t="s">
        <v>3772</v>
      </c>
      <c r="H866" s="83"/>
      <c r="I866" s="29" t="str">
        <f>CONCATENATE(บันทึกนำเข้าDrawing[[#This Row],[Part No]],"+",บันทึกนำเข้าDrawing[[#This Row],[Drawing No]])</f>
        <v>2B26-550-00+DR-TW-2B26-550-00-00</v>
      </c>
    </row>
    <row r="867" spans="1:9">
      <c r="A867" s="33">
        <v>814</v>
      </c>
      <c r="B867" s="81">
        <v>45015</v>
      </c>
      <c r="C867" s="82" t="s">
        <v>5506</v>
      </c>
      <c r="D867" s="33" t="s">
        <v>5507</v>
      </c>
      <c r="E867" s="69" t="str">
        <f>RIGHT(บันทึกนำเข้าDrawing[[#This Row],[Drawing No]],1)</f>
        <v>0</v>
      </c>
      <c r="F867" s="84" t="s">
        <v>5508</v>
      </c>
      <c r="G867" s="120" t="s">
        <v>3772</v>
      </c>
      <c r="H867" s="83"/>
      <c r="I867" s="29" t="str">
        <f>CONCATENATE(บันทึกนำเข้าDrawing[[#This Row],[Part No]],"+",บันทึกนำเข้าDrawing[[#This Row],[Drawing No]])</f>
        <v>2B94-072-00+DR-TW-2B94-072-00-00</v>
      </c>
    </row>
    <row r="868" spans="1:9">
      <c r="A868" s="33">
        <v>869</v>
      </c>
      <c r="B868" s="81">
        <v>45090</v>
      </c>
      <c r="C868" s="82" t="s">
        <v>5594</v>
      </c>
      <c r="D868" s="33" t="s">
        <v>5595</v>
      </c>
      <c r="E868" s="69" t="str">
        <f>RIGHT(บันทึกนำเข้าDrawing[[#This Row],[Drawing No]],1)</f>
        <v>0</v>
      </c>
      <c r="F868" s="68" t="s">
        <v>5596</v>
      </c>
      <c r="G868" s="120" t="s">
        <v>4029</v>
      </c>
      <c r="H868" s="83">
        <v>45098</v>
      </c>
      <c r="I868" s="29" t="str">
        <f>CONCATENATE(บันทึกนำเข้าDrawing[[#This Row],[Part No]],"+",บันทึกนำเข้าDrawing[[#This Row],[Drawing No]])</f>
        <v>2B26-421-00+DR-TW-2B26-421-00-00</v>
      </c>
    </row>
    <row r="869" spans="1:9">
      <c r="A869" s="33">
        <v>870</v>
      </c>
      <c r="B869" s="81">
        <v>45090</v>
      </c>
      <c r="C869" s="72" t="s">
        <v>5605</v>
      </c>
      <c r="D869" s="33" t="s">
        <v>5606</v>
      </c>
      <c r="E869" s="69" t="str">
        <f>RIGHT(บันทึกนำเข้าDrawing[[#This Row],[Drawing No]],1)</f>
        <v>1</v>
      </c>
      <c r="F869" s="68" t="s">
        <v>5607</v>
      </c>
      <c r="G869" s="120" t="s">
        <v>4029</v>
      </c>
      <c r="H869" s="83">
        <v>45098</v>
      </c>
      <c r="I869" s="29" t="str">
        <f>CONCATENATE(บันทึกนำเข้าDrawing[[#This Row],[Part No]],"+",บันทึกนำเข้าDrawing[[#This Row],[Drawing No]])</f>
        <v>2B27-154-00+DR-TW-2B27-154-00-01</v>
      </c>
    </row>
    <row r="870" spans="1:9">
      <c r="A870" s="33">
        <v>871</v>
      </c>
      <c r="B870" s="81">
        <v>45090</v>
      </c>
      <c r="C870" s="72" t="s">
        <v>5610</v>
      </c>
      <c r="D870" s="33" t="s">
        <v>5611</v>
      </c>
      <c r="E870" s="69" t="str">
        <f>RIGHT(บันทึกนำเข้าDrawing[[#This Row],[Drawing No]],1)</f>
        <v>0</v>
      </c>
      <c r="F870" s="68" t="s">
        <v>5612</v>
      </c>
      <c r="G870" s="120" t="s">
        <v>4029</v>
      </c>
      <c r="H870" s="83">
        <v>45105</v>
      </c>
      <c r="I870" s="29" t="str">
        <f>CONCATENATE(บันทึกนำเข้าDrawing[[#This Row],[Part No]],"+",บันทึกนำเข้าDrawing[[#This Row],[Drawing No]])</f>
        <v>2B04-425-00+DR-TW-2B04-425-00-00</v>
      </c>
    </row>
    <row r="871" spans="1:9">
      <c r="A871" s="33">
        <v>872</v>
      </c>
      <c r="B871" s="81">
        <v>45090</v>
      </c>
      <c r="C871" s="72" t="s">
        <v>5624</v>
      </c>
      <c r="D871" s="33" t="s">
        <v>560</v>
      </c>
      <c r="E871" s="69" t="str">
        <f>RIGHT(บันทึกนำเข้าDrawing[[#This Row],[Drawing No]],1)</f>
        <v>1</v>
      </c>
      <c r="F871" s="68" t="s">
        <v>5613</v>
      </c>
      <c r="G871" s="120" t="s">
        <v>3779</v>
      </c>
      <c r="H871" s="83"/>
      <c r="I871" s="29" t="str">
        <f>CONCATENATE(บันทึกนำเข้าDrawing[[#This Row],[Part No]],"+",บันทึกนำเข้าDrawing[[#This Row],[Drawing No]])</f>
        <v>2B24-080A00+DR-TW-2B24-080A00-01</v>
      </c>
    </row>
    <row r="872" spans="1:9">
      <c r="A872" s="33">
        <v>873</v>
      </c>
      <c r="B872" s="81">
        <v>45090</v>
      </c>
      <c r="C872" s="82" t="s">
        <v>5624</v>
      </c>
      <c r="D872" s="33" t="s">
        <v>5623</v>
      </c>
      <c r="E872" s="69" t="str">
        <f>RIGHT(บันทึกนำเข้าDrawing[[#This Row],[Drawing No]],1)</f>
        <v>1</v>
      </c>
      <c r="F872" s="84" t="s">
        <v>5614</v>
      </c>
      <c r="G872" s="120" t="s">
        <v>4027</v>
      </c>
      <c r="H872" s="83">
        <v>45104</v>
      </c>
      <c r="I872" s="29" t="str">
        <f>CONCATENATE(บันทึกนำเข้าDrawing[[#This Row],[Part No]],"+",บันทึกนำเข้าDrawing[[#This Row],[Drawing No]])</f>
        <v>2B24-100A00+DR-TW-2B24-080A00-01</v>
      </c>
    </row>
    <row r="873" spans="1:9">
      <c r="A873" s="33">
        <v>874</v>
      </c>
      <c r="B873" s="85">
        <v>45090</v>
      </c>
      <c r="C873" s="72" t="s">
        <v>5615</v>
      </c>
      <c r="D873" s="33" t="s">
        <v>5084</v>
      </c>
      <c r="E873" s="69" t="str">
        <f>RIGHT(บันทึกนำเข้าDrawing[[#This Row],[Drawing No]],1)</f>
        <v>1</v>
      </c>
      <c r="F873" s="68" t="s">
        <v>5085</v>
      </c>
      <c r="G873" s="120" t="s">
        <v>3779</v>
      </c>
      <c r="H873" s="83"/>
      <c r="I873" s="29" t="str">
        <f>CONCATENATE(บันทึกนำเข้าDrawing[[#This Row],[Part No]],"+",บันทึกนำเข้าDrawing[[#This Row],[Drawing No]])</f>
        <v>2B48-430-00+DR-TW-2B48-430-00-01</v>
      </c>
    </row>
    <row r="874" spans="1:9">
      <c r="A874" s="33">
        <v>875</v>
      </c>
      <c r="B874" s="81">
        <v>45090</v>
      </c>
      <c r="C874" s="82" t="s">
        <v>5616</v>
      </c>
      <c r="D874" s="33" t="s">
        <v>5087</v>
      </c>
      <c r="E874" s="69" t="str">
        <f>RIGHT(บันทึกนำเข้าDrawing[[#This Row],[Drawing No]],1)</f>
        <v>1</v>
      </c>
      <c r="F874" s="84" t="s">
        <v>5088</v>
      </c>
      <c r="G874" s="120" t="s">
        <v>3779</v>
      </c>
      <c r="H874" s="83"/>
      <c r="I874" s="29" t="str">
        <f>CONCATENATE(บันทึกนำเข้าDrawing[[#This Row],[Part No]],"+",บันทึกนำเข้าDrawing[[#This Row],[Drawing No]])</f>
        <v>2B48-431-00+DR-TW-2B48-431-00-01</v>
      </c>
    </row>
    <row r="875" spans="1:9">
      <c r="A875" s="33">
        <v>876</v>
      </c>
      <c r="B875" s="81">
        <v>45090</v>
      </c>
      <c r="C875" s="72" t="s">
        <v>5617</v>
      </c>
      <c r="D875" s="33" t="s">
        <v>5096</v>
      </c>
      <c r="E875" s="69" t="str">
        <f>RIGHT(บันทึกนำเข้าDrawing[[#This Row],[Drawing No]],1)</f>
        <v>1</v>
      </c>
      <c r="F875" s="73" t="s">
        <v>5072</v>
      </c>
      <c r="G875" s="120" t="s">
        <v>3779</v>
      </c>
      <c r="H875" s="83"/>
      <c r="I875" s="29" t="str">
        <f>CONCATENATE(บันทึกนำเข้าDrawing[[#This Row],[Part No]],"+",บันทึกนำเข้าDrawing[[#This Row],[Drawing No]])</f>
        <v>2B48-432-00+DR-TW-2B48-432-00-01</v>
      </c>
    </row>
    <row r="876" spans="1:9">
      <c r="A876" s="33">
        <v>877</v>
      </c>
      <c r="B876" s="81">
        <v>45090</v>
      </c>
      <c r="C876" s="72" t="s">
        <v>5618</v>
      </c>
      <c r="D876" s="33" t="s">
        <v>5095</v>
      </c>
      <c r="E876" s="69" t="str">
        <f>RIGHT(บันทึกนำเข้าDrawing[[#This Row],[Drawing No]],1)</f>
        <v>1</v>
      </c>
      <c r="F876" s="73" t="s">
        <v>5069</v>
      </c>
      <c r="G876" s="120" t="s">
        <v>3779</v>
      </c>
      <c r="H876" s="83"/>
      <c r="I876" s="29" t="str">
        <f>CONCATENATE(บันทึกนำเข้าDrawing[[#This Row],[Part No]],"+",บันทึกนำเข้าDrawing[[#This Row],[Drawing No]])</f>
        <v>2B48-433-00+DR-TW-2B48-433-00-01</v>
      </c>
    </row>
    <row r="877" spans="1:9">
      <c r="A877" s="33">
        <v>878</v>
      </c>
      <c r="B877" s="81">
        <v>45090</v>
      </c>
      <c r="C877" s="72" t="s">
        <v>5620</v>
      </c>
      <c r="D877" s="33" t="s">
        <v>5621</v>
      </c>
      <c r="E877" s="69" t="str">
        <f>RIGHT(บันทึกนำเข้าDrawing[[#This Row],[Drawing No]],1)</f>
        <v>0</v>
      </c>
      <c r="F877" s="73" t="s">
        <v>5622</v>
      </c>
      <c r="G877" s="120" t="s">
        <v>3772</v>
      </c>
      <c r="H877" s="83"/>
      <c r="I877" s="29" t="str">
        <f>CONCATENATE(บันทึกนำเข้าDrawing[[#This Row],[Part No]],"+",บันทึกนำเข้าDrawing[[#This Row],[Drawing No]])</f>
        <v>2B69A023-00+DR-TW-2B69A023-00-00</v>
      </c>
    </row>
    <row r="878" spans="1:9">
      <c r="A878" s="33">
        <v>879</v>
      </c>
      <c r="B878" s="81">
        <v>45093</v>
      </c>
      <c r="C878" s="72" t="s">
        <v>5601</v>
      </c>
      <c r="D878" s="33" t="s">
        <v>5602</v>
      </c>
      <c r="E878" s="69" t="str">
        <f>RIGHT(บันทึกนำเข้าDrawing[[#This Row],[Drawing No]],1)</f>
        <v>0</v>
      </c>
      <c r="F878" s="73" t="s">
        <v>5603</v>
      </c>
      <c r="G878" s="120" t="s">
        <v>4029</v>
      </c>
      <c r="H878" s="83"/>
      <c r="I878" s="29" t="str">
        <f>CONCATENATE(บันทึกนำเข้าDrawing[[#This Row],[Part No]],"+",บันทึกนำเข้าDrawing[[#This Row],[Drawing No]])</f>
        <v>2B26-452-00+DR-TW-2B26-452-00-00</v>
      </c>
    </row>
    <row r="879" spans="1:9">
      <c r="A879" s="33">
        <v>880</v>
      </c>
      <c r="B879" s="81">
        <v>45110</v>
      </c>
      <c r="C879" s="72" t="s">
        <v>5630</v>
      </c>
      <c r="D879" s="33" t="s">
        <v>5039</v>
      </c>
      <c r="E879" s="69" t="str">
        <f>RIGHT(บันทึกนำเข้าDrawing[[#This Row],[Drawing No]],1)</f>
        <v>5</v>
      </c>
      <c r="F879" s="73" t="s">
        <v>5631</v>
      </c>
      <c r="G879" s="120" t="s">
        <v>3779</v>
      </c>
      <c r="H879" s="83"/>
      <c r="I879" s="29" t="str">
        <f>CONCATENATE(บันทึกนำเข้าDrawing[[#This Row],[Part No]],"+",บันทึกนำเข้าDrawing[[#This Row],[Drawing No]])</f>
        <v>2B55-170-00+DR-TW-2B55-205-00-05</v>
      </c>
    </row>
    <row r="880" spans="1:9">
      <c r="A880" s="33">
        <v>881</v>
      </c>
      <c r="B880" s="81">
        <v>45110</v>
      </c>
      <c r="C880" s="82" t="s">
        <v>5630</v>
      </c>
      <c r="D880" s="33" t="s">
        <v>5625</v>
      </c>
      <c r="E880" s="69" t="str">
        <f>RIGHT(บันทึกนำเข้าDrawing[[#This Row],[Drawing No]],1)</f>
        <v>5</v>
      </c>
      <c r="F880" s="84" t="s">
        <v>5632</v>
      </c>
      <c r="G880" s="120" t="s">
        <v>3779</v>
      </c>
      <c r="H880" s="83"/>
      <c r="I880" s="29" t="str">
        <f>CONCATENATE(บันทึกนำเข้าDrawing[[#This Row],[Part No]],"+",บันทึกนำเข้าDrawing[[#This Row],[Drawing No]])</f>
        <v>2B55-185-00+DR-TW-2B55-205-00-05</v>
      </c>
    </row>
    <row r="881" spans="1:9">
      <c r="A881" s="33">
        <v>882</v>
      </c>
      <c r="B881" s="81">
        <v>45110</v>
      </c>
      <c r="C881" s="82" t="s">
        <v>5630</v>
      </c>
      <c r="D881" s="33" t="s">
        <v>4956</v>
      </c>
      <c r="E881" s="69" t="str">
        <f>RIGHT(บันทึกนำเข้าDrawing[[#This Row],[Drawing No]],1)</f>
        <v>5</v>
      </c>
      <c r="F881" s="84" t="s">
        <v>5633</v>
      </c>
      <c r="G881" s="120" t="s">
        <v>3779</v>
      </c>
      <c r="H881" s="83"/>
      <c r="I881" s="29" t="str">
        <f>CONCATENATE(บันทึกนำเข้าDrawing[[#This Row],[Part No]],"+",บันทึกนำเข้าDrawing[[#This Row],[Drawing No]])</f>
        <v>2B55-195-00+DR-TW-2B55-205-00-05</v>
      </c>
    </row>
    <row r="882" spans="1:9">
      <c r="A882" s="33">
        <v>883</v>
      </c>
      <c r="B882" s="81">
        <v>45110</v>
      </c>
      <c r="C882" s="82" t="s">
        <v>5630</v>
      </c>
      <c r="D882" s="33" t="s">
        <v>4468</v>
      </c>
      <c r="E882" s="69" t="str">
        <f>RIGHT(บันทึกนำเข้าDrawing[[#This Row],[Drawing No]],1)</f>
        <v>5</v>
      </c>
      <c r="F882" s="84" t="s">
        <v>5634</v>
      </c>
      <c r="G882" s="120" t="s">
        <v>3779</v>
      </c>
      <c r="H882" s="83"/>
      <c r="I882" s="29" t="str">
        <f>CONCATENATE(บันทึกนำเข้าDrawing[[#This Row],[Part No]],"+",บันทึกนำเข้าDrawing[[#This Row],[Drawing No]])</f>
        <v>2B55-200-00+DR-TW-2B55-205-00-05</v>
      </c>
    </row>
    <row r="883" spans="1:9">
      <c r="A883" s="33">
        <v>884</v>
      </c>
      <c r="B883" s="85">
        <v>45110</v>
      </c>
      <c r="C883" s="72" t="s">
        <v>5630</v>
      </c>
      <c r="D883" s="33" t="s">
        <v>2169</v>
      </c>
      <c r="E883" s="69" t="str">
        <f>RIGHT(บันทึกนำเข้าDrawing[[#This Row],[Drawing No]],1)</f>
        <v>5</v>
      </c>
      <c r="F883" s="68" t="s">
        <v>5635</v>
      </c>
      <c r="G883" s="120" t="s">
        <v>3779</v>
      </c>
      <c r="H883" s="83"/>
      <c r="I883" s="29" t="str">
        <f>CONCATENATE(บันทึกนำเข้าDrawing[[#This Row],[Part No]],"+",บันทึกนำเข้าDrawing[[#This Row],[Drawing No]])</f>
        <v>2B55-205-00+DR-TW-2B55-205-00-05</v>
      </c>
    </row>
    <row r="884" spans="1:9">
      <c r="A884" s="33">
        <v>885</v>
      </c>
      <c r="B884" s="81">
        <v>45126</v>
      </c>
      <c r="C884" s="82" t="s">
        <v>5641</v>
      </c>
      <c r="D884" s="33" t="s">
        <v>5642</v>
      </c>
      <c r="E884" s="69" t="str">
        <f>RIGHT(บันทึกนำเข้าDrawing[[#This Row],[Drawing No]],1)</f>
        <v>0</v>
      </c>
      <c r="F884" s="84" t="s">
        <v>5612</v>
      </c>
      <c r="G884" s="120" t="s">
        <v>4029</v>
      </c>
      <c r="H884" s="83"/>
      <c r="I884" s="29" t="str">
        <f>CONCATENATE(บันทึกนำเข้าDrawing[[#This Row],[Part No]],"+",บันทึกนำเข้าDrawing[[#This Row],[Drawing No]])</f>
        <v>2B04-425-01+DR-TW-2B04-425-01-00</v>
      </c>
    </row>
    <row r="885" spans="1:9">
      <c r="A885" s="33">
        <v>886</v>
      </c>
      <c r="B885" s="85">
        <v>45126</v>
      </c>
      <c r="C885" s="72" t="s">
        <v>5643</v>
      </c>
      <c r="D885" s="33" t="s">
        <v>5644</v>
      </c>
      <c r="E885" s="69" t="str">
        <f>RIGHT(บันทึกนำเข้าDrawing[[#This Row],[Drawing No]],1)</f>
        <v>0</v>
      </c>
      <c r="F885" s="68" t="s">
        <v>5524</v>
      </c>
      <c r="G885" s="118" t="s">
        <v>4029</v>
      </c>
      <c r="H885" s="80"/>
      <c r="I885" s="29" t="str">
        <f>CONCATENATE(บันทึกนำเข้าDrawing[[#This Row],[Part No]],"+",บันทึกนำเข้าDrawing[[#This Row],[Drawing No]])</f>
        <v>2B04-450-01+DR-TW-2B04-450-01-00</v>
      </c>
    </row>
    <row r="886" spans="1:9">
      <c r="A886" s="33">
        <v>887</v>
      </c>
      <c r="B886" s="85">
        <v>45141</v>
      </c>
      <c r="C886" s="72" t="s">
        <v>5646</v>
      </c>
      <c r="D886" s="33" t="s">
        <v>5647</v>
      </c>
      <c r="E886" s="69" t="str">
        <f>RIGHT(บันทึกนำเข้าDrawing[[#This Row],[Drawing No]],1)</f>
        <v>0</v>
      </c>
      <c r="F886" s="68" t="s">
        <v>5648</v>
      </c>
      <c r="G886" s="118" t="s">
        <v>4521</v>
      </c>
      <c r="H886" s="80"/>
      <c r="I886" s="29" t="str">
        <f>CONCATENATE(บันทึกนำเข้าDrawing[[#This Row],[Part No]],"+",บันทึกนำเข้าDrawing[[#This Row],[Drawing No]])</f>
        <v>2B69M454-00+DR-TW-2B69M454-00-00</v>
      </c>
    </row>
    <row r="887" spans="1:9">
      <c r="A887" s="33">
        <v>888</v>
      </c>
      <c r="B887" s="85">
        <v>45145</v>
      </c>
      <c r="C887" s="72" t="s">
        <v>5656</v>
      </c>
      <c r="D887" s="33" t="s">
        <v>5655</v>
      </c>
      <c r="E887" s="69" t="str">
        <f>RIGHT(บันทึกนำเข้าDrawing[[#This Row],[Drawing No]],1)</f>
        <v>0</v>
      </c>
      <c r="F887" s="68" t="s">
        <v>5654</v>
      </c>
      <c r="G887" s="118" t="s">
        <v>4521</v>
      </c>
      <c r="H887" s="80"/>
      <c r="I887" s="29" t="str">
        <f>CONCATENATE(บันทึกนำเข้าDrawing[[#This Row],[Part No]],"+",บันทึกนำเข้าDrawing[[#This Row],[Drawing No]])</f>
        <v>2B69M434-01+DR-TW-2B69M434-01-00</v>
      </c>
    </row>
    <row r="888" spans="1:9">
      <c r="A888" s="33">
        <v>889</v>
      </c>
      <c r="B888" s="81">
        <v>45145</v>
      </c>
      <c r="C888" s="82" t="s">
        <v>5652</v>
      </c>
      <c r="D888" s="33" t="s">
        <v>5653</v>
      </c>
      <c r="E888" s="69" t="str">
        <f>RIGHT(บันทึกนำเข้าDrawing[[#This Row],[Drawing No]],1)</f>
        <v>0</v>
      </c>
      <c r="F888" s="84" t="s">
        <v>5657</v>
      </c>
      <c r="G888" s="118" t="s">
        <v>4521</v>
      </c>
      <c r="H888" s="80"/>
      <c r="I888" s="29" t="str">
        <f>CONCATENATE(บันทึกนำเข้าDrawing[[#This Row],[Part No]],"+",บันทึกนำเข้าDrawing[[#This Row],[Drawing No]])</f>
        <v>2B69M431-01+DR-TW-2B69M431-01-00</v>
      </c>
    </row>
    <row r="889" spans="1:9">
      <c r="A889" s="33">
        <v>890</v>
      </c>
      <c r="B889" s="85">
        <v>45145</v>
      </c>
      <c r="C889" s="72" t="s">
        <v>5658</v>
      </c>
      <c r="D889" s="33" t="s">
        <v>5659</v>
      </c>
      <c r="E889" s="69" t="str">
        <f>RIGHT(บันทึกนำเข้าDrawing[[#This Row],[Drawing No]],1)</f>
        <v>0</v>
      </c>
      <c r="F889" s="68" t="s">
        <v>5660</v>
      </c>
      <c r="G889" s="118" t="s">
        <v>4521</v>
      </c>
      <c r="H889" s="80"/>
      <c r="I889" s="29" t="str">
        <f>CONCATENATE(บันทึกนำเข้าDrawing[[#This Row],[Part No]],"+",บันทึกนำเข้าDrawing[[#This Row],[Drawing No]])</f>
        <v>2B69M446-00+DR-TW-2B69M446-00-00</v>
      </c>
    </row>
    <row r="890" spans="1:9">
      <c r="A890" s="33">
        <v>891</v>
      </c>
      <c r="B890" s="85">
        <v>45156</v>
      </c>
      <c r="C890" s="72" t="s">
        <v>5666</v>
      </c>
      <c r="D890" s="33" t="s">
        <v>5667</v>
      </c>
      <c r="E890" s="69" t="str">
        <f>RIGHT(บันทึกนำเข้าDrawing[[#This Row],[Drawing No]],1)</f>
        <v>0</v>
      </c>
      <c r="F890" s="84" t="s">
        <v>5668</v>
      </c>
      <c r="G890" s="118" t="s">
        <v>4521</v>
      </c>
      <c r="H890" s="80"/>
      <c r="I890" s="29" t="str">
        <f>CONCATENATE(บันทึกนำเข้าDrawing[[#This Row],[Part No]],"+",บันทึกนำเข้าDrawing[[#This Row],[Drawing No]])</f>
        <v>2B69M455-00+DR-TW-2B69M455-00-00</v>
      </c>
    </row>
    <row r="891" spans="1:9">
      <c r="A891" s="33">
        <v>892</v>
      </c>
      <c r="B891" s="85">
        <v>45160</v>
      </c>
      <c r="C891" s="72" t="s">
        <v>5671</v>
      </c>
      <c r="D891" s="33" t="s">
        <v>5672</v>
      </c>
      <c r="E891" s="69" t="str">
        <f>RIGHT(บันทึกนำเข้าDrawing[[#This Row],[Drawing No]],1)</f>
        <v>0</v>
      </c>
      <c r="F891" s="68" t="s">
        <v>5673</v>
      </c>
      <c r="G891" s="118" t="s">
        <v>4029</v>
      </c>
      <c r="H891" s="80"/>
      <c r="I891" s="29" t="str">
        <f>CONCATENATE(บันทึกนำเข้าDrawing[[#This Row],[Part No]],"+",บันทึกนำเข้าDrawing[[#This Row],[Drawing No]])</f>
        <v>2B69M456-00+DR-TW-2B69M456-00-00</v>
      </c>
    </row>
    <row r="892" spans="1:9">
      <c r="A892" s="33">
        <v>893</v>
      </c>
      <c r="B892" s="85">
        <v>45160</v>
      </c>
      <c r="C892" s="72" t="s">
        <v>5674</v>
      </c>
      <c r="D892" s="33" t="s">
        <v>5675</v>
      </c>
      <c r="E892" s="69" t="str">
        <f>RIGHT(บันทึกนำเข้าDrawing[[#This Row],[Drawing No]],1)</f>
        <v>1</v>
      </c>
      <c r="F892" s="68" t="s">
        <v>5676</v>
      </c>
      <c r="G892" s="118" t="s">
        <v>4521</v>
      </c>
      <c r="H892" s="80"/>
      <c r="I892" s="29" t="str">
        <f>CONCATENATE(บันทึกนำเข้าDrawing[[#This Row],[Part No]],"+",บันทึกนำเข้าDrawing[[#This Row],[Drawing No]])</f>
        <v>2B69M447-00+DR-TW-2B69M447-00-01</v>
      </c>
    </row>
    <row r="893" spans="1:9">
      <c r="A893" s="33">
        <v>894</v>
      </c>
      <c r="B893" s="85">
        <v>45160</v>
      </c>
      <c r="C893" s="72" t="s">
        <v>5674</v>
      </c>
      <c r="D893" s="33" t="s">
        <v>5677</v>
      </c>
      <c r="E893" s="69" t="str">
        <f>RIGHT(บันทึกนำเข้าDrawing[[#This Row],[Drawing No]],1)</f>
        <v>1</v>
      </c>
      <c r="F893" s="68" t="s">
        <v>5678</v>
      </c>
      <c r="G893" s="118" t="s">
        <v>4521</v>
      </c>
      <c r="H893" s="80"/>
      <c r="I893" s="29" t="str">
        <f>CONCATENATE(บันทึกนำเข้าDrawing[[#This Row],[Part No]],"+",บันทึกนำเข้าDrawing[[#This Row],[Drawing No]])</f>
        <v>2B69M448-00+DR-TW-2B69M447-00-01</v>
      </c>
    </row>
    <row r="894" spans="1:9">
      <c r="A894" s="33">
        <v>895</v>
      </c>
      <c r="B894" s="85">
        <v>45160</v>
      </c>
      <c r="C894" s="72" t="s">
        <v>5674</v>
      </c>
      <c r="D894" s="33" t="s">
        <v>5679</v>
      </c>
      <c r="E894" s="69" t="str">
        <f>RIGHT(บันทึกนำเข้าDrawing[[#This Row],[Drawing No]],1)</f>
        <v>1</v>
      </c>
      <c r="F894" s="68" t="s">
        <v>5680</v>
      </c>
      <c r="G894" s="118" t="s">
        <v>4521</v>
      </c>
      <c r="H894" s="80"/>
      <c r="I894" s="29" t="str">
        <f>CONCATENATE(บันทึกนำเข้าDrawing[[#This Row],[Part No]],"+",บันทึกนำเข้าDrawing[[#This Row],[Drawing No]])</f>
        <v>2B69M449-00+DR-TW-2B69M447-00-01</v>
      </c>
    </row>
    <row r="895" spans="1:9">
      <c r="A895" s="33">
        <v>896</v>
      </c>
      <c r="B895" s="85">
        <v>45160</v>
      </c>
      <c r="C895" s="72" t="s">
        <v>5683</v>
      </c>
      <c r="D895" s="33" t="s">
        <v>5684</v>
      </c>
      <c r="E895" s="69" t="str">
        <f>RIGHT(บันทึกนำเข้าDrawing[[#This Row],[Drawing No]],1)</f>
        <v>0</v>
      </c>
      <c r="F895" s="68" t="s">
        <v>5685</v>
      </c>
      <c r="G895" s="118" t="s">
        <v>4521</v>
      </c>
      <c r="H895" s="80"/>
      <c r="I895" s="29" t="str">
        <f>CONCATENATE(บันทึกนำเข้าDrawing[[#This Row],[Part No]],"+",บันทึกนำเข้าDrawing[[#This Row],[Drawing No]])</f>
        <v>2B69M451-00+DR-TW-2B69M451-00-00</v>
      </c>
    </row>
    <row r="896" spans="1:9">
      <c r="A896" s="33">
        <v>897</v>
      </c>
      <c r="B896" s="85">
        <v>45160</v>
      </c>
      <c r="C896" s="72" t="s">
        <v>5689</v>
      </c>
      <c r="D896" s="33" t="s">
        <v>5690</v>
      </c>
      <c r="E896" s="69" t="str">
        <f>RIGHT(บันทึกนำเข้าDrawing[[#This Row],[Drawing No]],1)</f>
        <v>0</v>
      </c>
      <c r="F896" s="68" t="s">
        <v>5688</v>
      </c>
      <c r="G896" s="118" t="s">
        <v>4521</v>
      </c>
      <c r="H896" s="80"/>
      <c r="I896" s="29" t="str">
        <f>CONCATENATE(บันทึกนำเข้าDrawing[[#This Row],[Part No]],"+",บันทึกนำเข้าDrawing[[#This Row],[Drawing No]])</f>
        <v>2B69M452-00+DR-TW-2B69M452-00-00</v>
      </c>
    </row>
    <row r="897" spans="1:9">
      <c r="A897" s="33">
        <v>868</v>
      </c>
      <c r="B897" s="85">
        <v>45077</v>
      </c>
      <c r="C897" s="72" t="s">
        <v>5590</v>
      </c>
      <c r="D897" s="33" t="s">
        <v>5591</v>
      </c>
      <c r="E897" s="69" t="str">
        <f>RIGHT(บันทึกนำเข้าDrawing[[#This Row],[Drawing No]],1)</f>
        <v>0</v>
      </c>
      <c r="F897" s="68" t="s">
        <v>5441</v>
      </c>
      <c r="G897" s="118" t="s">
        <v>3779</v>
      </c>
      <c r="H897" s="80"/>
      <c r="I897" s="29" t="str">
        <f>CONCATENATE(บันทึกนำเข้าDrawing[[#This Row],[Part No]],"+",บันทึกนำเข้าDrawing[[#This Row],[Drawing No]])</f>
        <v>2B29-424-01-R+DR-TW-2B29-424-01-R-00</v>
      </c>
    </row>
    <row r="898" spans="1:9">
      <c r="A898" s="33">
        <v>899</v>
      </c>
      <c r="B898" s="85">
        <v>45166</v>
      </c>
      <c r="C898" s="72" t="s">
        <v>5681</v>
      </c>
      <c r="D898" s="33" t="s">
        <v>5682</v>
      </c>
      <c r="E898" s="69" t="str">
        <f>RIGHT(บันทึกนำเข้าDrawing[[#This Row],[Drawing No]],1)</f>
        <v>0</v>
      </c>
      <c r="F898" s="68" t="s">
        <v>5109</v>
      </c>
      <c r="G898" s="118" t="s">
        <v>4029</v>
      </c>
      <c r="H898" s="80"/>
      <c r="I898" s="29" t="str">
        <f>CONCATENATE(บันทึกนำเข้าDrawing[[#This Row],[Part No]],"+",บันทึกนำเข้าDrawing[[#This Row],[Drawing No]])</f>
        <v>2B69M322-01+DR-TW-2B69M322-01-00</v>
      </c>
    </row>
    <row r="899" spans="1:9">
      <c r="A899" s="33">
        <v>900</v>
      </c>
      <c r="B899" s="85">
        <v>45166</v>
      </c>
      <c r="C899" s="72" t="s">
        <v>5701</v>
      </c>
      <c r="D899" s="33" t="s">
        <v>5702</v>
      </c>
      <c r="E899" s="69" t="str">
        <f>RIGHT(บันทึกนำเข้าDrawing[[#This Row],[Drawing No]],1)</f>
        <v>0</v>
      </c>
      <c r="F899" s="68" t="s">
        <v>5703</v>
      </c>
      <c r="G899" s="118" t="s">
        <v>4521</v>
      </c>
      <c r="H899" s="80"/>
      <c r="I899" s="29" t="str">
        <f>CONCATENATE(บันทึกนำเข้าDrawing[[#This Row],[Part No]],"+",บันทึกนำเข้าDrawing[[#This Row],[Drawing No]])</f>
        <v>2B69M363-00+DR-TW-2B69M363-00-00</v>
      </c>
    </row>
    <row r="900" spans="1:9">
      <c r="A900" s="33">
        <v>901</v>
      </c>
      <c r="B900" s="85">
        <v>45166</v>
      </c>
      <c r="C900" s="72" t="s">
        <v>5701</v>
      </c>
      <c r="D900" s="33" t="s">
        <v>5704</v>
      </c>
      <c r="E900" s="69" t="str">
        <f>RIGHT(บันทึกนำเข้าDrawing[[#This Row],[Drawing No]],1)</f>
        <v>0</v>
      </c>
      <c r="F900" s="68" t="s">
        <v>5705</v>
      </c>
      <c r="G900" s="118" t="s">
        <v>4521</v>
      </c>
      <c r="H900" s="80"/>
      <c r="I900" s="29" t="str">
        <f>CONCATENATE(บันทึกนำเข้าDrawing[[#This Row],[Part No]],"+",บันทึกนำเข้าDrawing[[#This Row],[Drawing No]])</f>
        <v>2B69M364-00+DR-TW-2B69M363-00-00</v>
      </c>
    </row>
    <row r="901" spans="1:9">
      <c r="A901" s="33">
        <v>902</v>
      </c>
      <c r="B901" s="85">
        <v>45166</v>
      </c>
      <c r="C901" s="72" t="s">
        <v>5797</v>
      </c>
      <c r="D901" s="33" t="s">
        <v>5798</v>
      </c>
      <c r="E901" s="69" t="str">
        <f>RIGHT(บันทึกนำเข้าDrawing[[#This Row],[Drawing No]],1)</f>
        <v>0</v>
      </c>
      <c r="F901" s="68" t="s">
        <v>5799</v>
      </c>
      <c r="G901" s="118" t="s">
        <v>4521</v>
      </c>
      <c r="H901" s="80"/>
      <c r="I901" s="29" t="str">
        <f>CONCATENATE(บันทึกนำเข้าDrawing[[#This Row],[Part No]],"+",บันทึกนำเข้าDrawing[[#This Row],[Drawing No]])</f>
        <v>2B69M463-00+DR-TW-2B69M463-00-00</v>
      </c>
    </row>
    <row r="902" spans="1:9">
      <c r="A902" s="33">
        <v>903</v>
      </c>
      <c r="B902" s="85">
        <v>45167</v>
      </c>
      <c r="C902" s="72" t="s">
        <v>5692</v>
      </c>
      <c r="D902" s="33" t="s">
        <v>5121</v>
      </c>
      <c r="E902" s="69" t="str">
        <f>RIGHT(บันทึกนำเข้าDrawing[[#This Row],[Drawing No]],1)</f>
        <v>2</v>
      </c>
      <c r="F902" s="68" t="s">
        <v>5243</v>
      </c>
      <c r="G902" s="118" t="s">
        <v>4029</v>
      </c>
      <c r="H902" s="80"/>
      <c r="I902" s="29" t="str">
        <f>CONCATENATE(บันทึกนำเข้าDrawing[[#This Row],[Part No]],"+",บันทึกนำเข้าDrawing[[#This Row],[Drawing No]])</f>
        <v>2B69M330-01+DR-TW-2B69M330-01-02</v>
      </c>
    </row>
    <row r="903" spans="1:9">
      <c r="A903" s="33">
        <v>904</v>
      </c>
      <c r="B903" s="85">
        <v>45167</v>
      </c>
      <c r="C903" s="72" t="s">
        <v>5692</v>
      </c>
      <c r="D903" s="33" t="s">
        <v>5241</v>
      </c>
      <c r="E903" s="69" t="str">
        <f>RIGHT(บันทึกนำเข้าDrawing[[#This Row],[Drawing No]],1)</f>
        <v>2</v>
      </c>
      <c r="F903" s="68" t="s">
        <v>5242</v>
      </c>
      <c r="G903" s="118" t="s">
        <v>4029</v>
      </c>
      <c r="H903" s="80"/>
      <c r="I903" s="29" t="str">
        <f>CONCATENATE(บันทึกนำเข้าDrawing[[#This Row],[Part No]],"+",บันทึกนำเข้าDrawing[[#This Row],[Drawing No]])</f>
        <v>2B69M361-00+DR-TW-2B69M330-01-02</v>
      </c>
    </row>
    <row r="904" spans="1:9">
      <c r="A904" s="33">
        <v>905</v>
      </c>
      <c r="B904" s="85">
        <v>45167</v>
      </c>
      <c r="C904" s="82" t="s">
        <v>5692</v>
      </c>
      <c r="D904" s="33" t="s">
        <v>5244</v>
      </c>
      <c r="E904" s="69" t="str">
        <f>RIGHT(บันทึกนำเข้าDrawing[[#This Row],[Drawing No]],1)</f>
        <v>2</v>
      </c>
      <c r="F904" s="68" t="s">
        <v>5245</v>
      </c>
      <c r="G904" s="120" t="s">
        <v>4029</v>
      </c>
      <c r="H904" s="83"/>
      <c r="I904" s="29" t="str">
        <f>CONCATENATE(บันทึกนำเข้าDrawing[[#This Row],[Part No]],"+",บันทึกนำเข้าDrawing[[#This Row],[Drawing No]])</f>
        <v>2B69M362-00+DR-TW-2B69M330-01-02</v>
      </c>
    </row>
    <row r="905" spans="1:9">
      <c r="A905" s="33">
        <v>906</v>
      </c>
      <c r="B905" s="85">
        <v>45167</v>
      </c>
      <c r="C905" s="82" t="s">
        <v>5692</v>
      </c>
      <c r="D905" s="33" t="s">
        <v>5695</v>
      </c>
      <c r="E905" s="69" t="str">
        <f>RIGHT(บันทึกนำเข้าDrawing[[#This Row],[Drawing No]],1)</f>
        <v>2</v>
      </c>
      <c r="F905" s="68" t="s">
        <v>5693</v>
      </c>
      <c r="G905" s="120" t="s">
        <v>4029</v>
      </c>
      <c r="H905" s="83"/>
      <c r="I905" s="29" t="str">
        <f>CONCATENATE(บันทึกนำเข้าDrawing[[#This Row],[Part No]],"+",บันทึกนำเข้าDrawing[[#This Row],[Drawing No]])</f>
        <v>2B69M458-00+DR-TW-2B69M330-01-02</v>
      </c>
    </row>
    <row r="906" spans="1:9">
      <c r="A906" s="33">
        <v>907</v>
      </c>
      <c r="B906" s="85">
        <v>45167</v>
      </c>
      <c r="C906" s="82" t="s">
        <v>5692</v>
      </c>
      <c r="D906" s="33" t="s">
        <v>5696</v>
      </c>
      <c r="E906" s="69" t="str">
        <f>RIGHT(บันทึกนำเข้าDrawing[[#This Row],[Drawing No]],1)</f>
        <v>2</v>
      </c>
      <c r="F906" s="68" t="s">
        <v>5694</v>
      </c>
      <c r="G906" s="120" t="s">
        <v>4029</v>
      </c>
      <c r="H906" s="83"/>
      <c r="I906" s="29" t="str">
        <f>CONCATENATE(บันทึกนำเข้าDrawing[[#This Row],[Part No]],"+",บันทึกนำเข้าDrawing[[#This Row],[Drawing No]])</f>
        <v>2B69M459-00+DR-TW-2B69M330-01-02</v>
      </c>
    </row>
    <row r="907" spans="1:9">
      <c r="A907" s="33">
        <v>908</v>
      </c>
      <c r="B907" s="85">
        <v>45167</v>
      </c>
      <c r="C907" s="82" t="s">
        <v>5697</v>
      </c>
      <c r="D907" s="33" t="s">
        <v>5326</v>
      </c>
      <c r="E907" s="69" t="str">
        <f>RIGHT(บันทึกนำเข้าDrawing[[#This Row],[Drawing No]],1)</f>
        <v>1</v>
      </c>
      <c r="F907" s="68" t="s">
        <v>5106</v>
      </c>
      <c r="G907" s="120" t="s">
        <v>4029</v>
      </c>
      <c r="H907" s="83"/>
      <c r="I907" s="29" t="str">
        <f>CONCATENATE(บันทึกนำเข้าDrawing[[#This Row],[Part No]],"+",บันทึกนำเข้าDrawing[[#This Row],[Drawing No]])</f>
        <v>2B69M328-01+DR-TW-2B69M328-01-01</v>
      </c>
    </row>
    <row r="908" spans="1:9">
      <c r="A908" s="33">
        <v>909</v>
      </c>
      <c r="B908" s="85">
        <v>45167</v>
      </c>
      <c r="C908" s="72" t="s">
        <v>5697</v>
      </c>
      <c r="D908" s="33" t="s">
        <v>5329</v>
      </c>
      <c r="E908" s="69" t="str">
        <f>RIGHT(บันทึกนำเข้าDrawing[[#This Row],[Drawing No]],1)</f>
        <v>1</v>
      </c>
      <c r="F908" s="68" t="s">
        <v>5698</v>
      </c>
      <c r="G908" s="118" t="s">
        <v>4029</v>
      </c>
      <c r="H908" s="80"/>
      <c r="I908" s="29" t="str">
        <f>CONCATENATE(บันทึกนำเข้าDrawing[[#This Row],[Part No]],"+",บันทึกนำเข้าDrawing[[#This Row],[Drawing No]])</f>
        <v>2B69M359-01+DR-TW-2B69M328-01-01</v>
      </c>
    </row>
    <row r="909" spans="1:9">
      <c r="A909" s="33">
        <v>910</v>
      </c>
      <c r="B909" s="85">
        <v>45167</v>
      </c>
      <c r="C909" s="72" t="s">
        <v>5697</v>
      </c>
      <c r="D909" s="33" t="s">
        <v>5700</v>
      </c>
      <c r="E909" s="69" t="str">
        <f>RIGHT(บันทึกนำเข้าDrawing[[#This Row],[Drawing No]],1)</f>
        <v>1</v>
      </c>
      <c r="F909" s="68" t="s">
        <v>5699</v>
      </c>
      <c r="G909" s="118" t="s">
        <v>4029</v>
      </c>
      <c r="H909" s="80"/>
      <c r="I909" s="29" t="str">
        <f>CONCATENATE(บันทึกนำเข้าDrawing[[#This Row],[Part No]],"+",บันทึกนำเข้าDrawing[[#This Row],[Drawing No]])</f>
        <v>2B69M457-00+DR-TW-2B69M328-01-01</v>
      </c>
    </row>
    <row r="910" spans="1:9">
      <c r="A910" s="33">
        <v>911</v>
      </c>
      <c r="B910" s="85">
        <v>45167</v>
      </c>
      <c r="C910" s="72" t="s">
        <v>5697</v>
      </c>
      <c r="D910" s="33" t="s">
        <v>5328</v>
      </c>
      <c r="E910" s="69" t="str">
        <f>RIGHT(บันทึกนำเข้าDrawing[[#This Row],[Drawing No]],1)</f>
        <v>1</v>
      </c>
      <c r="F910" s="84" t="s">
        <v>5250</v>
      </c>
      <c r="G910" s="118" t="s">
        <v>4029</v>
      </c>
      <c r="H910" s="80"/>
      <c r="I910" s="29" t="str">
        <f>CONCATENATE(บันทึกนำเข้าDrawing[[#This Row],[Part No]],"+",บันทึกนำเข้าDrawing[[#This Row],[Drawing No]])</f>
        <v>2B69M360-01+DR-TW-2B69M328-01-01</v>
      </c>
    </row>
    <row r="911" spans="1:9">
      <c r="A911" s="33">
        <v>912</v>
      </c>
      <c r="B911" s="85">
        <v>45169</v>
      </c>
      <c r="C911" s="72" t="s">
        <v>3748</v>
      </c>
      <c r="D911" s="33" t="s">
        <v>5706</v>
      </c>
      <c r="E911" s="69" t="str">
        <f>RIGHT(บันทึกนำเข้าDrawing[[#This Row],[Drawing No]],1)</f>
        <v>0</v>
      </c>
      <c r="F911" s="68" t="s">
        <v>5707</v>
      </c>
      <c r="G911" s="118" t="s">
        <v>4029</v>
      </c>
      <c r="H911" s="80"/>
      <c r="I911" s="29" t="str">
        <f>CONCATENATE(บันทึกนำเข้าDrawing[[#This Row],[Part No]],"+",บันทึกนำเข้าDrawing[[#This Row],[Drawing No]])</f>
        <v>2B52-293-00+DR-TW-2B52-253-04-00</v>
      </c>
    </row>
    <row r="912" spans="1:9">
      <c r="A912" s="33">
        <v>913</v>
      </c>
      <c r="B912" s="85">
        <v>45175</v>
      </c>
      <c r="C912" s="72" t="s">
        <v>5785</v>
      </c>
      <c r="D912" s="33" t="s">
        <v>5786</v>
      </c>
      <c r="E912" s="69" t="str">
        <f>RIGHT(บันทึกนำเข้าDrawing[[#This Row],[Drawing No]],1)</f>
        <v>3</v>
      </c>
      <c r="F912" s="68" t="s">
        <v>5787</v>
      </c>
      <c r="G912" s="118" t="s">
        <v>4029</v>
      </c>
      <c r="H912" s="80"/>
      <c r="I912" s="29" t="str">
        <f>CONCATENATE(บันทึกนำเข้าDrawing[[#This Row],[Part No]],"+",บันทึกนำเข้าDrawing[[#This Row],[Drawing No]])</f>
        <v>2B69M465-00+DR-TW-2B69M330-01-03</v>
      </c>
    </row>
    <row r="913" spans="1:9">
      <c r="A913" s="33">
        <v>914</v>
      </c>
      <c r="B913" s="85">
        <v>45175</v>
      </c>
      <c r="C913" s="72" t="s">
        <v>5785</v>
      </c>
      <c r="D913" s="33" t="s">
        <v>5788</v>
      </c>
      <c r="E913" s="69" t="str">
        <f>RIGHT(บันทึกนำเข้าDrawing[[#This Row],[Drawing No]],1)</f>
        <v>3</v>
      </c>
      <c r="F913" s="68" t="s">
        <v>5789</v>
      </c>
      <c r="G913" s="118" t="s">
        <v>4029</v>
      </c>
      <c r="H913" s="80"/>
      <c r="I913" s="29" t="str">
        <f>CONCATENATE(บันทึกนำเข้าDrawing[[#This Row],[Part No]],"+",บันทึกนำเข้าDrawing[[#This Row],[Drawing No]])</f>
        <v>2B69M466-00+DR-TW-2B69M330-01-03</v>
      </c>
    </row>
    <row r="914" spans="1:9">
      <c r="A914" s="33">
        <v>915</v>
      </c>
      <c r="B914" s="85">
        <v>45175</v>
      </c>
      <c r="C914" s="72" t="s">
        <v>5785</v>
      </c>
      <c r="D914" s="33" t="s">
        <v>5121</v>
      </c>
      <c r="E914" s="69" t="str">
        <f>RIGHT(บันทึกนำเข้าDrawing[[#This Row],[Drawing No]],1)</f>
        <v>3</v>
      </c>
      <c r="F914" s="68" t="s">
        <v>5099</v>
      </c>
      <c r="G914" s="118" t="s">
        <v>4029</v>
      </c>
      <c r="H914" s="80"/>
      <c r="I914" s="29" t="str">
        <f>CONCATENATE(บันทึกนำเข้าDrawing[[#This Row],[Part No]],"+",บันทึกนำเข้าDrawing[[#This Row],[Drawing No]])</f>
        <v>2B69M330-01+DR-TW-2B69M330-01-03</v>
      </c>
    </row>
    <row r="915" spans="1:9">
      <c r="A915" s="33">
        <v>916</v>
      </c>
      <c r="B915" s="85">
        <v>45175</v>
      </c>
      <c r="C915" s="72" t="s">
        <v>5785</v>
      </c>
      <c r="D915" s="33" t="s">
        <v>5241</v>
      </c>
      <c r="E915" s="69" t="str">
        <f>RIGHT(บันทึกนำเข้าDrawing[[#This Row],[Drawing No]],1)</f>
        <v>3</v>
      </c>
      <c r="F915" s="68" t="s">
        <v>5242</v>
      </c>
      <c r="G915" s="118" t="s">
        <v>4029</v>
      </c>
      <c r="H915" s="80"/>
      <c r="I915" s="29" t="str">
        <f>CONCATENATE(บันทึกนำเข้าDrawing[[#This Row],[Part No]],"+",บันทึกนำเข้าDrawing[[#This Row],[Drawing No]])</f>
        <v>2B69M361-00+DR-TW-2B69M330-01-03</v>
      </c>
    </row>
    <row r="916" spans="1:9">
      <c r="A916" s="33">
        <v>917</v>
      </c>
      <c r="B916" s="85">
        <v>45175</v>
      </c>
      <c r="C916" s="72" t="s">
        <v>5785</v>
      </c>
      <c r="D916" s="33" t="s">
        <v>5244</v>
      </c>
      <c r="E916" s="69" t="str">
        <f>RIGHT(บันทึกนำเข้าDrawing[[#This Row],[Drawing No]],1)</f>
        <v>3</v>
      </c>
      <c r="F916" s="68" t="s">
        <v>5245</v>
      </c>
      <c r="G916" s="118" t="s">
        <v>4029</v>
      </c>
      <c r="H916" s="80"/>
      <c r="I916" s="29" t="str">
        <f>CONCATENATE(บันทึกนำเข้าDrawing[[#This Row],[Part No]],"+",บันทึกนำเข้าDrawing[[#This Row],[Drawing No]])</f>
        <v>2B69M362-00+DR-TW-2B69M330-01-03</v>
      </c>
    </row>
    <row r="917" spans="1:9">
      <c r="A917" s="33">
        <v>918</v>
      </c>
      <c r="B917" s="85">
        <v>45175</v>
      </c>
      <c r="C917" s="72" t="s">
        <v>5785</v>
      </c>
      <c r="D917" s="33" t="s">
        <v>5695</v>
      </c>
      <c r="E917" s="69" t="str">
        <f>RIGHT(บันทึกนำเข้าDrawing[[#This Row],[Drawing No]],1)</f>
        <v>3</v>
      </c>
      <c r="F917" s="68" t="s">
        <v>5693</v>
      </c>
      <c r="G917" s="118" t="s">
        <v>4029</v>
      </c>
      <c r="H917" s="80"/>
      <c r="I917" s="29" t="str">
        <f>CONCATENATE(บันทึกนำเข้าDrawing[[#This Row],[Part No]],"+",บันทึกนำเข้าDrawing[[#This Row],[Drawing No]])</f>
        <v>2B69M458-00+DR-TW-2B69M330-01-03</v>
      </c>
    </row>
    <row r="918" spans="1:9">
      <c r="A918" s="33">
        <v>919</v>
      </c>
      <c r="B918" s="85">
        <v>45175</v>
      </c>
      <c r="C918" s="72" t="s">
        <v>5785</v>
      </c>
      <c r="D918" s="33" t="s">
        <v>5696</v>
      </c>
      <c r="E918" s="69" t="str">
        <f>RIGHT(บันทึกนำเข้าDrawing[[#This Row],[Drawing No]],1)</f>
        <v>3</v>
      </c>
      <c r="F918" s="68" t="s">
        <v>5694</v>
      </c>
      <c r="G918" s="118" t="s">
        <v>4029</v>
      </c>
      <c r="H918" s="80"/>
      <c r="I918" s="29" t="str">
        <f>CONCATENATE(บันทึกนำเข้าDrawing[[#This Row],[Part No]],"+",บันทึกนำเข้าDrawing[[#This Row],[Drawing No]])</f>
        <v>2B69M459-00+DR-TW-2B69M330-01-03</v>
      </c>
    </row>
    <row r="919" spans="1:9">
      <c r="A919" s="33">
        <v>920</v>
      </c>
      <c r="B919" s="85">
        <v>45175</v>
      </c>
      <c r="C919" s="72" t="s">
        <v>5800</v>
      </c>
      <c r="D919" s="33" t="s">
        <v>5282</v>
      </c>
      <c r="E919" s="69" t="str">
        <f>RIGHT(บันทึกนำเข้าDrawing[[#This Row],[Drawing No]],1)</f>
        <v>2</v>
      </c>
      <c r="F919" s="68" t="s">
        <v>5255</v>
      </c>
      <c r="G919" s="118" t="s">
        <v>3779</v>
      </c>
      <c r="H919" s="80"/>
      <c r="I919" s="29" t="str">
        <f>CONCATENATE(บันทึกนำเข้าDrawing[[#This Row],[Part No]],"+",บันทึกนำเข้าDrawing[[#This Row],[Drawing No]])</f>
        <v>2B19F090-00+DR-TW-2B19F090-00-02</v>
      </c>
    </row>
    <row r="920" spans="1:9">
      <c r="A920" s="33">
        <v>921</v>
      </c>
      <c r="B920" s="85">
        <v>45175</v>
      </c>
      <c r="C920" s="72" t="s">
        <v>5800</v>
      </c>
      <c r="D920" s="33" t="s">
        <v>5283</v>
      </c>
      <c r="E920" s="69" t="str">
        <f>RIGHT(บันทึกนำเข้าDrawing[[#This Row],[Drawing No]],1)</f>
        <v>2</v>
      </c>
      <c r="F920" s="68" t="s">
        <v>5256</v>
      </c>
      <c r="G920" s="118" t="s">
        <v>3779</v>
      </c>
      <c r="H920" s="80"/>
      <c r="I920" s="29" t="str">
        <f>CONCATENATE(บันทึกนำเข้าDrawing[[#This Row],[Part No]],"+",บันทึกนำเข้าDrawing[[#This Row],[Drawing No]])</f>
        <v>2B19F095-00+DR-TW-2B19F090-00-02</v>
      </c>
    </row>
    <row r="921" spans="1:9">
      <c r="A921" s="33">
        <v>922</v>
      </c>
      <c r="B921" s="85">
        <v>45175</v>
      </c>
      <c r="C921" s="72" t="s">
        <v>5800</v>
      </c>
      <c r="D921" s="33" t="s">
        <v>5284</v>
      </c>
      <c r="E921" s="69" t="str">
        <f>RIGHT(บันทึกนำเข้าDrawing[[#This Row],[Drawing No]],1)</f>
        <v>2</v>
      </c>
      <c r="F921" s="68" t="s">
        <v>5257</v>
      </c>
      <c r="G921" s="118" t="s">
        <v>3779</v>
      </c>
      <c r="H921" s="80"/>
      <c r="I921" s="29" t="str">
        <f>CONCATENATE(บันทึกนำเข้าDrawing[[#This Row],[Part No]],"+",บันทึกนำเข้าDrawing[[#This Row],[Drawing No]])</f>
        <v>2B19F100-00+DR-TW-2B19F090-00-02</v>
      </c>
    </row>
    <row r="922" spans="1:9">
      <c r="A922" s="33">
        <v>923</v>
      </c>
      <c r="B922" s="85">
        <v>45175</v>
      </c>
      <c r="C922" s="72" t="s">
        <v>5800</v>
      </c>
      <c r="D922" s="33" t="s">
        <v>5285</v>
      </c>
      <c r="E922" s="69" t="str">
        <f>RIGHT(บันทึกนำเข้าDrawing[[#This Row],[Drawing No]],1)</f>
        <v>2</v>
      </c>
      <c r="F922" s="68" t="s">
        <v>5258</v>
      </c>
      <c r="G922" s="118" t="s">
        <v>4027</v>
      </c>
      <c r="H922" s="80"/>
      <c r="I922" s="29" t="str">
        <f>CONCATENATE(บันทึกนำเข้าDrawing[[#This Row],[Part No]],"+",บันทึกนำเข้าDrawing[[#This Row],[Drawing No]])</f>
        <v>2B19F105-00+DR-TW-2B19F090-00-02</v>
      </c>
    </row>
    <row r="923" spans="1:9">
      <c r="A923" s="33">
        <v>924</v>
      </c>
      <c r="B923" s="85">
        <v>45175</v>
      </c>
      <c r="C923" s="72" t="s">
        <v>5800</v>
      </c>
      <c r="D923" s="33" t="s">
        <v>5286</v>
      </c>
      <c r="E923" s="69" t="str">
        <f>RIGHT(บันทึกนำเข้าDrawing[[#This Row],[Drawing No]],1)</f>
        <v>2</v>
      </c>
      <c r="F923" s="68" t="s">
        <v>5259</v>
      </c>
      <c r="G923" s="118" t="s">
        <v>4029</v>
      </c>
      <c r="H923" s="80"/>
      <c r="I923" s="29" t="str">
        <f>CONCATENATE(บันทึกนำเข้าDrawing[[#This Row],[Part No]],"+",บันทึกนำเข้าDrawing[[#This Row],[Drawing No]])</f>
        <v>2B19F110-00+DR-TW-2B19F090-00-02</v>
      </c>
    </row>
    <row r="924" spans="1:9">
      <c r="A924" s="33">
        <v>925</v>
      </c>
      <c r="B924" s="85">
        <v>45175</v>
      </c>
      <c r="C924" s="72" t="s">
        <v>5800</v>
      </c>
      <c r="D924" s="33" t="s">
        <v>5287</v>
      </c>
      <c r="E924" s="69" t="str">
        <f>RIGHT(บันทึกนำเข้าDrawing[[#This Row],[Drawing No]],1)</f>
        <v>2</v>
      </c>
      <c r="F924" s="68" t="s">
        <v>5260</v>
      </c>
      <c r="G924" s="118" t="s">
        <v>4027</v>
      </c>
      <c r="H924" s="80">
        <v>45294</v>
      </c>
      <c r="I924" s="29" t="str">
        <f>CONCATENATE(บันทึกนำเข้าDrawing[[#This Row],[Part No]],"+",บันทึกนำเข้าDrawing[[#This Row],[Drawing No]])</f>
        <v>2B19F115-00+DR-TW-2B19F090-00-02</v>
      </c>
    </row>
    <row r="925" spans="1:9">
      <c r="A925" s="33">
        <v>926</v>
      </c>
      <c r="B925" s="85">
        <v>45175</v>
      </c>
      <c r="C925" s="72" t="s">
        <v>5800</v>
      </c>
      <c r="D925" s="33" t="s">
        <v>5288</v>
      </c>
      <c r="E925" s="69" t="str">
        <f>RIGHT(บันทึกนำเข้าDrawing[[#This Row],[Drawing No]],1)</f>
        <v>2</v>
      </c>
      <c r="F925" s="68" t="s">
        <v>5261</v>
      </c>
      <c r="G925" s="118" t="s">
        <v>4027</v>
      </c>
      <c r="H925" s="80">
        <v>45183</v>
      </c>
      <c r="I925" s="29" t="str">
        <f>CONCATENATE(บันทึกนำเข้าDrawing[[#This Row],[Part No]],"+",บันทึกนำเข้าDrawing[[#This Row],[Drawing No]])</f>
        <v>2B19F120-00+DR-TW-2B19F090-00-02</v>
      </c>
    </row>
    <row r="926" spans="1:9">
      <c r="A926" s="33">
        <v>927</v>
      </c>
      <c r="B926" s="85">
        <v>45175</v>
      </c>
      <c r="C926" s="72" t="s">
        <v>5800</v>
      </c>
      <c r="D926" s="33" t="s">
        <v>5289</v>
      </c>
      <c r="E926" s="69" t="str">
        <f>RIGHT(บันทึกนำเข้าDrawing[[#This Row],[Drawing No]],1)</f>
        <v>2</v>
      </c>
      <c r="F926" s="68" t="s">
        <v>5262</v>
      </c>
      <c r="G926" s="118" t="s">
        <v>4027</v>
      </c>
      <c r="H926" s="80">
        <v>45183</v>
      </c>
      <c r="I926" s="29" t="str">
        <f>CONCATENATE(บันทึกนำเข้าDrawing[[#This Row],[Part No]],"+",บันทึกนำเข้าDrawing[[#This Row],[Drawing No]])</f>
        <v>2B19F125-00+DR-TW-2B19F090-00-02</v>
      </c>
    </row>
    <row r="927" spans="1:9">
      <c r="A927" s="33">
        <v>928</v>
      </c>
      <c r="B927" s="85">
        <v>45175</v>
      </c>
      <c r="C927" s="72" t="s">
        <v>5800</v>
      </c>
      <c r="D927" s="33" t="s">
        <v>5290</v>
      </c>
      <c r="E927" s="69" t="str">
        <f>RIGHT(บันทึกนำเข้าDrawing[[#This Row],[Drawing No]],1)</f>
        <v>2</v>
      </c>
      <c r="F927" s="68" t="s">
        <v>5263</v>
      </c>
      <c r="G927" s="118" t="s">
        <v>4027</v>
      </c>
      <c r="H927" s="80">
        <v>45183</v>
      </c>
      <c r="I927" s="29" t="str">
        <f>CONCATENATE(บันทึกนำเข้าDrawing[[#This Row],[Part No]],"+",บันทึกนำเข้าDrawing[[#This Row],[Drawing No]])</f>
        <v>2B19F130-00+DR-TW-2B19F090-00-02</v>
      </c>
    </row>
    <row r="928" spans="1:9">
      <c r="A928" s="33">
        <v>929</v>
      </c>
      <c r="B928" s="85">
        <v>45175</v>
      </c>
      <c r="C928" s="72" t="s">
        <v>5800</v>
      </c>
      <c r="D928" s="33" t="s">
        <v>5291</v>
      </c>
      <c r="E928" s="69" t="str">
        <f>RIGHT(บันทึกนำเข้าDrawing[[#This Row],[Drawing No]],1)</f>
        <v>2</v>
      </c>
      <c r="F928" s="68" t="s">
        <v>5264</v>
      </c>
      <c r="G928" s="118" t="s">
        <v>4027</v>
      </c>
      <c r="H928" s="80">
        <v>45050</v>
      </c>
      <c r="I928" s="29" t="str">
        <f>CONCATENATE(บันทึกนำเข้าDrawing[[#This Row],[Part No]],"+",บันทึกนำเข้าDrawing[[#This Row],[Drawing No]])</f>
        <v>2B19F135-00+DR-TW-2B19F090-00-02</v>
      </c>
    </row>
    <row r="929" spans="1:9">
      <c r="A929" s="33">
        <v>930</v>
      </c>
      <c r="B929" s="85">
        <v>45175</v>
      </c>
      <c r="C929" s="72" t="s">
        <v>5800</v>
      </c>
      <c r="D929" s="33" t="s">
        <v>5292</v>
      </c>
      <c r="E929" s="69" t="str">
        <f>RIGHT(บันทึกนำเข้าDrawing[[#This Row],[Drawing No]],1)</f>
        <v>2</v>
      </c>
      <c r="F929" s="68" t="s">
        <v>5265</v>
      </c>
      <c r="G929" s="118" t="s">
        <v>4027</v>
      </c>
      <c r="H929" s="80">
        <v>45077</v>
      </c>
      <c r="I929" s="29" t="str">
        <f>CONCATENATE(บันทึกนำเข้าDrawing[[#This Row],[Part No]],"+",บันทึกนำเข้าDrawing[[#This Row],[Drawing No]])</f>
        <v>2B19F140-00+DR-TW-2B19F090-00-02</v>
      </c>
    </row>
    <row r="930" spans="1:9">
      <c r="A930" s="33">
        <v>931</v>
      </c>
      <c r="B930" s="85">
        <v>45175</v>
      </c>
      <c r="C930" s="72" t="s">
        <v>5800</v>
      </c>
      <c r="D930" s="33" t="s">
        <v>5293</v>
      </c>
      <c r="E930" s="69" t="str">
        <f>RIGHT(บันทึกนำเข้าDrawing[[#This Row],[Drawing No]],1)</f>
        <v>2</v>
      </c>
      <c r="F930" s="68" t="s">
        <v>5262</v>
      </c>
      <c r="G930" s="118" t="s">
        <v>4027</v>
      </c>
      <c r="H930" s="80">
        <v>45183</v>
      </c>
      <c r="I930" s="29" t="str">
        <f>CONCATENATE(บันทึกนำเข้าDrawing[[#This Row],[Part No]],"+",บันทึกนำเข้าDrawing[[#This Row],[Drawing No]])</f>
        <v>2B19F145-00+DR-TW-2B19F090-00-02</v>
      </c>
    </row>
    <row r="931" spans="1:9">
      <c r="A931" s="33">
        <v>932</v>
      </c>
      <c r="B931" s="85">
        <v>45175</v>
      </c>
      <c r="C931" s="72" t="s">
        <v>5800</v>
      </c>
      <c r="D931" s="33" t="s">
        <v>5294</v>
      </c>
      <c r="E931" s="69" t="str">
        <f>RIGHT(บันทึกนำเข้าDrawing[[#This Row],[Drawing No]],1)</f>
        <v>2</v>
      </c>
      <c r="F931" s="68" t="s">
        <v>5266</v>
      </c>
      <c r="G931" s="118" t="s">
        <v>4027</v>
      </c>
      <c r="H931" s="80">
        <v>45183</v>
      </c>
      <c r="I931" s="29" t="str">
        <f>CONCATENATE(บันทึกนำเข้าDrawing[[#This Row],[Part No]],"+",บันทึกนำเข้าDrawing[[#This Row],[Drawing No]])</f>
        <v>2B19F150-00+DR-TW-2B19F090-00-02</v>
      </c>
    </row>
    <row r="932" spans="1:9">
      <c r="A932" s="33">
        <v>933</v>
      </c>
      <c r="B932" s="85">
        <v>45175</v>
      </c>
      <c r="C932" s="72" t="s">
        <v>5800</v>
      </c>
      <c r="D932" s="33" t="s">
        <v>5295</v>
      </c>
      <c r="E932" s="69" t="str">
        <f>RIGHT(บันทึกนำเข้าDrawing[[#This Row],[Drawing No]],1)</f>
        <v>2</v>
      </c>
      <c r="F932" s="68" t="s">
        <v>5267</v>
      </c>
      <c r="G932" s="118" t="s">
        <v>4027</v>
      </c>
      <c r="H932" s="80">
        <v>45183</v>
      </c>
      <c r="I932" s="29" t="str">
        <f>CONCATENATE(บันทึกนำเข้าDrawing[[#This Row],[Part No]],"+",บันทึกนำเข้าDrawing[[#This Row],[Drawing No]])</f>
        <v>2B19F155-00+DR-TW-2B19F090-00-02</v>
      </c>
    </row>
    <row r="933" spans="1:9">
      <c r="A933" s="33">
        <v>934</v>
      </c>
      <c r="B933" s="85">
        <v>45175</v>
      </c>
      <c r="C933" s="72" t="s">
        <v>5800</v>
      </c>
      <c r="D933" s="33" t="s">
        <v>5296</v>
      </c>
      <c r="E933" s="69" t="str">
        <f>RIGHT(บันทึกนำเข้าDrawing[[#This Row],[Drawing No]],1)</f>
        <v>2</v>
      </c>
      <c r="F933" s="68" t="s">
        <v>5268</v>
      </c>
      <c r="G933" s="118" t="s">
        <v>4027</v>
      </c>
      <c r="H933" s="80">
        <v>45139</v>
      </c>
      <c r="I933" s="29" t="str">
        <f>CONCATENATE(บันทึกนำเข้าDrawing[[#This Row],[Part No]],"+",บันทึกนำเข้าDrawing[[#This Row],[Drawing No]])</f>
        <v>2B19F160-00+DR-TW-2B19F090-00-02</v>
      </c>
    </row>
    <row r="934" spans="1:9">
      <c r="A934" s="33">
        <v>935</v>
      </c>
      <c r="B934" s="85">
        <v>45175</v>
      </c>
      <c r="C934" s="72" t="s">
        <v>5800</v>
      </c>
      <c r="D934" s="33" t="s">
        <v>5297</v>
      </c>
      <c r="E934" s="69" t="str">
        <f>RIGHT(บันทึกนำเข้าDrawing[[#This Row],[Drawing No]],1)</f>
        <v>2</v>
      </c>
      <c r="F934" s="68" t="s">
        <v>5269</v>
      </c>
      <c r="G934" s="118" t="s">
        <v>4027</v>
      </c>
      <c r="H934" s="80">
        <v>45183</v>
      </c>
      <c r="I934" s="29" t="str">
        <f>CONCATENATE(บันทึกนำเข้าDrawing[[#This Row],[Part No]],"+",บันทึกนำเข้าDrawing[[#This Row],[Drawing No]])</f>
        <v>2B19F165-00+DR-TW-2B19F090-00-02</v>
      </c>
    </row>
    <row r="935" spans="1:9">
      <c r="A935" s="33">
        <v>936</v>
      </c>
      <c r="B935" s="85">
        <v>45175</v>
      </c>
      <c r="C935" s="72" t="s">
        <v>5800</v>
      </c>
      <c r="D935" s="33" t="s">
        <v>5298</v>
      </c>
      <c r="E935" s="69" t="str">
        <f>RIGHT(บันทึกนำเข้าDrawing[[#This Row],[Drawing No]],1)</f>
        <v>2</v>
      </c>
      <c r="F935" s="68" t="s">
        <v>5270</v>
      </c>
      <c r="G935" s="118" t="s">
        <v>4027</v>
      </c>
      <c r="H935" s="80">
        <v>45244</v>
      </c>
      <c r="I935" s="29" t="str">
        <f>CONCATENATE(บันทึกนำเข้าDrawing[[#This Row],[Part No]],"+",บันทึกนำเข้าDrawing[[#This Row],[Drawing No]])</f>
        <v>2B19F170-00+DR-TW-2B19F090-00-02</v>
      </c>
    </row>
    <row r="936" spans="1:9">
      <c r="A936" s="33">
        <v>937</v>
      </c>
      <c r="B936" s="85">
        <v>45175</v>
      </c>
      <c r="C936" s="72" t="s">
        <v>5800</v>
      </c>
      <c r="D936" s="33" t="s">
        <v>5299</v>
      </c>
      <c r="E936" s="69" t="str">
        <f>RIGHT(บันทึกนำเข้าDrawing[[#This Row],[Drawing No]],1)</f>
        <v>2</v>
      </c>
      <c r="F936" s="68" t="s">
        <v>5271</v>
      </c>
      <c r="G936" s="118" t="s">
        <v>4027</v>
      </c>
      <c r="H936" s="80">
        <v>45244</v>
      </c>
      <c r="I936" s="29" t="str">
        <f>CONCATENATE(บันทึกนำเข้าDrawing[[#This Row],[Part No]],"+",บันทึกนำเข้าDrawing[[#This Row],[Drawing No]])</f>
        <v>2B19F175-00+DR-TW-2B19F090-00-02</v>
      </c>
    </row>
    <row r="937" spans="1:9">
      <c r="A937" s="33">
        <v>938</v>
      </c>
      <c r="B937" s="85">
        <v>45175</v>
      </c>
      <c r="C937" s="72" t="s">
        <v>5800</v>
      </c>
      <c r="D937" s="33" t="s">
        <v>5300</v>
      </c>
      <c r="E937" s="69" t="str">
        <f>RIGHT(บันทึกนำเข้าDrawing[[#This Row],[Drawing No]],1)</f>
        <v>2</v>
      </c>
      <c r="F937" s="68" t="s">
        <v>5272</v>
      </c>
      <c r="G937" s="118" t="s">
        <v>4027</v>
      </c>
      <c r="H937" s="80">
        <v>45061</v>
      </c>
      <c r="I937" s="29" t="str">
        <f>CONCATENATE(บันทึกนำเข้าDrawing[[#This Row],[Part No]],"+",บันทึกนำเข้าDrawing[[#This Row],[Drawing No]])</f>
        <v>2B19F180-00+DR-TW-2B19F090-00-02</v>
      </c>
    </row>
    <row r="938" spans="1:9">
      <c r="A938" s="33">
        <v>939</v>
      </c>
      <c r="B938" s="85">
        <v>45175</v>
      </c>
      <c r="C938" s="72" t="s">
        <v>5800</v>
      </c>
      <c r="D938" s="33" t="s">
        <v>5301</v>
      </c>
      <c r="E938" s="69" t="str">
        <f>RIGHT(บันทึกนำเข้าDrawing[[#This Row],[Drawing No]],1)</f>
        <v>2</v>
      </c>
      <c r="F938" s="68" t="s">
        <v>5273</v>
      </c>
      <c r="G938" s="118" t="s">
        <v>4027</v>
      </c>
      <c r="H938" s="80">
        <v>45183</v>
      </c>
      <c r="I938" s="29" t="str">
        <f>CONCATENATE(บันทึกนำเข้าDrawing[[#This Row],[Part No]],"+",บันทึกนำเข้าDrawing[[#This Row],[Drawing No]])</f>
        <v>2B19F185-00+DR-TW-2B19F090-00-02</v>
      </c>
    </row>
    <row r="939" spans="1:9">
      <c r="A939" s="33">
        <v>940</v>
      </c>
      <c r="B939" s="85">
        <v>45175</v>
      </c>
      <c r="C939" s="72" t="s">
        <v>5800</v>
      </c>
      <c r="D939" s="33" t="s">
        <v>5302</v>
      </c>
      <c r="E939" s="69" t="str">
        <f>RIGHT(บันทึกนำเข้าDrawing[[#This Row],[Drawing No]],1)</f>
        <v>2</v>
      </c>
      <c r="F939" s="68" t="s">
        <v>5274</v>
      </c>
      <c r="G939" s="118" t="s">
        <v>4027</v>
      </c>
      <c r="H939" s="80">
        <v>45183</v>
      </c>
      <c r="I939" s="29" t="str">
        <f>CONCATENATE(บันทึกนำเข้าDrawing[[#This Row],[Part No]],"+",บันทึกนำเข้าDrawing[[#This Row],[Drawing No]])</f>
        <v>2B19F190-00+DR-TW-2B19F090-00-02</v>
      </c>
    </row>
    <row r="940" spans="1:9">
      <c r="A940" s="33">
        <v>941</v>
      </c>
      <c r="B940" s="85">
        <v>45175</v>
      </c>
      <c r="C940" s="72" t="s">
        <v>5800</v>
      </c>
      <c r="D940" s="33" t="s">
        <v>5303</v>
      </c>
      <c r="E940" s="69" t="str">
        <f>RIGHT(บันทึกนำเข้าDrawing[[#This Row],[Drawing No]],1)</f>
        <v>2</v>
      </c>
      <c r="F940" s="68" t="s">
        <v>5275</v>
      </c>
      <c r="G940" s="118" t="s">
        <v>4027</v>
      </c>
      <c r="H940" s="80">
        <v>45050</v>
      </c>
      <c r="I940" s="29" t="str">
        <f>CONCATENATE(บันทึกนำเข้าDrawing[[#This Row],[Part No]],"+",บันทึกนำเข้าDrawing[[#This Row],[Drawing No]])</f>
        <v>2B19F195-00+DR-TW-2B19F090-00-02</v>
      </c>
    </row>
    <row r="941" spans="1:9">
      <c r="A941" s="33">
        <v>942</v>
      </c>
      <c r="B941" s="85">
        <v>45175</v>
      </c>
      <c r="C941" s="72" t="s">
        <v>5800</v>
      </c>
      <c r="D941" s="33" t="s">
        <v>5304</v>
      </c>
      <c r="E941" s="69" t="str">
        <f>RIGHT(บันทึกนำเข้าDrawing[[#This Row],[Drawing No]],1)</f>
        <v>2</v>
      </c>
      <c r="F941" s="68" t="s">
        <v>5191</v>
      </c>
      <c r="G941" s="118" t="s">
        <v>4027</v>
      </c>
      <c r="H941" s="80"/>
      <c r="I941" s="29" t="str">
        <f>CONCATENATE(บันทึกนำเข้าDrawing[[#This Row],[Part No]],"+",บันทึกนำเข้าDrawing[[#This Row],[Drawing No]])</f>
        <v>2B19F200-00+DR-TW-2B19F090-00-02</v>
      </c>
    </row>
    <row r="942" spans="1:9">
      <c r="A942" s="33">
        <v>943</v>
      </c>
      <c r="B942" s="85">
        <v>45175</v>
      </c>
      <c r="C942" s="72" t="s">
        <v>5800</v>
      </c>
      <c r="D942" s="33" t="s">
        <v>5305</v>
      </c>
      <c r="E942" s="69" t="str">
        <f>RIGHT(บันทึกนำเข้าDrawing[[#This Row],[Drawing No]],1)</f>
        <v>2</v>
      </c>
      <c r="F942" s="68" t="s">
        <v>5276</v>
      </c>
      <c r="G942" s="118" t="s">
        <v>4027</v>
      </c>
      <c r="H942" s="80">
        <v>45244</v>
      </c>
      <c r="I942" s="29" t="str">
        <f>CONCATENATE(บันทึกนำเข้าDrawing[[#This Row],[Part No]],"+",บันทึกนำเข้าDrawing[[#This Row],[Drawing No]])</f>
        <v>2B19F205-00+DR-TW-2B19F090-00-02</v>
      </c>
    </row>
    <row r="943" spans="1:9">
      <c r="A943" s="33">
        <v>944</v>
      </c>
      <c r="B943" s="85">
        <v>45175</v>
      </c>
      <c r="C943" s="72" t="s">
        <v>5800</v>
      </c>
      <c r="D943" s="33" t="s">
        <v>5306</v>
      </c>
      <c r="E943" s="69" t="str">
        <f>RIGHT(บันทึกนำเข้าDrawing[[#This Row],[Drawing No]],1)</f>
        <v>2</v>
      </c>
      <c r="F943" s="68" t="s">
        <v>5277</v>
      </c>
      <c r="G943" s="118" t="s">
        <v>4027</v>
      </c>
      <c r="H943" s="80">
        <v>45244</v>
      </c>
      <c r="I943" s="29" t="str">
        <f>CONCATENATE(บันทึกนำเข้าDrawing[[#This Row],[Part No]],"+",บันทึกนำเข้าDrawing[[#This Row],[Drawing No]])</f>
        <v>2B19F210-00+DR-TW-2B19F090-00-02</v>
      </c>
    </row>
    <row r="944" spans="1:9">
      <c r="A944" s="33">
        <v>945</v>
      </c>
      <c r="B944" s="85">
        <v>45175</v>
      </c>
      <c r="C944" s="72" t="s">
        <v>5800</v>
      </c>
      <c r="D944" s="33" t="s">
        <v>5307</v>
      </c>
      <c r="E944" s="69" t="str">
        <f>RIGHT(บันทึกนำเข้าDrawing[[#This Row],[Drawing No]],1)</f>
        <v>2</v>
      </c>
      <c r="F944" s="68" t="s">
        <v>5277</v>
      </c>
      <c r="G944" s="118" t="s">
        <v>3779</v>
      </c>
      <c r="H944" s="80"/>
      <c r="I944" s="29" t="str">
        <f>CONCATENATE(บันทึกนำเข้าDrawing[[#This Row],[Part No]],"+",บันทึกนำเข้าDrawing[[#This Row],[Drawing No]])</f>
        <v>2B19F215-00+DR-TW-2B19F090-00-02</v>
      </c>
    </row>
    <row r="945" spans="1:9">
      <c r="A945" s="33">
        <v>946</v>
      </c>
      <c r="B945" s="85">
        <v>45175</v>
      </c>
      <c r="C945" s="72" t="s">
        <v>5800</v>
      </c>
      <c r="D945" s="33" t="s">
        <v>5308</v>
      </c>
      <c r="E945" s="69" t="str">
        <f>RIGHT(บันทึกนำเข้าDrawing[[#This Row],[Drawing No]],1)</f>
        <v>2</v>
      </c>
      <c r="F945" s="68" t="s">
        <v>5278</v>
      </c>
      <c r="G945" s="118" t="s">
        <v>3779</v>
      </c>
      <c r="H945" s="80"/>
      <c r="I945" s="29" t="str">
        <f>CONCATENATE(บันทึกนำเข้าDrawing[[#This Row],[Part No]],"+",บันทึกนำเข้าDrawing[[#This Row],[Drawing No]])</f>
        <v>2B19F220-00+DR-TW-2B19F090-00-02</v>
      </c>
    </row>
    <row r="946" spans="1:9">
      <c r="A946" s="33">
        <v>947</v>
      </c>
      <c r="B946" s="85">
        <v>45175</v>
      </c>
      <c r="C946" s="72" t="s">
        <v>5800</v>
      </c>
      <c r="D946" s="33" t="s">
        <v>5446</v>
      </c>
      <c r="E946" s="69" t="str">
        <f>RIGHT(บันทึกนำเข้าDrawing[[#This Row],[Drawing No]],1)</f>
        <v>2</v>
      </c>
      <c r="F946" s="68" t="s">
        <v>5279</v>
      </c>
      <c r="G946" s="118" t="s">
        <v>3779</v>
      </c>
      <c r="H946" s="80"/>
      <c r="I946" s="29" t="str">
        <f>CONCATENATE(บันทึกนำเข้าDrawing[[#This Row],[Part No]],"+",บันทึกนำเข้าDrawing[[#This Row],[Drawing No]])</f>
        <v>2B19F225-00+DR-TW-2B19F090-00-02</v>
      </c>
    </row>
    <row r="947" spans="1:9">
      <c r="A947" s="33">
        <v>948</v>
      </c>
      <c r="B947" s="85">
        <v>45175</v>
      </c>
      <c r="C947" s="72" t="s">
        <v>5800</v>
      </c>
      <c r="D947" s="33" t="s">
        <v>5801</v>
      </c>
      <c r="E947" s="69" t="str">
        <f>RIGHT(บันทึกนำเข้าDrawing[[#This Row],[Drawing No]],1)</f>
        <v>2</v>
      </c>
      <c r="F947" s="68" t="s">
        <v>5802</v>
      </c>
      <c r="G947" s="118" t="s">
        <v>3779</v>
      </c>
      <c r="H947" s="80"/>
      <c r="I947" s="29" t="str">
        <f>CONCATENATE(บันทึกนำเข้าDrawing[[#This Row],[Part No]],"+",บันทึกนำเข้าDrawing[[#This Row],[Drawing No]])</f>
        <v>2B19F230-00+DR-TW-2B19F090-00-02</v>
      </c>
    </row>
    <row r="948" spans="1:9">
      <c r="A948" s="33">
        <v>949</v>
      </c>
      <c r="B948" s="85">
        <v>45175</v>
      </c>
      <c r="C948" s="72" t="s">
        <v>5800</v>
      </c>
      <c r="D948" s="33" t="s">
        <v>5309</v>
      </c>
      <c r="E948" s="69" t="str">
        <f>RIGHT(บันทึกนำเข้าDrawing[[#This Row],[Drawing No]],1)</f>
        <v>2</v>
      </c>
      <c r="F948" s="68" t="s">
        <v>5280</v>
      </c>
      <c r="G948" s="118" t="s">
        <v>3779</v>
      </c>
      <c r="H948" s="80"/>
      <c r="I948" s="29" t="str">
        <f>CONCATENATE(บันทึกนำเข้าDrawing[[#This Row],[Part No]],"+",บันทึกนำเข้าDrawing[[#This Row],[Drawing No]])</f>
        <v>2B19F240-00+DR-TW-2B19F090-00-02</v>
      </c>
    </row>
    <row r="949" spans="1:9">
      <c r="A949" s="33">
        <v>950</v>
      </c>
      <c r="B949" s="85">
        <v>45175</v>
      </c>
      <c r="C949" s="72" t="s">
        <v>5800</v>
      </c>
      <c r="D949" s="33" t="s">
        <v>5310</v>
      </c>
      <c r="E949" s="69" t="str">
        <f>RIGHT(บันทึกนำเข้าDrawing[[#This Row],[Drawing No]],1)</f>
        <v>2</v>
      </c>
      <c r="F949" s="84" t="s">
        <v>5281</v>
      </c>
      <c r="G949" s="120" t="s">
        <v>3779</v>
      </c>
      <c r="H949" s="83"/>
      <c r="I949" s="29" t="str">
        <f>CONCATENATE(บันทึกนำเข้าDrawing[[#This Row],[Part No]],"+",บันทึกนำเข้าDrawing[[#This Row],[Drawing No]])</f>
        <v>2B19F300-00+DR-TW-2B19F090-00-02</v>
      </c>
    </row>
    <row r="950" spans="1:9">
      <c r="A950" s="33">
        <v>951</v>
      </c>
      <c r="B950" s="81">
        <v>45175</v>
      </c>
      <c r="C950" s="75" t="s">
        <v>5804</v>
      </c>
      <c r="D950" s="33" t="s">
        <v>661</v>
      </c>
      <c r="E950" s="69" t="str">
        <f>RIGHT(บันทึกนำเข้าDrawing[[#This Row],[Drawing No]],1)</f>
        <v>1</v>
      </c>
      <c r="F950" s="73" t="s">
        <v>5807</v>
      </c>
      <c r="G950" s="120" t="s">
        <v>4027</v>
      </c>
      <c r="H950" s="83">
        <v>45320</v>
      </c>
      <c r="I950" s="29" t="str">
        <f>CONCATENATE(บันทึกนำเข้าDrawing[[#This Row],[Part No]],"+",บันทึกนำเข้าDrawing[[#This Row],[Drawing No]])</f>
        <v>2B24E100-00+DR-TW-2B24E100-00-01</v>
      </c>
    </row>
    <row r="951" spans="1:9">
      <c r="A951" s="33">
        <v>952</v>
      </c>
      <c r="B951" s="81">
        <v>45175</v>
      </c>
      <c r="C951" s="75" t="s">
        <v>5804</v>
      </c>
      <c r="D951" s="33" t="s">
        <v>5805</v>
      </c>
      <c r="E951" s="69" t="str">
        <f>RIGHT(บันทึกนำเข้าDrawing[[#This Row],[Drawing No]],1)</f>
        <v>1</v>
      </c>
      <c r="F951" s="73" t="s">
        <v>5806</v>
      </c>
      <c r="G951" s="120" t="s">
        <v>3772</v>
      </c>
      <c r="H951" s="83"/>
      <c r="I951" s="29" t="str">
        <f>CONCATENATE(บันทึกนำเข้าDrawing[[#This Row],[Part No]],"+",บันทึกนำเข้าDrawing[[#This Row],[Drawing No]])</f>
        <v>2B24E075-00+DR-TW-2B24E100-00-01</v>
      </c>
    </row>
    <row r="952" spans="1:9">
      <c r="B952" s="81">
        <v>45181</v>
      </c>
      <c r="C952" s="72" t="s">
        <v>5808</v>
      </c>
      <c r="D952" s="33" t="s">
        <v>4114</v>
      </c>
      <c r="E952" s="69" t="str">
        <f>RIGHT(บันทึกนำเข้าDrawing[[#This Row],[Drawing No]],1)</f>
        <v>1</v>
      </c>
      <c r="F952" s="76" t="s">
        <v>5809</v>
      </c>
      <c r="G952" s="120" t="s">
        <v>3779</v>
      </c>
      <c r="H952" s="83"/>
      <c r="I952" s="29" t="str">
        <f>CONCATENATE(บันทึกนำเข้าDrawing[[#This Row],[Part No]],"+",บันทึกนำเข้าDrawing[[#This Row],[Drawing No]])</f>
        <v>2B52-253-04+DR-TW-2B52-253-04-01</v>
      </c>
    </row>
    <row r="953" spans="1:9">
      <c r="B953" s="81">
        <v>45181</v>
      </c>
      <c r="C953" s="72" t="s">
        <v>5808</v>
      </c>
      <c r="D953" s="33" t="s">
        <v>2159</v>
      </c>
      <c r="E953" s="69" t="str">
        <f>RIGHT(บันทึกนำเข้าDrawing[[#This Row],[Drawing No]],1)</f>
        <v>1</v>
      </c>
      <c r="F953" s="73" t="s">
        <v>5810</v>
      </c>
      <c r="G953" s="120" t="s">
        <v>4027</v>
      </c>
      <c r="H953" s="83">
        <v>45580</v>
      </c>
      <c r="I953" s="29" t="str">
        <f>CONCATENATE(บันทึกนำเข้าDrawing[[#This Row],[Part No]],"+",บันทึกนำเข้าDrawing[[#This Row],[Drawing No]])</f>
        <v>2B52-283-01+DR-TW-2B52-253-04-01</v>
      </c>
    </row>
    <row r="954" spans="1:9">
      <c r="B954" s="81">
        <v>45181</v>
      </c>
      <c r="C954" s="72" t="s">
        <v>5808</v>
      </c>
      <c r="D954" s="33" t="s">
        <v>5706</v>
      </c>
      <c r="E954" s="69" t="str">
        <f>RIGHT(บันทึกนำเข้าDrawing[[#This Row],[Drawing No]],1)</f>
        <v>1</v>
      </c>
      <c r="F954" s="68" t="s">
        <v>5811</v>
      </c>
      <c r="G954" s="120" t="s">
        <v>4027</v>
      </c>
      <c r="H954" s="83">
        <v>45244</v>
      </c>
      <c r="I954" s="29" t="str">
        <f>CONCATENATE(บันทึกนำเข้าDrawing[[#This Row],[Part No]],"+",บันทึกนำเข้าDrawing[[#This Row],[Drawing No]])</f>
        <v>2B52-293-00+DR-TW-2B52-253-04-01</v>
      </c>
    </row>
    <row r="955" spans="1:9">
      <c r="B955" s="81">
        <v>45182</v>
      </c>
      <c r="C955" s="82" t="s">
        <v>5815</v>
      </c>
      <c r="D955" s="33" t="s">
        <v>5816</v>
      </c>
      <c r="E955" s="69" t="str">
        <f>RIGHT(บันทึกนำเข้าDrawing[[#This Row],[Drawing No]],1)</f>
        <v>0</v>
      </c>
      <c r="F955" s="84" t="s">
        <v>5817</v>
      </c>
      <c r="G955" s="120" t="s">
        <v>4521</v>
      </c>
      <c r="H955" s="83"/>
      <c r="I955" s="29" t="str">
        <f>CONCATENATE(บันทึกนำเข้าDrawing[[#This Row],[Part No]],"+",บันทึกนำเข้าDrawing[[#This Row],[Drawing No]])</f>
        <v>2B69M471-00+DR-TW-2B69M471-00-00</v>
      </c>
    </row>
    <row r="956" spans="1:9">
      <c r="B956" s="81">
        <v>45187</v>
      </c>
      <c r="C956" s="82" t="s">
        <v>5818</v>
      </c>
      <c r="D956" s="33" t="s">
        <v>5819</v>
      </c>
      <c r="E956" s="69" t="str">
        <f>RIGHT(บันทึกนำเข้าDrawing[[#This Row],[Drawing No]],1)</f>
        <v>0</v>
      </c>
      <c r="F956" s="84" t="s">
        <v>5820</v>
      </c>
      <c r="G956" s="120" t="s">
        <v>4521</v>
      </c>
      <c r="H956" s="83"/>
      <c r="I956" s="29" t="str">
        <f>CONCATENATE(บันทึกนำเข้าDrawing[[#This Row],[Part No]],"+",บันทึกนำเข้าDrawing[[#This Row],[Drawing No]])</f>
        <v>2B69M468-00+DR-TW-2B69N468-00-00</v>
      </c>
    </row>
    <row r="957" spans="1:9">
      <c r="B957" s="81">
        <v>45210</v>
      </c>
      <c r="C957" s="72" t="s">
        <v>5825</v>
      </c>
      <c r="D957" s="33" t="s">
        <v>5826</v>
      </c>
      <c r="E957" s="69" t="str">
        <f>RIGHT(บันทึกนำเข้าDrawing[[#This Row],[Drawing No]],1)</f>
        <v>0</v>
      </c>
      <c r="F957" s="68" t="s">
        <v>5118</v>
      </c>
      <c r="G957" s="120" t="s">
        <v>4521</v>
      </c>
      <c r="H957" s="83"/>
      <c r="I957" s="29" t="str">
        <f>CONCATENATE(บันทึกนำเข้าDrawing[[#This Row],[Part No]],"+",บันทึกนำเข้าDrawing[[#This Row],[Drawing No]])</f>
        <v>2B69M321-02+DR-TW-2B69M321-02-00</v>
      </c>
    </row>
    <row r="958" spans="1:9">
      <c r="B958" s="81">
        <v>45210</v>
      </c>
      <c r="C958" s="72" t="s">
        <v>5825</v>
      </c>
      <c r="D958" s="33" t="s">
        <v>5827</v>
      </c>
      <c r="E958" s="69" t="str">
        <f>RIGHT(บันทึกนำเข้าDrawing[[#This Row],[Drawing No]],1)</f>
        <v>0</v>
      </c>
      <c r="F958" s="68" t="s">
        <v>5119</v>
      </c>
      <c r="G958" s="120" t="s">
        <v>4521</v>
      </c>
      <c r="H958" s="83"/>
      <c r="I958" s="29" t="str">
        <f>CONCATENATE(บันทึกนำเข้าDrawing[[#This Row],[Part No]],"+",บันทึกนำเข้าDrawing[[#This Row],[Drawing No]])</f>
        <v>2B69M332-02+DR-TW-2B69M321-02-00</v>
      </c>
    </row>
    <row r="959" spans="1:9">
      <c r="B959" s="81">
        <v>45210</v>
      </c>
      <c r="C959" s="72" t="s">
        <v>5828</v>
      </c>
      <c r="D959" s="33" t="s">
        <v>5829</v>
      </c>
      <c r="E959" s="69" t="str">
        <f>RIGHT(บันทึกนำเข้าDrawing[[#This Row],[Drawing No]],1)</f>
        <v>0</v>
      </c>
      <c r="F959" s="68" t="s">
        <v>5830</v>
      </c>
      <c r="G959" s="120" t="s">
        <v>4521</v>
      </c>
      <c r="H959" s="83"/>
      <c r="I959" s="29" t="str">
        <f>CONCATENATE(บันทึกนำเข้าDrawing[[#This Row],[Part No]],"+",บันทึกนำเข้าDrawing[[#This Row],[Drawing No]])</f>
        <v>2B69M322-02+DR-TW-2B69M322-02-00</v>
      </c>
    </row>
    <row r="960" spans="1:9">
      <c r="B960" s="81"/>
      <c r="C960" s="82" t="s">
        <v>5831</v>
      </c>
      <c r="D960" s="33" t="s">
        <v>5832</v>
      </c>
      <c r="E960" s="69" t="str">
        <f>RIGHT(บันทึกนำเข้าDrawing[[#This Row],[Drawing No]],1)</f>
        <v>0</v>
      </c>
      <c r="F960" s="68" t="s">
        <v>5835</v>
      </c>
      <c r="G960" s="120" t="s">
        <v>4029</v>
      </c>
      <c r="H960" s="83"/>
      <c r="I960" s="29" t="str">
        <f>CONCATENATE(บันทึกนำเข้าDrawing[[#This Row],[Part No]],"+",บันทึกนำเข้าDrawing[[#This Row],[Drawing No]])</f>
        <v>2B69M328-03+DR-TW-2B69M328-03-00</v>
      </c>
    </row>
    <row r="961" spans="2:9">
      <c r="B961" s="81"/>
      <c r="C961" s="82" t="s">
        <v>5831</v>
      </c>
      <c r="D961" s="33" t="s">
        <v>5833</v>
      </c>
      <c r="E961" s="69" t="str">
        <f>RIGHT(บันทึกนำเข้าDrawing[[#This Row],[Drawing No]],1)</f>
        <v>0</v>
      </c>
      <c r="F961" s="68" t="s">
        <v>5836</v>
      </c>
      <c r="G961" s="120" t="s">
        <v>4029</v>
      </c>
      <c r="H961" s="83"/>
      <c r="I961" s="29" t="str">
        <f>CONCATENATE(บันทึกนำเข้าDrawing[[#This Row],[Part No]],"+",บันทึกนำเข้าDrawing[[#This Row],[Drawing No]])</f>
        <v>2B69M359-03+DR-TW-2B69M328-03-00</v>
      </c>
    </row>
    <row r="962" spans="2:9">
      <c r="B962" s="81"/>
      <c r="C962" s="82" t="s">
        <v>5831</v>
      </c>
      <c r="D962" s="33" t="s">
        <v>5834</v>
      </c>
      <c r="E962" s="69" t="str">
        <f>RIGHT(บันทึกนำเข้าDrawing[[#This Row],[Drawing No]],1)</f>
        <v>0</v>
      </c>
      <c r="F962" s="68" t="s">
        <v>5837</v>
      </c>
      <c r="G962" s="120" t="s">
        <v>4029</v>
      </c>
      <c r="H962" s="83"/>
      <c r="I962" s="29" t="str">
        <f>CONCATENATE(บันทึกนำเข้าDrawing[[#This Row],[Part No]],"+",บันทึกนำเข้าDrawing[[#This Row],[Drawing No]])</f>
        <v>2B69M360-03+DR-TW-2B69M328-03-00</v>
      </c>
    </row>
    <row r="963" spans="2:9">
      <c r="B963" s="81"/>
      <c r="C963" s="82" t="s">
        <v>5831</v>
      </c>
      <c r="D963" s="33" t="s">
        <v>5838</v>
      </c>
      <c r="E963" s="69" t="str">
        <f>RIGHT(บันทึกนำเข้าDrawing[[#This Row],[Drawing No]],1)</f>
        <v>0</v>
      </c>
      <c r="F963" s="68" t="s">
        <v>5839</v>
      </c>
      <c r="G963" s="120" t="s">
        <v>4029</v>
      </c>
      <c r="H963" s="83"/>
      <c r="I963" s="29" t="str">
        <f>CONCATENATE(บันทึกนำเข้าDrawing[[#This Row],[Part No]],"+",บันทึกนำเข้าDrawing[[#This Row],[Drawing No]])</f>
        <v>2B69M422-00+DR-TW-2B69M328-03-00</v>
      </c>
    </row>
    <row r="964" spans="2:9">
      <c r="B964" s="81"/>
      <c r="C964" s="82" t="s">
        <v>5831</v>
      </c>
      <c r="D964" s="33" t="s">
        <v>5840</v>
      </c>
      <c r="E964" s="69" t="str">
        <f>RIGHT(บันทึกนำเข้าDrawing[[#This Row],[Drawing No]],1)</f>
        <v>0</v>
      </c>
      <c r="F964" s="68" t="s">
        <v>5841</v>
      </c>
      <c r="G964" s="120" t="s">
        <v>4029</v>
      </c>
      <c r="H964" s="83"/>
      <c r="I964" s="29" t="str">
        <f>CONCATENATE(บันทึกนำเข้าDrawing[[#This Row],[Part No]],"+",บันทึกนำเข้าDrawing[[#This Row],[Drawing No]])</f>
        <v>2B69M457-02+DR-TW-2B69M328-03-00</v>
      </c>
    </row>
    <row r="965" spans="2:9">
      <c r="B965" s="81"/>
      <c r="C965" s="82" t="s">
        <v>5845</v>
      </c>
      <c r="D965" s="33" t="s">
        <v>5846</v>
      </c>
      <c r="E965" s="69" t="str">
        <f>RIGHT(บันทึกนำเข้าDrawing[[#This Row],[Drawing No]],1)</f>
        <v>0</v>
      </c>
      <c r="F965" s="84" t="s">
        <v>5847</v>
      </c>
      <c r="G965" s="120" t="s">
        <v>4521</v>
      </c>
      <c r="H965" s="83"/>
      <c r="I965" s="29" t="str">
        <f>CONCATENATE(บันทึกนำเข้าDrawing[[#This Row],[Part No]],"+",บันทึกนำเข้าDrawing[[#This Row],[Drawing No]])</f>
        <v>2B69M481-01+DR-TW-2B69M481-01-00</v>
      </c>
    </row>
    <row r="966" spans="2:9">
      <c r="B966" s="81"/>
      <c r="C966" s="82" t="s">
        <v>5845</v>
      </c>
      <c r="D966" s="33" t="s">
        <v>5848</v>
      </c>
      <c r="E966" s="69" t="str">
        <f>RIGHT(บันทึกนำเข้าDrawing[[#This Row],[Drawing No]],1)</f>
        <v>0</v>
      </c>
      <c r="F966" s="84" t="s">
        <v>5849</v>
      </c>
      <c r="G966" s="120" t="s">
        <v>4521</v>
      </c>
      <c r="H966" s="83"/>
      <c r="I966" s="29" t="str">
        <f>CONCATENATE(บันทึกนำเข้าDrawing[[#This Row],[Part No]],"+",บันทึกนำเข้าDrawing[[#This Row],[Drawing No]])</f>
        <v>2B69M482-01+DR-TW-2B69M481-01-00</v>
      </c>
    </row>
    <row r="967" spans="2:9">
      <c r="B967" s="81">
        <v>45211</v>
      </c>
      <c r="C967" s="72" t="s">
        <v>5850</v>
      </c>
      <c r="D967" s="33" t="s">
        <v>5851</v>
      </c>
      <c r="E967" s="69" t="str">
        <f>RIGHT(บันทึกนำเข้าDrawing[[#This Row],[Drawing No]],1)</f>
        <v>0</v>
      </c>
      <c r="F967" s="84" t="s">
        <v>5852</v>
      </c>
      <c r="G967" s="120" t="s">
        <v>4521</v>
      </c>
      <c r="H967" s="83"/>
      <c r="I967" s="29" t="str">
        <f>CONCATENATE(บันทึกนำเข้าDrawing[[#This Row],[Part No]],"+",บันทึกนำเข้าDrawing[[#This Row],[Drawing No]])</f>
        <v>2B69M330-02+DR-TW-2B69M330-02-00</v>
      </c>
    </row>
    <row r="968" spans="2:9">
      <c r="B968" s="81">
        <v>45211</v>
      </c>
      <c r="C968" s="72" t="s">
        <v>5850</v>
      </c>
      <c r="D968" s="33" t="s">
        <v>5853</v>
      </c>
      <c r="E968" s="69" t="str">
        <f>RIGHT(บันทึกนำเข้าDrawing[[#This Row],[Drawing No]],1)</f>
        <v>0</v>
      </c>
      <c r="F968" s="84" t="s">
        <v>5855</v>
      </c>
      <c r="G968" s="120" t="s">
        <v>4521</v>
      </c>
      <c r="H968" s="83"/>
      <c r="I968" s="29" t="str">
        <f>CONCATENATE(บันทึกนำเข้าDrawing[[#This Row],[Part No]],"+",บันทึกนำเข้าDrawing[[#This Row],[Drawing No]])</f>
        <v>2B69M361-01+DR-TW-2B69M330-02-00</v>
      </c>
    </row>
    <row r="969" spans="2:9">
      <c r="B969" s="81">
        <v>45211</v>
      </c>
      <c r="C969" s="72" t="s">
        <v>5850</v>
      </c>
      <c r="D969" s="33" t="s">
        <v>5854</v>
      </c>
      <c r="E969" s="69" t="str">
        <f>RIGHT(บันทึกนำเข้าDrawing[[#This Row],[Drawing No]],1)</f>
        <v>0</v>
      </c>
      <c r="F969" s="84" t="s">
        <v>5856</v>
      </c>
      <c r="G969" s="120" t="s">
        <v>4521</v>
      </c>
      <c r="H969" s="83"/>
      <c r="I969" s="29" t="str">
        <f>CONCATENATE(บันทึกนำเข้าDrawing[[#This Row],[Part No]],"+",บันทึกนำเข้าDrawing[[#This Row],[Drawing No]])</f>
        <v>2B69M362-01+DR-TW-2B69M330-02-00</v>
      </c>
    </row>
    <row r="970" spans="2:9">
      <c r="B970" s="81">
        <v>45211</v>
      </c>
      <c r="C970" s="72" t="s">
        <v>5850</v>
      </c>
      <c r="D970" s="33" t="s">
        <v>5857</v>
      </c>
      <c r="E970" s="69" t="str">
        <f>RIGHT(บันทึกนำเข้าDrawing[[#This Row],[Drawing No]],1)</f>
        <v>0</v>
      </c>
      <c r="F970" s="84" t="s">
        <v>5858</v>
      </c>
      <c r="G970" s="120" t="s">
        <v>4521</v>
      </c>
      <c r="H970" s="83"/>
      <c r="I970" s="29" t="str">
        <f>CONCATENATE(บันทึกนำเข้าDrawing[[#This Row],[Part No]],"+",บันทึกนำเข้าDrawing[[#This Row],[Drawing No]])</f>
        <v>2B69M458-01+DR-TW-2B69M330-02-00</v>
      </c>
    </row>
    <row r="971" spans="2:9">
      <c r="B971" s="81">
        <v>45211</v>
      </c>
      <c r="C971" s="72" t="s">
        <v>5850</v>
      </c>
      <c r="D971" s="33" t="s">
        <v>5859</v>
      </c>
      <c r="E971" s="69" t="str">
        <f>RIGHT(บันทึกนำเข้าDrawing[[#This Row],[Drawing No]],1)</f>
        <v>0</v>
      </c>
      <c r="F971" s="84" t="s">
        <v>5860</v>
      </c>
      <c r="G971" s="120" t="s">
        <v>4521</v>
      </c>
      <c r="H971" s="83"/>
      <c r="I971" s="29" t="str">
        <f>CONCATENATE(บันทึกนำเข้าDrawing[[#This Row],[Part No]],"+",บันทึกนำเข้าDrawing[[#This Row],[Drawing No]])</f>
        <v>2B69M459-01+DR-TW-2B69M330-02-00</v>
      </c>
    </row>
    <row r="972" spans="2:9">
      <c r="B972" s="81">
        <v>45211</v>
      </c>
      <c r="C972" s="72" t="s">
        <v>5850</v>
      </c>
      <c r="D972" s="33" t="s">
        <v>5861</v>
      </c>
      <c r="E972" s="69" t="str">
        <f>RIGHT(บันทึกนำเข้าDrawing[[#This Row],[Drawing No]],1)</f>
        <v>0</v>
      </c>
      <c r="F972" s="84" t="s">
        <v>5862</v>
      </c>
      <c r="G972" s="120" t="s">
        <v>4521</v>
      </c>
      <c r="H972" s="83"/>
      <c r="I972" s="29" t="str">
        <f>CONCATENATE(บันทึกนำเข้าDrawing[[#This Row],[Part No]],"+",บันทึกนำเข้าDrawing[[#This Row],[Drawing No]])</f>
        <v>2B69M466-01+DR-TW-2B69M330-02-00</v>
      </c>
    </row>
    <row r="973" spans="2:9">
      <c r="B973" s="81">
        <v>45211</v>
      </c>
      <c r="C973" s="72" t="s">
        <v>5850</v>
      </c>
      <c r="D973" s="33" t="s">
        <v>5863</v>
      </c>
      <c r="E973" s="69" t="str">
        <f>RIGHT(บันทึกนำเข้าDrawing[[#This Row],[Drawing No]],1)</f>
        <v>0</v>
      </c>
      <c r="F973" s="84" t="s">
        <v>5862</v>
      </c>
      <c r="G973" s="120" t="s">
        <v>4521</v>
      </c>
      <c r="H973" s="83"/>
      <c r="I973" s="29" t="str">
        <f>CONCATENATE(บันทึกนำเข้าDrawing[[#This Row],[Part No]],"+",บันทึกนำเข้าDrawing[[#This Row],[Drawing No]])</f>
        <v>2B69M467-01+DR-TW-2B69M330-02-00</v>
      </c>
    </row>
    <row r="974" spans="2:9">
      <c r="B974" s="81">
        <v>45240</v>
      </c>
      <c r="C974" s="82" t="s">
        <v>5869</v>
      </c>
      <c r="D974" s="33" t="s">
        <v>5870</v>
      </c>
      <c r="E974" s="69" t="str">
        <f>RIGHT(บันทึกนำเข้าDrawing[[#This Row],[Drawing No]],1)</f>
        <v>0</v>
      </c>
      <c r="F974" s="84" t="s">
        <v>5871</v>
      </c>
      <c r="G974" s="120" t="s">
        <v>4521</v>
      </c>
      <c r="H974" s="83"/>
      <c r="I974" s="29" t="str">
        <f>CONCATENATE(บันทึกนำเข้าDrawing[[#This Row],[Part No]],"+",บันทึกนำเข้าDrawing[[#This Row],[Drawing No]])</f>
        <v>2B69M365-01+DR-TW-2B69M365-01-00</v>
      </c>
    </row>
    <row r="975" spans="2:9">
      <c r="B975" s="81">
        <v>45210</v>
      </c>
      <c r="C975" s="72" t="s">
        <v>5872</v>
      </c>
      <c r="D975" s="33" t="s">
        <v>5873</v>
      </c>
      <c r="E975" s="69" t="str">
        <f>RIGHT(บันทึกนำเข้าDrawing[[#This Row],[Drawing No]],1)</f>
        <v>0</v>
      </c>
      <c r="F975" s="68" t="s">
        <v>5874</v>
      </c>
      <c r="G975" s="120" t="s">
        <v>4521</v>
      </c>
      <c r="H975" s="83"/>
      <c r="I975" s="29" t="str">
        <f>CONCATENATE(บันทึกนำเข้าDrawing[[#This Row],[Part No]],"+",บันทึกนำเข้าDrawing[[#This Row],[Drawing No]])</f>
        <v>2B69M456-01+DR-TW-2B69M456-01-00</v>
      </c>
    </row>
    <row r="976" spans="2:9">
      <c r="B976" s="81"/>
      <c r="C976" s="82" t="s">
        <v>5878</v>
      </c>
      <c r="D976" s="33" t="s">
        <v>5832</v>
      </c>
      <c r="E976" s="69" t="str">
        <f>RIGHT(บันทึกนำเข้าDrawing[[#This Row],[Drawing No]],1)</f>
        <v>1</v>
      </c>
      <c r="F976" s="68" t="s">
        <v>5835</v>
      </c>
      <c r="G976" s="120" t="s">
        <v>4521</v>
      </c>
      <c r="H976" s="83"/>
      <c r="I976" s="29" t="str">
        <f>CONCATENATE(บันทึกนำเข้าDrawing[[#This Row],[Part No]],"+",บันทึกนำเข้าDrawing[[#This Row],[Drawing No]])</f>
        <v>2B69M328-03+DR-TW-2B69M328-03-01</v>
      </c>
    </row>
    <row r="977" spans="2:9">
      <c r="B977" s="81"/>
      <c r="C977" s="82" t="s">
        <v>5878</v>
      </c>
      <c r="D977" s="33" t="s">
        <v>5833</v>
      </c>
      <c r="E977" s="69" t="str">
        <f>RIGHT(บันทึกนำเข้าDrawing[[#This Row],[Drawing No]],1)</f>
        <v>1</v>
      </c>
      <c r="F977" s="68" t="s">
        <v>5836</v>
      </c>
      <c r="G977" s="120" t="s">
        <v>4521</v>
      </c>
      <c r="H977" s="83"/>
      <c r="I977" s="29" t="str">
        <f>CONCATENATE(บันทึกนำเข้าDrawing[[#This Row],[Part No]],"+",บันทึกนำเข้าDrawing[[#This Row],[Drawing No]])</f>
        <v>2B69M359-03+DR-TW-2B69M328-03-01</v>
      </c>
    </row>
    <row r="978" spans="2:9">
      <c r="B978" s="81"/>
      <c r="C978" s="82" t="s">
        <v>5878</v>
      </c>
      <c r="D978" s="33" t="s">
        <v>5834</v>
      </c>
      <c r="E978" s="69" t="str">
        <f>RIGHT(บันทึกนำเข้าDrawing[[#This Row],[Drawing No]],1)</f>
        <v>1</v>
      </c>
      <c r="F978" s="68" t="s">
        <v>5837</v>
      </c>
      <c r="G978" s="120" t="s">
        <v>4521</v>
      </c>
      <c r="H978" s="83"/>
      <c r="I978" s="29" t="str">
        <f>CONCATENATE(บันทึกนำเข้าDrawing[[#This Row],[Part No]],"+",บันทึกนำเข้าDrawing[[#This Row],[Drawing No]])</f>
        <v>2B69M360-03+DR-TW-2B69M328-03-01</v>
      </c>
    </row>
    <row r="979" spans="2:9">
      <c r="B979" s="81"/>
      <c r="C979" s="82" t="s">
        <v>5878</v>
      </c>
      <c r="D979" s="33" t="s">
        <v>5838</v>
      </c>
      <c r="E979" s="69" t="str">
        <f>RIGHT(บันทึกนำเข้าDrawing[[#This Row],[Drawing No]],1)</f>
        <v>1</v>
      </c>
      <c r="F979" s="68" t="s">
        <v>5839</v>
      </c>
      <c r="G979" s="120" t="s">
        <v>4521</v>
      </c>
      <c r="H979" s="83"/>
      <c r="I979" s="29" t="str">
        <f>CONCATENATE(บันทึกนำเข้าDrawing[[#This Row],[Part No]],"+",บันทึกนำเข้าDrawing[[#This Row],[Drawing No]])</f>
        <v>2B69M422-00+DR-TW-2B69M328-03-01</v>
      </c>
    </row>
    <row r="980" spans="2:9">
      <c r="B980" s="81"/>
      <c r="C980" s="82" t="s">
        <v>5878</v>
      </c>
      <c r="D980" s="33" t="s">
        <v>5840</v>
      </c>
      <c r="E980" s="69" t="str">
        <f>RIGHT(บันทึกนำเข้าDrawing[[#This Row],[Drawing No]],1)</f>
        <v>1</v>
      </c>
      <c r="F980" s="68" t="s">
        <v>5841</v>
      </c>
      <c r="G980" s="120" t="s">
        <v>4521</v>
      </c>
      <c r="H980" s="83"/>
      <c r="I980" s="29" t="str">
        <f>CONCATENATE(บันทึกนำเข้าDrawing[[#This Row],[Part No]],"+",บันทึกนำเข้าDrawing[[#This Row],[Drawing No]])</f>
        <v>2B69M457-02+DR-TW-2B69M328-03-01</v>
      </c>
    </row>
    <row r="981" spans="2:9">
      <c r="B981" s="81">
        <v>45238</v>
      </c>
      <c r="C981" s="82" t="s">
        <v>5882</v>
      </c>
      <c r="D981" s="33" t="s">
        <v>5883</v>
      </c>
      <c r="E981" s="69" t="str">
        <f>RIGHT(บันทึกนำเข้าDrawing[[#This Row],[Drawing No]],1)</f>
        <v>1</v>
      </c>
      <c r="F981" s="84" t="s">
        <v>5884</v>
      </c>
      <c r="G981" s="120" t="s">
        <v>4521</v>
      </c>
      <c r="H981" s="83"/>
      <c r="I981" s="29" t="str">
        <f>CONCATENATE(บันทึกนำเข้าDrawing[[#This Row],[Part No]],"+",บันทึกนำเข้าDrawing[[#This Row],[Drawing No]])</f>
        <v>2B69M384-00+DR-TW-2B69M384-00-01</v>
      </c>
    </row>
    <row r="982" spans="2:9">
      <c r="B982" s="81">
        <v>45238</v>
      </c>
      <c r="C982" s="82" t="s">
        <v>5885</v>
      </c>
      <c r="D982" s="33" t="s">
        <v>5886</v>
      </c>
      <c r="E982" s="69" t="str">
        <f>RIGHT(บันทึกนำเข้าDrawing[[#This Row],[Drawing No]],1)</f>
        <v>0</v>
      </c>
      <c r="F982" s="84" t="s">
        <v>5887</v>
      </c>
      <c r="G982" s="120" t="s">
        <v>3772</v>
      </c>
      <c r="H982" s="83"/>
      <c r="I982" s="29" t="str">
        <f>CONCATENATE(บันทึกนำเข้าDrawing[[#This Row],[Part No]],"+",บันทึกนำเข้าDrawing[[#This Row],[Drawing No]])</f>
        <v>2B91-300-00-00+DR-TW-2B91-300-00-00</v>
      </c>
    </row>
    <row r="983" spans="2:9">
      <c r="B983" s="81">
        <v>45244</v>
      </c>
      <c r="C983" s="72" t="s">
        <v>5893</v>
      </c>
      <c r="D983" s="33" t="s">
        <v>5894</v>
      </c>
      <c r="E983" s="69" t="str">
        <f>RIGHT(บันทึกนำเข้าDrawing[[#This Row],[Drawing No]],1)</f>
        <v>0</v>
      </c>
      <c r="F983" s="73" t="s">
        <v>5890</v>
      </c>
      <c r="G983" s="120" t="s">
        <v>4029</v>
      </c>
      <c r="H983" s="83"/>
      <c r="I983" s="29" t="str">
        <f>CONCATENATE(บันทึกนำเข้าDrawing[[#This Row],[Part No]],"+",บันทึกนำเข้าDrawing[[#This Row],[Drawing No]])</f>
        <v>2B51-215-02+DR-TW-2B51-215-02-00</v>
      </c>
    </row>
    <row r="984" spans="2:9">
      <c r="B984" s="81">
        <v>45244</v>
      </c>
      <c r="C984" s="72" t="s">
        <v>5893</v>
      </c>
      <c r="D984" s="33" t="s">
        <v>5895</v>
      </c>
      <c r="E984" s="69" t="str">
        <f>RIGHT(บันทึกนำเข้าDrawing[[#This Row],[Drawing No]],1)</f>
        <v>0</v>
      </c>
      <c r="F984" s="68" t="s">
        <v>5891</v>
      </c>
      <c r="G984" s="120" t="s">
        <v>4029</v>
      </c>
      <c r="H984" s="83"/>
      <c r="I984" s="29" t="str">
        <f>CONCATENATE(บันทึกนำเข้าDrawing[[#This Row],[Part No]],"+",บันทึกนำเข้าDrawing[[#This Row],[Drawing No]])</f>
        <v>2B51-260-02+DR-TW-2B51-215-02-00</v>
      </c>
    </row>
    <row r="985" spans="2:9">
      <c r="B985" s="81">
        <v>45244</v>
      </c>
      <c r="C985" s="72" t="s">
        <v>5893</v>
      </c>
      <c r="D985" s="33" t="s">
        <v>5896</v>
      </c>
      <c r="E985" s="69" t="str">
        <f>RIGHT(บันทึกนำเข้าDrawing[[#This Row],[Drawing No]],1)</f>
        <v>0</v>
      </c>
      <c r="F985" s="68" t="s">
        <v>5892</v>
      </c>
      <c r="G985" s="120" t="s">
        <v>4029</v>
      </c>
      <c r="H985" s="83"/>
      <c r="I985" s="29" t="str">
        <f>CONCATENATE(บันทึกนำเข้าDrawing[[#This Row],[Part No]],"+",บันทึกนำเข้าDrawing[[#This Row],[Drawing No]])</f>
        <v>2B51-300-01+DR-TW-2B51-215-02-00</v>
      </c>
    </row>
    <row r="986" spans="2:9">
      <c r="B986" s="81">
        <v>45244</v>
      </c>
      <c r="C986" s="72" t="s">
        <v>5893</v>
      </c>
      <c r="D986" s="33" t="s">
        <v>5897</v>
      </c>
      <c r="E986" s="69" t="str">
        <f>RIGHT(บันทึกนำเข้าDrawing[[#This Row],[Drawing No]],1)</f>
        <v>0</v>
      </c>
      <c r="F986" s="68" t="s">
        <v>3866</v>
      </c>
      <c r="G986" s="120" t="s">
        <v>4029</v>
      </c>
      <c r="H986" s="83"/>
      <c r="I986" s="29" t="str">
        <f>CONCATENATE(บันทึกนำเข้าDrawing[[#This Row],[Part No]],"+",บันทึกนำเข้าDrawing[[#This Row],[Drawing No]])</f>
        <v>2B51-350-01+DR-TW-2B51-215-02-00</v>
      </c>
    </row>
    <row r="987" spans="2:9">
      <c r="B987" s="81">
        <v>45246</v>
      </c>
      <c r="C987" s="82" t="s">
        <v>6122</v>
      </c>
      <c r="D987" s="33" t="s">
        <v>5898</v>
      </c>
      <c r="E987" s="69" t="str">
        <f>RIGHT(บันทึกนำเข้าDrawing[[#This Row],[Drawing No]],1)</f>
        <v>0</v>
      </c>
      <c r="F987" s="84" t="s">
        <v>5899</v>
      </c>
      <c r="G987" s="120" t="s">
        <v>4027</v>
      </c>
      <c r="H987" s="83">
        <v>45309</v>
      </c>
      <c r="I987" s="29" t="str">
        <f>CONCATENATE(บันทึกนำเข้าDrawing[[#This Row],[Part No]],"+",บันทึกนำเข้าDrawing[[#This Row],[Drawing No]])</f>
        <v>2B19G135-00+DR-TW-2B19G135-00-00</v>
      </c>
    </row>
    <row r="988" spans="2:9">
      <c r="B988" s="85">
        <v>45246</v>
      </c>
      <c r="C988" s="82" t="s">
        <v>6122</v>
      </c>
      <c r="D988" s="33" t="s">
        <v>5900</v>
      </c>
      <c r="E988" s="69" t="str">
        <f>RIGHT(บันทึกนำเข้าDrawing[[#This Row],[Drawing No]],1)</f>
        <v>0</v>
      </c>
      <c r="F988" s="84" t="s">
        <v>5902</v>
      </c>
      <c r="G988" s="120" t="s">
        <v>4027</v>
      </c>
      <c r="H988" s="80">
        <v>45294</v>
      </c>
      <c r="I988" s="29" t="str">
        <f>CONCATENATE(บันทึกนำเข้าDrawing[[#This Row],[Part No]],"+",บันทึกนำเข้าDrawing[[#This Row],[Drawing No]])</f>
        <v>2B19G150-00+DR-TW-2B19G135-00-00</v>
      </c>
    </row>
    <row r="989" spans="2:9">
      <c r="B989" s="85">
        <v>45246</v>
      </c>
      <c r="C989" s="82" t="s">
        <v>6122</v>
      </c>
      <c r="D989" s="33" t="s">
        <v>5901</v>
      </c>
      <c r="E989" s="69" t="str">
        <f>RIGHT(บันทึกนำเข้าDrawing[[#This Row],[Drawing No]],1)</f>
        <v>0</v>
      </c>
      <c r="F989" s="84" t="s">
        <v>5910</v>
      </c>
      <c r="G989" s="120" t="s">
        <v>4027</v>
      </c>
      <c r="H989" s="80">
        <v>45294</v>
      </c>
      <c r="I989" s="29" t="str">
        <f>CONCATENATE(บันทึกนำเข้าDrawing[[#This Row],[Part No]],"+",บันทึกนำเข้าDrawing[[#This Row],[Drawing No]])</f>
        <v>2B19G155-00+DR-TW-2B19G135-00-00</v>
      </c>
    </row>
    <row r="990" spans="2:9">
      <c r="B990" s="85">
        <v>45246</v>
      </c>
      <c r="C990" s="82" t="s">
        <v>6122</v>
      </c>
      <c r="D990" s="33" t="s">
        <v>5903</v>
      </c>
      <c r="E990" s="69" t="str">
        <f>RIGHT(บันทึกนำเข้าDrawing[[#This Row],[Drawing No]],1)</f>
        <v>0</v>
      </c>
      <c r="F990" s="84" t="s">
        <v>5911</v>
      </c>
      <c r="G990" s="120" t="s">
        <v>4027</v>
      </c>
      <c r="H990" s="80">
        <v>45309</v>
      </c>
      <c r="I990" s="29" t="str">
        <f>CONCATENATE(บันทึกนำเข้าDrawing[[#This Row],[Part No]],"+",บันทึกนำเข้าDrawing[[#This Row],[Drawing No]])</f>
        <v>2B19G160-00+DR-TW-2B19G135-00-00</v>
      </c>
    </row>
    <row r="991" spans="2:9">
      <c r="B991" s="85">
        <v>45246</v>
      </c>
      <c r="C991" s="82" t="s">
        <v>6122</v>
      </c>
      <c r="D991" s="33" t="s">
        <v>5904</v>
      </c>
      <c r="E991" s="69" t="str">
        <f>RIGHT(บันทึกนำเข้าDrawing[[#This Row],[Drawing No]],1)</f>
        <v>0</v>
      </c>
      <c r="F991" s="84" t="s">
        <v>5912</v>
      </c>
      <c r="G991" s="120" t="s">
        <v>4027</v>
      </c>
      <c r="H991" s="80">
        <v>45294</v>
      </c>
      <c r="I991" s="29" t="str">
        <f>CONCATENATE(บันทึกนำเข้าDrawing[[#This Row],[Part No]],"+",บันทึกนำเข้าDrawing[[#This Row],[Drawing No]])</f>
        <v>2B19G165-00+DR-TW-2B19G135-00-00</v>
      </c>
    </row>
    <row r="992" spans="2:9">
      <c r="B992" s="85">
        <v>45246</v>
      </c>
      <c r="C992" s="82" t="s">
        <v>6122</v>
      </c>
      <c r="D992" s="33" t="s">
        <v>5905</v>
      </c>
      <c r="E992" s="69" t="str">
        <f>RIGHT(บันทึกนำเข้าDrawing[[#This Row],[Drawing No]],1)</f>
        <v>0</v>
      </c>
      <c r="F992" s="84" t="s">
        <v>5913</v>
      </c>
      <c r="G992" s="120" t="s">
        <v>4027</v>
      </c>
      <c r="H992" s="80">
        <v>45294</v>
      </c>
      <c r="I992" s="29" t="str">
        <f>CONCATENATE(บันทึกนำเข้าDrawing[[#This Row],[Part No]],"+",บันทึกนำเข้าDrawing[[#This Row],[Drawing No]])</f>
        <v>2B19G170-00+DR-TW-2B19G135-00-00</v>
      </c>
    </row>
    <row r="993" spans="2:9">
      <c r="B993" s="81">
        <v>45246</v>
      </c>
      <c r="C993" s="82" t="s">
        <v>6122</v>
      </c>
      <c r="D993" s="33" t="s">
        <v>5906</v>
      </c>
      <c r="E993" s="69" t="str">
        <f>RIGHT(บันทึกนำเข้าDrawing[[#This Row],[Drawing No]],1)</f>
        <v>0</v>
      </c>
      <c r="F993" s="84" t="s">
        <v>5914</v>
      </c>
      <c r="G993" s="120" t="s">
        <v>4027</v>
      </c>
      <c r="H993" s="83">
        <v>45294</v>
      </c>
      <c r="I993" s="29" t="str">
        <f>CONCATENATE(บันทึกนำเข้าDrawing[[#This Row],[Part No]],"+",บันทึกนำเข้าDrawing[[#This Row],[Drawing No]])</f>
        <v>2B19G175-00+DR-TW-2B19G135-00-00</v>
      </c>
    </row>
    <row r="994" spans="2:9">
      <c r="B994" s="81">
        <v>45246</v>
      </c>
      <c r="C994" s="82" t="s">
        <v>6122</v>
      </c>
      <c r="D994" s="33" t="s">
        <v>5907</v>
      </c>
      <c r="E994" s="69" t="str">
        <f>RIGHT(บันทึกนำเข้าDrawing[[#This Row],[Drawing No]],1)</f>
        <v>0</v>
      </c>
      <c r="F994" s="84" t="s">
        <v>5915</v>
      </c>
      <c r="G994" s="120" t="s">
        <v>4027</v>
      </c>
      <c r="H994" s="83">
        <v>45294</v>
      </c>
      <c r="I994" s="29" t="str">
        <f>CONCATENATE(บันทึกนำเข้าDrawing[[#This Row],[Part No]],"+",บันทึกนำเข้าDrawing[[#This Row],[Drawing No]])</f>
        <v>2B19G185-00+DR-TW-2B19G135-00-00</v>
      </c>
    </row>
    <row r="995" spans="2:9">
      <c r="B995" s="81">
        <v>45246</v>
      </c>
      <c r="C995" s="82" t="s">
        <v>6122</v>
      </c>
      <c r="D995" s="33" t="s">
        <v>5908</v>
      </c>
      <c r="E995" s="69" t="str">
        <f>RIGHT(บันทึกนำเข้าDrawing[[#This Row],[Drawing No]],1)</f>
        <v>0</v>
      </c>
      <c r="F995" s="84" t="s">
        <v>5916</v>
      </c>
      <c r="G995" s="120" t="s">
        <v>4027</v>
      </c>
      <c r="H995" s="83">
        <v>45294</v>
      </c>
      <c r="I995" s="29" t="str">
        <f>CONCATENATE(บันทึกนำเข้าDrawing[[#This Row],[Part No]],"+",บันทึกนำเข้าDrawing[[#This Row],[Drawing No]])</f>
        <v>2B19G205-00+DR-TW-2B19G135-00-00</v>
      </c>
    </row>
    <row r="996" spans="2:9">
      <c r="B996" s="81">
        <v>45246</v>
      </c>
      <c r="C996" s="82" t="s">
        <v>6122</v>
      </c>
      <c r="D996" s="33" t="s">
        <v>5909</v>
      </c>
      <c r="E996" s="69" t="str">
        <f>RIGHT(บันทึกนำเข้าDrawing[[#This Row],[Drawing No]],1)</f>
        <v>0</v>
      </c>
      <c r="F996" s="84" t="s">
        <v>5917</v>
      </c>
      <c r="G996" s="120" t="s">
        <v>4027</v>
      </c>
      <c r="H996" s="83">
        <v>45294</v>
      </c>
      <c r="I996" s="29" t="str">
        <f>CONCATENATE(บันทึกนำเข้าDrawing[[#This Row],[Part No]],"+",บันทึกนำเข้าDrawing[[#This Row],[Drawing No]])</f>
        <v>2B19G240-00+DR-TW-2B19G135-00-00</v>
      </c>
    </row>
    <row r="997" spans="2:9">
      <c r="B997" s="81">
        <v>45246</v>
      </c>
      <c r="C997" s="82" t="s">
        <v>5928</v>
      </c>
      <c r="D997" s="33" t="s">
        <v>5929</v>
      </c>
      <c r="E997" s="69" t="str">
        <f>RIGHT(บันทึกนำเข้าDrawing[[#This Row],[Drawing No]],1)</f>
        <v>0</v>
      </c>
      <c r="F997" s="84" t="s">
        <v>5930</v>
      </c>
      <c r="G997" s="120" t="s">
        <v>4027</v>
      </c>
      <c r="H997" s="83">
        <v>45266</v>
      </c>
      <c r="I997" s="29" t="str">
        <f>CONCATENATE(บันทึกนำเข้าDrawing[[#This Row],[Part No]],"+",บันทึกนำเข้าDrawing[[#This Row],[Drawing No]])</f>
        <v>2B26-145-00+DR-TW-2B26-145-00-00</v>
      </c>
    </row>
    <row r="998" spans="2:9">
      <c r="B998" s="81">
        <v>45246</v>
      </c>
      <c r="C998" s="72" t="s">
        <v>5933</v>
      </c>
      <c r="D998" s="33" t="s">
        <v>5934</v>
      </c>
      <c r="E998" s="69" t="str">
        <f>RIGHT(บันทึกนำเข้าDrawing[[#This Row],[Drawing No]],1)</f>
        <v>0</v>
      </c>
      <c r="F998" s="68" t="s">
        <v>5959</v>
      </c>
      <c r="G998" s="118" t="s">
        <v>4027</v>
      </c>
      <c r="H998" s="80">
        <v>45294</v>
      </c>
      <c r="I998" s="29" t="str">
        <f>CONCATENATE(บันทึกนำเข้าDrawing[[#This Row],[Part No]],"+",บันทึกนำเข้าDrawing[[#This Row],[Drawing No]])</f>
        <v>2B25-331-00+DR-TW-2B25-331-00-00</v>
      </c>
    </row>
    <row r="999" spans="2:9">
      <c r="B999" s="81">
        <v>45246</v>
      </c>
      <c r="C999" s="72" t="s">
        <v>5931</v>
      </c>
      <c r="D999" s="33" t="s">
        <v>5935</v>
      </c>
      <c r="E999" s="69" t="str">
        <f>RIGHT(บันทึกนำเข้าDrawing[[#This Row],[Drawing No]],1)</f>
        <v>0</v>
      </c>
      <c r="F999" s="68" t="s">
        <v>5942</v>
      </c>
      <c r="G999" s="118" t="s">
        <v>4029</v>
      </c>
      <c r="H999" s="80"/>
      <c r="I999" s="29" t="str">
        <f>CONCATENATE(บันทึกนำเข้าDrawing[[#This Row],[Part No]],"+",บันทึกนำเข้าDrawing[[#This Row],[Drawing No]])</f>
        <v>2B40-035-00+DR-TW-2B40-030-00-00</v>
      </c>
    </row>
    <row r="1000" spans="2:9">
      <c r="B1000" s="81">
        <v>45246</v>
      </c>
      <c r="C1000" s="72" t="s">
        <v>5931</v>
      </c>
      <c r="D1000" s="33" t="s">
        <v>5936</v>
      </c>
      <c r="E1000" s="69" t="str">
        <f>RIGHT(บันทึกนำเข้าDrawing[[#This Row],[Drawing No]],1)</f>
        <v>0</v>
      </c>
      <c r="F1000" s="68" t="s">
        <v>5943</v>
      </c>
      <c r="G1000" s="118" t="s">
        <v>4029</v>
      </c>
      <c r="H1000" s="80"/>
      <c r="I1000" s="29" t="str">
        <f>CONCATENATE(บันทึกนำเข้าDrawing[[#This Row],[Part No]],"+",บันทึกนำเข้าDrawing[[#This Row],[Drawing No]])</f>
        <v>2B40-037-00+DR-TW-2B40-030-00-00</v>
      </c>
    </row>
    <row r="1001" spans="2:9">
      <c r="B1001" s="81">
        <v>45246</v>
      </c>
      <c r="C1001" s="72" t="s">
        <v>5931</v>
      </c>
      <c r="D1001" s="33" t="s">
        <v>5937</v>
      </c>
      <c r="E1001" s="69" t="str">
        <f>RIGHT(บันทึกนำเข้าDrawing[[#This Row],[Drawing No]],1)</f>
        <v>0</v>
      </c>
      <c r="F1001" s="68" t="s">
        <v>5945</v>
      </c>
      <c r="G1001" s="118" t="s">
        <v>4029</v>
      </c>
      <c r="H1001" s="80">
        <v>45294</v>
      </c>
      <c r="I1001" s="29" t="str">
        <f>CONCATENATE(บันทึกนำเข้าDrawing[[#This Row],[Part No]],"+",บันทึกนำเข้าDrawing[[#This Row],[Drawing No]])</f>
        <v>2B40-036-00+DR-TW-2B40-030-00-00</v>
      </c>
    </row>
    <row r="1002" spans="2:9">
      <c r="B1002" s="81">
        <v>45246</v>
      </c>
      <c r="C1002" s="72" t="s">
        <v>5931</v>
      </c>
      <c r="D1002" s="112" t="s">
        <v>5932</v>
      </c>
      <c r="E1002" s="69" t="str">
        <f>RIGHT(บันทึกนำเข้าDrawing[[#This Row],[Drawing No]],1)</f>
        <v>0</v>
      </c>
      <c r="F1002" s="68" t="s">
        <v>5944</v>
      </c>
      <c r="G1002" s="118" t="s">
        <v>4029</v>
      </c>
      <c r="H1002" s="80">
        <v>45294</v>
      </c>
      <c r="I1002" s="29" t="str">
        <f>CONCATENATE(บันทึกนำเข้าDrawing[[#This Row],[Part No]],"+",บันทึกนำเข้าDrawing[[#This Row],[Drawing No]])</f>
        <v>2B40-030-00+DR-TW-2B40-030-00-00</v>
      </c>
    </row>
    <row r="1003" spans="2:9">
      <c r="B1003" s="81">
        <v>45246</v>
      </c>
      <c r="C1003" s="72" t="s">
        <v>5931</v>
      </c>
      <c r="D1003" s="33" t="s">
        <v>5938</v>
      </c>
      <c r="E1003" s="69" t="str">
        <f>RIGHT(บันทึกนำเข้าDrawing[[#This Row],[Drawing No]],1)</f>
        <v>0</v>
      </c>
      <c r="F1003" s="68" t="s">
        <v>5946</v>
      </c>
      <c r="G1003" s="118" t="s">
        <v>4029</v>
      </c>
      <c r="H1003" s="80">
        <v>45294</v>
      </c>
      <c r="I1003" s="29" t="str">
        <f>CONCATENATE(บันทึกนำเข้าDrawing[[#This Row],[Part No]],"+",บันทึกนำเข้าDrawing[[#This Row],[Drawing No]])</f>
        <v>2B40-031-00+DR-TW-2B40-030-00-00</v>
      </c>
    </row>
    <row r="1004" spans="2:9">
      <c r="B1004" s="81">
        <v>45246</v>
      </c>
      <c r="C1004" s="72" t="s">
        <v>5931</v>
      </c>
      <c r="D1004" s="33" t="s">
        <v>5939</v>
      </c>
      <c r="E1004" s="69" t="str">
        <f>RIGHT(บันทึกนำเข้าDrawing[[#This Row],[Drawing No]],1)</f>
        <v>0</v>
      </c>
      <c r="F1004" s="68" t="s">
        <v>5947</v>
      </c>
      <c r="G1004" s="118" t="s">
        <v>4029</v>
      </c>
      <c r="H1004" s="80">
        <v>45294</v>
      </c>
      <c r="I1004" s="29" t="str">
        <f>CONCATENATE(บันทึกนำเข้าDrawing[[#This Row],[Part No]],"+",บันทึกนำเข้าDrawing[[#This Row],[Drawing No]])</f>
        <v>2B40-032-00+DR-TW-2B40-030-00-00</v>
      </c>
    </row>
    <row r="1005" spans="2:9">
      <c r="B1005" s="81">
        <v>45246</v>
      </c>
      <c r="C1005" s="72" t="s">
        <v>5931</v>
      </c>
      <c r="D1005" s="33" t="s">
        <v>5940</v>
      </c>
      <c r="E1005" s="69" t="str">
        <f>RIGHT(บันทึกนำเข้าDrawing[[#This Row],[Drawing No]],1)</f>
        <v>0</v>
      </c>
      <c r="F1005" s="68" t="s">
        <v>5948</v>
      </c>
      <c r="G1005" s="118" t="s">
        <v>4029</v>
      </c>
      <c r="H1005" s="80">
        <v>45294</v>
      </c>
      <c r="I1005" s="29" t="str">
        <f>CONCATENATE(บันทึกนำเข้าDrawing[[#This Row],[Part No]],"+",บันทึกนำเข้าDrawing[[#This Row],[Drawing No]])</f>
        <v>2B40-033-00+DR-TW-2B40-030-00-00</v>
      </c>
    </row>
    <row r="1006" spans="2:9">
      <c r="B1006" s="81">
        <v>45246</v>
      </c>
      <c r="C1006" s="72" t="s">
        <v>5931</v>
      </c>
      <c r="D1006" s="33" t="s">
        <v>5941</v>
      </c>
      <c r="E1006" s="69" t="str">
        <f>RIGHT(บันทึกนำเข้าDrawing[[#This Row],[Drawing No]],1)</f>
        <v>0</v>
      </c>
      <c r="F1006" s="68" t="s">
        <v>5949</v>
      </c>
      <c r="G1006" s="118" t="s">
        <v>4029</v>
      </c>
      <c r="H1006" s="80">
        <v>45294</v>
      </c>
      <c r="I1006" s="29" t="str">
        <f>CONCATENATE(บันทึกนำเข้าDrawing[[#This Row],[Part No]],"+",บันทึกนำเข้าDrawing[[#This Row],[Drawing No]])</f>
        <v>2B40-034-00+DR-TW-2B40-030-00-00</v>
      </c>
    </row>
    <row r="1007" spans="2:9">
      <c r="B1007" s="81">
        <v>45246</v>
      </c>
      <c r="C1007" s="82" t="s">
        <v>5954</v>
      </c>
      <c r="D1007" s="33" t="s">
        <v>5955</v>
      </c>
      <c r="E1007" s="69" t="str">
        <f>RIGHT(บันทึกนำเข้าDrawing[[#This Row],[Drawing No]],1)</f>
        <v>0</v>
      </c>
      <c r="F1007" s="84" t="s">
        <v>5956</v>
      </c>
      <c r="G1007" s="120" t="s">
        <v>4029</v>
      </c>
      <c r="H1007" s="83">
        <v>45294</v>
      </c>
      <c r="I1007" s="29" t="str">
        <f>CONCATENATE(บันทึกนำเข้าDrawing[[#This Row],[Part No]],"+",บันทึกนำเข้าDrawing[[#This Row],[Drawing No]])</f>
        <v>2B25-332-00+DR-TW-2B25-332-00-00</v>
      </c>
    </row>
    <row r="1008" spans="2:9">
      <c r="B1008" s="81">
        <v>45246</v>
      </c>
      <c r="C1008" s="82" t="s">
        <v>5954</v>
      </c>
      <c r="D1008" s="33" t="s">
        <v>5957</v>
      </c>
      <c r="E1008" s="69" t="str">
        <f>RIGHT(บันทึกนำเข้าDrawing[[#This Row],[Drawing No]],1)</f>
        <v>0</v>
      </c>
      <c r="F1008" s="84" t="s">
        <v>5958</v>
      </c>
      <c r="G1008" s="120" t="s">
        <v>4029</v>
      </c>
      <c r="H1008" s="83">
        <v>45294</v>
      </c>
      <c r="I1008" s="29" t="str">
        <f>CONCATENATE(บันทึกนำเข้าDrawing[[#This Row],[Part No]],"+",บันทึกนำเข้าDrawing[[#This Row],[Drawing No]])</f>
        <v>2B25-333-00+DR-TW-2B25-332-00-00</v>
      </c>
    </row>
    <row r="1009" spans="2:9">
      <c r="B1009" s="81">
        <v>45250</v>
      </c>
      <c r="C1009" s="82" t="s">
        <v>5961</v>
      </c>
      <c r="D1009" s="33" t="s">
        <v>5962</v>
      </c>
      <c r="E1009" s="69" t="str">
        <f>RIGHT(บันทึกนำเข้าDrawing[[#This Row],[Drawing No]],1)</f>
        <v>0</v>
      </c>
      <c r="F1009" s="84" t="s">
        <v>5963</v>
      </c>
      <c r="G1009" s="120" t="s">
        <v>4029</v>
      </c>
      <c r="H1009" s="83"/>
      <c r="I1009" s="29" t="str">
        <f>CONCATENATE(บันทึกนำเข้าDrawing[[#This Row],[Part No]],"+",บันทึกนำเข้าDrawing[[#This Row],[Drawing No]])</f>
        <v>2B26-144-00+DR-TW-2B26-144-00-00</v>
      </c>
    </row>
    <row r="1010" spans="2:9">
      <c r="B1010" s="81">
        <v>45246</v>
      </c>
      <c r="C1010" s="72" t="s">
        <v>5933</v>
      </c>
      <c r="D1010" s="33" t="s">
        <v>5964</v>
      </c>
      <c r="E1010" s="69" t="str">
        <f>RIGHT(บันทึกนำเข้าDrawing[[#This Row],[Drawing No]],1)</f>
        <v>0</v>
      </c>
      <c r="F1010" s="68" t="s">
        <v>5960</v>
      </c>
      <c r="G1010" s="120" t="s">
        <v>4027</v>
      </c>
      <c r="H1010" s="83">
        <v>45266</v>
      </c>
      <c r="I1010" s="29" t="str">
        <f>CONCATENATE(บันทึกนำเข้าDrawing[[#This Row],[Part No]],"+",บันทึกนำเข้าDrawing[[#This Row],[Drawing No]])</f>
        <v>2B25-330-00+DR-TW-2B25-331-00-00</v>
      </c>
    </row>
    <row r="1011" spans="2:9">
      <c r="B1011" s="81">
        <v>45253</v>
      </c>
      <c r="C1011" s="82" t="s">
        <v>5965</v>
      </c>
      <c r="D1011" s="33" t="s">
        <v>5966</v>
      </c>
      <c r="E1011" s="69" t="str">
        <f>RIGHT(บันทึกนำเข้าDrawing[[#This Row],[Drawing No]],1)</f>
        <v>0</v>
      </c>
      <c r="F1011" s="84" t="s">
        <v>5967</v>
      </c>
      <c r="G1011" s="120" t="s">
        <v>4521</v>
      </c>
      <c r="H1011" s="83"/>
      <c r="I1011" s="29" t="str">
        <f>CONCATENATE(บันทึกนำเข้าDrawing[[#This Row],[Part No]],"+",บันทึกนำเข้าDrawing[[#This Row],[Drawing No]])</f>
        <v>2B69A032-00+DR-TW-2B69A032-00-00</v>
      </c>
    </row>
    <row r="1012" spans="2:9">
      <c r="B1012" s="81">
        <v>45253</v>
      </c>
      <c r="C1012" s="82" t="s">
        <v>5969</v>
      </c>
      <c r="D1012" s="33" t="s">
        <v>5970</v>
      </c>
      <c r="E1012" s="69" t="str">
        <f>RIGHT(บันทึกนำเข้าDrawing[[#This Row],[Drawing No]],1)</f>
        <v>0</v>
      </c>
      <c r="F1012" s="84" t="s">
        <v>5967</v>
      </c>
      <c r="G1012" s="120" t="s">
        <v>4521</v>
      </c>
      <c r="H1012" s="83"/>
      <c r="I1012" s="29" t="str">
        <f>CONCATENATE(บันทึกนำเข้าDrawing[[#This Row],[Part No]],"+",บันทึกนำเข้าDrawing[[#This Row],[Drawing No]])</f>
        <v>2B69A030-00+DR-TW-2B69A030-00-00</v>
      </c>
    </row>
    <row r="1013" spans="2:9">
      <c r="B1013" s="81">
        <v>45259</v>
      </c>
      <c r="C1013" s="82" t="s">
        <v>5971</v>
      </c>
      <c r="D1013" s="33" t="s">
        <v>5972</v>
      </c>
      <c r="E1013" s="69" t="str">
        <f>RIGHT(บันทึกนำเข้าDrawing[[#This Row],[Drawing No]],1)</f>
        <v>0</v>
      </c>
      <c r="F1013" s="84" t="s">
        <v>5973</v>
      </c>
      <c r="G1013" s="120" t="s">
        <v>4521</v>
      </c>
      <c r="H1013" s="83"/>
      <c r="I1013" s="29" t="str">
        <f>CONCATENATE(บันทึกนำเข้าDrawing[[#This Row],[Part No]],"+",บันทึกนำเข้าDrawing[[#This Row],[Drawing No]])</f>
        <v>2B69M512-00+DR-TW-2B69M512-00-00</v>
      </c>
    </row>
    <row r="1014" spans="2:9">
      <c r="B1014" s="81">
        <v>45259</v>
      </c>
      <c r="C1014" s="82" t="s">
        <v>5974</v>
      </c>
      <c r="D1014" s="33" t="s">
        <v>5976</v>
      </c>
      <c r="E1014" s="69" t="str">
        <f>RIGHT(บันทึกนำเข้าDrawing[[#This Row],[Drawing No]],1)</f>
        <v>0</v>
      </c>
      <c r="F1014" s="84" t="s">
        <v>5975</v>
      </c>
      <c r="G1014" s="120" t="s">
        <v>4521</v>
      </c>
      <c r="H1014" s="83"/>
      <c r="I1014" s="29" t="str">
        <f>CONCATENATE(บันทึกนำเข้าDrawing[[#This Row],[Part No]],"+",บันทึกนำเข้าDrawing[[#This Row],[Drawing No]])</f>
        <v>2B69M513-00+DR-TW-2B69M513-00-00</v>
      </c>
    </row>
    <row r="1015" spans="2:9">
      <c r="B1015" s="81">
        <v>45245</v>
      </c>
      <c r="C1015" s="82" t="s">
        <v>5977</v>
      </c>
      <c r="D1015" s="33" t="s">
        <v>1152</v>
      </c>
      <c r="E1015" s="69" t="str">
        <f>RIGHT(บันทึกนำเข้าDrawing[[#This Row],[Drawing No]],1)</f>
        <v>0</v>
      </c>
      <c r="F1015" s="84" t="s">
        <v>5978</v>
      </c>
      <c r="G1015" s="120" t="s">
        <v>4029</v>
      </c>
      <c r="H1015" s="83"/>
      <c r="I1015" s="29" t="str">
        <f>CONCATENATE(บันทึกนำเข้าDrawing[[#This Row],[Part No]],"+",บันทึกนำเข้าDrawing[[#This Row],[Drawing No]])</f>
        <v>2B26-143-00+DR-TW-2B26-143-00-00</v>
      </c>
    </row>
    <row r="1016" spans="2:9">
      <c r="B1016" s="81">
        <v>45259</v>
      </c>
      <c r="C1016" s="82" t="s">
        <v>5980</v>
      </c>
      <c r="D1016" s="33" t="s">
        <v>1152</v>
      </c>
      <c r="E1016" s="69" t="str">
        <f>RIGHT(บันทึกนำเข้าDrawing[[#This Row],[Drawing No]],1)</f>
        <v>1</v>
      </c>
      <c r="F1016" s="84" t="s">
        <v>5978</v>
      </c>
      <c r="G1016" s="120" t="s">
        <v>4029</v>
      </c>
      <c r="H1016" s="83">
        <v>45294</v>
      </c>
      <c r="I1016" s="29" t="str">
        <f>CONCATENATE(บันทึกนำเข้าDrawing[[#This Row],[Part No]],"+",บันทึกนำเข้าDrawing[[#This Row],[Drawing No]])</f>
        <v>2B26-143-00+DR-TW-2B26-143-00-01</v>
      </c>
    </row>
    <row r="1017" spans="2:9">
      <c r="B1017" s="81">
        <v>45259</v>
      </c>
      <c r="C1017" s="82" t="s">
        <v>5981</v>
      </c>
      <c r="D1017" s="33" t="s">
        <v>5962</v>
      </c>
      <c r="E1017" s="69" t="str">
        <f>RIGHT(บันทึกนำเข้าDrawing[[#This Row],[Drawing No]],1)</f>
        <v>1</v>
      </c>
      <c r="F1017" s="84" t="s">
        <v>5963</v>
      </c>
      <c r="G1017" s="120" t="s">
        <v>4029</v>
      </c>
      <c r="H1017" s="83">
        <v>45294</v>
      </c>
      <c r="I1017" s="29" t="str">
        <f>CONCATENATE(บันทึกนำเข้าDrawing[[#This Row],[Part No]],"+",บันทึกนำเข้าDrawing[[#This Row],[Drawing No]])</f>
        <v>2B26-144-00+DR-TW-2B26-144-00-01</v>
      </c>
    </row>
    <row r="1018" spans="2:9">
      <c r="B1018" s="81">
        <v>45271</v>
      </c>
      <c r="C1018" s="82" t="s">
        <v>5982</v>
      </c>
      <c r="D1018" s="33" t="s">
        <v>5983</v>
      </c>
      <c r="E1018" s="69" t="str">
        <f>RIGHT(บันทึกนำเข้าDrawing[[#This Row],[Drawing No]],1)</f>
        <v>0</v>
      </c>
      <c r="F1018" s="84" t="s">
        <v>5984</v>
      </c>
      <c r="G1018" s="120" t="s">
        <v>4521</v>
      </c>
      <c r="H1018" s="83"/>
      <c r="I1018" s="29" t="str">
        <f>CONCATENATE(บันทึกนำเข้าDrawing[[#This Row],[Part No]],"+",บันทึกนำเข้าDrawing[[#This Row],[Drawing No]])</f>
        <v>2B69M514-00+DR-TW-2B69M514-00-00</v>
      </c>
    </row>
    <row r="1019" spans="2:9">
      <c r="B1019" s="81">
        <v>45279</v>
      </c>
      <c r="C1019" s="82" t="s">
        <v>5985</v>
      </c>
      <c r="D1019" s="33" t="s">
        <v>5986</v>
      </c>
      <c r="E1019" s="69" t="str">
        <f>RIGHT(บันทึกนำเข้าDrawing[[#This Row],[Drawing No]],1)</f>
        <v>0</v>
      </c>
      <c r="F1019" s="84" t="s">
        <v>5474</v>
      </c>
      <c r="G1019" s="120" t="s">
        <v>4027</v>
      </c>
      <c r="H1019" s="83"/>
      <c r="I1019" s="29" t="str">
        <f>CONCATENATE(บันทึกนำเข้าDrawing[[#This Row],[Part No]],"+",บันทึกนำเข้าDrawing[[#This Row],[Drawing No]])</f>
        <v>2B26-520-01+DR-TW-2B26-520-01-00</v>
      </c>
    </row>
    <row r="1020" spans="2:9">
      <c r="B1020" s="81">
        <v>45294</v>
      </c>
      <c r="C1020" s="82" t="s">
        <v>5989</v>
      </c>
      <c r="D1020" s="33" t="s">
        <v>5894</v>
      </c>
      <c r="E1020" s="69" t="str">
        <f>RIGHT(บันทึกนำเข้าDrawing[[#This Row],[Drawing No]],1)</f>
        <v>1</v>
      </c>
      <c r="F1020" s="73" t="s">
        <v>5890</v>
      </c>
      <c r="G1020" s="120" t="s">
        <v>4027</v>
      </c>
      <c r="H1020" s="83">
        <v>45337</v>
      </c>
      <c r="I1020" s="29" t="str">
        <f>CONCATENATE(บันทึกนำเข้าDrawing[[#This Row],[Part No]],"+",บันทึกนำเข้าDrawing[[#This Row],[Drawing No]])</f>
        <v>2B51-215-02+DR-TW-2B51-215-02-01</v>
      </c>
    </row>
    <row r="1021" spans="2:9">
      <c r="B1021" s="81">
        <v>45294</v>
      </c>
      <c r="C1021" s="82" t="s">
        <v>5989</v>
      </c>
      <c r="D1021" s="33" t="s">
        <v>5895</v>
      </c>
      <c r="E1021" s="69" t="str">
        <f>RIGHT(บันทึกนำเข้าDrawing[[#This Row],[Drawing No]],1)</f>
        <v>1</v>
      </c>
      <c r="F1021" s="68" t="s">
        <v>5891</v>
      </c>
      <c r="G1021" s="120" t="s">
        <v>4027</v>
      </c>
      <c r="H1021" s="83">
        <v>45337</v>
      </c>
      <c r="I1021" s="29" t="str">
        <f>CONCATENATE(บันทึกนำเข้าDrawing[[#This Row],[Part No]],"+",บันทึกนำเข้าDrawing[[#This Row],[Drawing No]])</f>
        <v>2B51-260-02+DR-TW-2B51-215-02-01</v>
      </c>
    </row>
    <row r="1022" spans="2:9">
      <c r="B1022" s="81">
        <v>45294</v>
      </c>
      <c r="C1022" s="82" t="s">
        <v>5989</v>
      </c>
      <c r="D1022" s="33" t="s">
        <v>5993</v>
      </c>
      <c r="E1022" s="69" t="str">
        <f>RIGHT(บันทึกนำเข้าDrawing[[#This Row],[Drawing No]],1)</f>
        <v>1</v>
      </c>
      <c r="F1022" s="68" t="s">
        <v>5990</v>
      </c>
      <c r="G1022" s="120" t="s">
        <v>4027</v>
      </c>
      <c r="H1022" s="83">
        <v>45309</v>
      </c>
      <c r="I1022" s="29" t="str">
        <f>CONCATENATE(บันทึกนำเข้าDrawing[[#This Row],[Part No]],"+",บันทึกนำเข้าDrawing[[#This Row],[Drawing No]])</f>
        <v>2B51-240-00+DR-TW-2B51-215-02-01</v>
      </c>
    </row>
    <row r="1023" spans="2:9">
      <c r="B1023" s="81">
        <v>45294</v>
      </c>
      <c r="C1023" s="82" t="s">
        <v>5989</v>
      </c>
      <c r="D1023" s="33" t="s">
        <v>5896</v>
      </c>
      <c r="E1023" s="69" t="str">
        <f>RIGHT(บันทึกนำเข้าDrawing[[#This Row],[Drawing No]],1)</f>
        <v>1</v>
      </c>
      <c r="F1023" s="68" t="s">
        <v>5892</v>
      </c>
      <c r="G1023" s="120" t="s">
        <v>4027</v>
      </c>
      <c r="H1023" s="83">
        <v>45607</v>
      </c>
      <c r="I1023" s="29" t="str">
        <f>CONCATENATE(บันทึกนำเข้าDrawing[[#This Row],[Part No]],"+",บันทึกนำเข้าDrawing[[#This Row],[Drawing No]])</f>
        <v>2B51-300-01+DR-TW-2B51-215-02-01</v>
      </c>
    </row>
    <row r="1024" spans="2:9">
      <c r="B1024" s="81">
        <v>45294</v>
      </c>
      <c r="C1024" s="82" t="s">
        <v>5989</v>
      </c>
      <c r="D1024" s="33" t="s">
        <v>5897</v>
      </c>
      <c r="E1024" s="69" t="str">
        <f>RIGHT(บันทึกนำเข้าDrawing[[#This Row],[Drawing No]],1)</f>
        <v>1</v>
      </c>
      <c r="F1024" s="68" t="s">
        <v>5892</v>
      </c>
      <c r="G1024" s="120" t="s">
        <v>4027</v>
      </c>
      <c r="H1024" s="83">
        <v>45309</v>
      </c>
      <c r="I1024" s="29" t="str">
        <f>CONCATENATE(บันทึกนำเข้าDrawing[[#This Row],[Part No]],"+",บันทึกนำเข้าDrawing[[#This Row],[Drawing No]])</f>
        <v>2B51-350-01+DR-TW-2B51-215-02-01</v>
      </c>
    </row>
    <row r="1025" spans="1:9">
      <c r="A1025" s="33">
        <v>898</v>
      </c>
      <c r="B1025" s="81">
        <v>45160</v>
      </c>
      <c r="C1025" s="82" t="s">
        <v>5686</v>
      </c>
      <c r="D1025" s="33" t="s">
        <v>5687</v>
      </c>
      <c r="E1025" s="69" t="str">
        <f>RIGHT(บันทึกนำเข้าDrawing[[#This Row],[Drawing No]],1)</f>
        <v>0</v>
      </c>
      <c r="F1025" s="84" t="s">
        <v>5691</v>
      </c>
      <c r="G1025" s="120" t="s">
        <v>4521</v>
      </c>
      <c r="H1025" s="83"/>
      <c r="I1025" s="29" t="str">
        <f>CONCATENATE(บันทึกนำเข้าDrawing[[#This Row],[Part No]],"+",บันทึกนำเข้าDrawing[[#This Row],[Drawing No]])</f>
        <v>2B69M450-00+DR-TW-2B69M450-00-00</v>
      </c>
    </row>
    <row r="1026" spans="1:9">
      <c r="B1026" s="81">
        <v>45299</v>
      </c>
      <c r="C1026" s="82" t="s">
        <v>6000</v>
      </c>
      <c r="D1026" s="33" t="s">
        <v>5955</v>
      </c>
      <c r="E1026" s="69" t="str">
        <f>RIGHT(บันทึกนำเข้าDrawing[[#This Row],[Drawing No]],1)</f>
        <v>1</v>
      </c>
      <c r="F1026" s="84" t="s">
        <v>5956</v>
      </c>
      <c r="G1026" s="120" t="s">
        <v>4027</v>
      </c>
      <c r="H1026" s="83">
        <v>45720</v>
      </c>
      <c r="I1026" s="29" t="str">
        <f>CONCATENATE(บันทึกนำเข้าDrawing[[#This Row],[Part No]],"+",บันทึกนำเข้าDrawing[[#This Row],[Drawing No]])</f>
        <v>2B25-332-00+DR-TW-2B25-332-00-01</v>
      </c>
    </row>
    <row r="1027" spans="1:9">
      <c r="B1027" s="81">
        <v>45299</v>
      </c>
      <c r="C1027" s="82" t="s">
        <v>6000</v>
      </c>
      <c r="D1027" s="33" t="s">
        <v>5957</v>
      </c>
      <c r="E1027" s="69" t="str">
        <f>RIGHT(บันทึกนำเข้าDrawing[[#This Row],[Drawing No]],1)</f>
        <v>1</v>
      </c>
      <c r="F1027" s="84" t="s">
        <v>5958</v>
      </c>
      <c r="G1027" s="120" t="s">
        <v>4027</v>
      </c>
      <c r="H1027" s="83">
        <v>45720</v>
      </c>
      <c r="I1027" s="29" t="str">
        <f>CONCATENATE(บันทึกนำเข้าDrawing[[#This Row],[Part No]],"+",บันทึกนำเข้าDrawing[[#This Row],[Drawing No]])</f>
        <v>2B25-333-00+DR-TW-2B25-332-00-01</v>
      </c>
    </row>
    <row r="1028" spans="1:9">
      <c r="B1028" s="81">
        <v>45300</v>
      </c>
      <c r="C1028" s="82" t="s">
        <v>6002</v>
      </c>
      <c r="D1028" s="33" t="s">
        <v>6003</v>
      </c>
      <c r="E1028" s="69" t="str">
        <f>RIGHT(บันทึกนำเข้าDrawing[[#This Row],[Drawing No]],1)</f>
        <v>0</v>
      </c>
      <c r="F1028" s="68" t="s">
        <v>3986</v>
      </c>
      <c r="G1028" s="120" t="s">
        <v>3779</v>
      </c>
      <c r="H1028" s="83"/>
      <c r="I1028" s="29" t="str">
        <f>CONCATENATE(บันทึกนำเข้าDrawing[[#This Row],[Part No]],"+",บันทึกนำเข้าDrawing[[#This Row],[Drawing No]])</f>
        <v>2B29-421-02+DR-TW-2B29-421-02-00</v>
      </c>
    </row>
    <row r="1029" spans="1:9">
      <c r="B1029" s="85">
        <v>45302</v>
      </c>
      <c r="C1029" s="72" t="s">
        <v>6004</v>
      </c>
      <c r="D1029" s="33" t="s">
        <v>5282</v>
      </c>
      <c r="E1029" s="69" t="str">
        <f>RIGHT(บันทึกนำเข้าDrawing[[#This Row],[Drawing No]],1)</f>
        <v>3</v>
      </c>
      <c r="F1029" s="68" t="s">
        <v>5255</v>
      </c>
      <c r="G1029" s="118" t="s">
        <v>3779</v>
      </c>
      <c r="H1029" s="80"/>
      <c r="I1029" s="29" t="str">
        <f>CONCATENATE(บันทึกนำเข้าDrawing[[#This Row],[Part No]],"+",บันทึกนำเข้าDrawing[[#This Row],[Drawing No]])</f>
        <v>2B19F090-00+DR-TW-2B19F090-00-03</v>
      </c>
    </row>
    <row r="1030" spans="1:9">
      <c r="B1030" s="85">
        <v>45302</v>
      </c>
      <c r="C1030" s="72" t="s">
        <v>6004</v>
      </c>
      <c r="D1030" s="33" t="s">
        <v>5283</v>
      </c>
      <c r="E1030" s="69" t="str">
        <f>RIGHT(บันทึกนำเข้าDrawing[[#This Row],[Drawing No]],1)</f>
        <v>3</v>
      </c>
      <c r="F1030" s="68" t="s">
        <v>5256</v>
      </c>
      <c r="G1030" s="118" t="s">
        <v>3779</v>
      </c>
      <c r="H1030" s="80"/>
      <c r="I1030" s="29" t="str">
        <f>CONCATENATE(บันทึกนำเข้าDrawing[[#This Row],[Part No]],"+",บันทึกนำเข้าDrawing[[#This Row],[Drawing No]])</f>
        <v>2B19F095-00+DR-TW-2B19F090-00-03</v>
      </c>
    </row>
    <row r="1031" spans="1:9">
      <c r="B1031" s="85">
        <v>45302</v>
      </c>
      <c r="C1031" s="72" t="s">
        <v>6004</v>
      </c>
      <c r="D1031" s="33" t="s">
        <v>5284</v>
      </c>
      <c r="E1031" s="69" t="str">
        <f>RIGHT(บันทึกนำเข้าDrawing[[#This Row],[Drawing No]],1)</f>
        <v>3</v>
      </c>
      <c r="F1031" s="68" t="s">
        <v>5257</v>
      </c>
      <c r="G1031" s="118" t="s">
        <v>3779</v>
      </c>
      <c r="H1031" s="80"/>
      <c r="I1031" s="29" t="str">
        <f>CONCATENATE(บันทึกนำเข้าDrawing[[#This Row],[Part No]],"+",บันทึกนำเข้าDrawing[[#This Row],[Drawing No]])</f>
        <v>2B19F100-00+DR-TW-2B19F090-00-03</v>
      </c>
    </row>
    <row r="1032" spans="1:9">
      <c r="B1032" s="85">
        <v>45302</v>
      </c>
      <c r="C1032" s="72" t="s">
        <v>6004</v>
      </c>
      <c r="D1032" s="33" t="s">
        <v>5285</v>
      </c>
      <c r="E1032" s="69" t="str">
        <f>RIGHT(บันทึกนำเข้าDrawing[[#This Row],[Drawing No]],1)</f>
        <v>3</v>
      </c>
      <c r="F1032" s="68" t="s">
        <v>5258</v>
      </c>
      <c r="G1032" s="118" t="s">
        <v>3779</v>
      </c>
      <c r="H1032" s="80"/>
      <c r="I1032" s="29" t="str">
        <f>CONCATENATE(บันทึกนำเข้าDrawing[[#This Row],[Part No]],"+",บันทึกนำเข้าDrawing[[#This Row],[Drawing No]])</f>
        <v>2B19F105-00+DR-TW-2B19F090-00-03</v>
      </c>
    </row>
    <row r="1033" spans="1:9">
      <c r="B1033" s="85">
        <v>45302</v>
      </c>
      <c r="C1033" s="72" t="s">
        <v>6004</v>
      </c>
      <c r="D1033" s="33" t="s">
        <v>5286</v>
      </c>
      <c r="E1033" s="69" t="str">
        <f>RIGHT(บันทึกนำเข้าDrawing[[#This Row],[Drawing No]],1)</f>
        <v>3</v>
      </c>
      <c r="F1033" s="68" t="s">
        <v>5259</v>
      </c>
      <c r="G1033" s="118" t="s">
        <v>4027</v>
      </c>
      <c r="H1033" s="80">
        <v>45309</v>
      </c>
      <c r="I1033" s="29" t="str">
        <f>CONCATENATE(บันทึกนำเข้าDrawing[[#This Row],[Part No]],"+",บันทึกนำเข้าDrawing[[#This Row],[Drawing No]])</f>
        <v>2B19F110-00+DR-TW-2B19F090-00-03</v>
      </c>
    </row>
    <row r="1034" spans="1:9">
      <c r="B1034" s="85">
        <v>45302</v>
      </c>
      <c r="C1034" s="72" t="s">
        <v>6004</v>
      </c>
      <c r="D1034" s="33" t="s">
        <v>5287</v>
      </c>
      <c r="E1034" s="69" t="str">
        <f>RIGHT(บันทึกนำเข้าDrawing[[#This Row],[Drawing No]],1)</f>
        <v>3</v>
      </c>
      <c r="F1034" s="68" t="s">
        <v>5260</v>
      </c>
      <c r="G1034" s="118" t="s">
        <v>4027</v>
      </c>
      <c r="H1034" s="80">
        <v>45294</v>
      </c>
      <c r="I1034" s="29" t="str">
        <f>CONCATENATE(บันทึกนำเข้าDrawing[[#This Row],[Part No]],"+",บันทึกนำเข้าDrawing[[#This Row],[Drawing No]])</f>
        <v>2B19F115-00+DR-TW-2B19F090-00-03</v>
      </c>
    </row>
    <row r="1035" spans="1:9">
      <c r="B1035" s="85">
        <v>45302</v>
      </c>
      <c r="C1035" s="72" t="s">
        <v>6004</v>
      </c>
      <c r="D1035" s="33" t="s">
        <v>5288</v>
      </c>
      <c r="E1035" s="69" t="str">
        <f>RIGHT(บันทึกนำเข้าDrawing[[#This Row],[Drawing No]],1)</f>
        <v>3</v>
      </c>
      <c r="F1035" s="68" t="s">
        <v>5261</v>
      </c>
      <c r="G1035" s="118" t="s">
        <v>4027</v>
      </c>
      <c r="H1035" s="80">
        <v>45183</v>
      </c>
      <c r="I1035" s="29" t="str">
        <f>CONCATENATE(บันทึกนำเข้าDrawing[[#This Row],[Part No]],"+",บันทึกนำเข้าDrawing[[#This Row],[Drawing No]])</f>
        <v>2B19F120-00+DR-TW-2B19F090-00-03</v>
      </c>
    </row>
    <row r="1036" spans="1:9">
      <c r="B1036" s="85">
        <v>45302</v>
      </c>
      <c r="C1036" s="72" t="s">
        <v>6004</v>
      </c>
      <c r="D1036" s="33" t="s">
        <v>5289</v>
      </c>
      <c r="E1036" s="69" t="str">
        <f>RIGHT(บันทึกนำเข้าDrawing[[#This Row],[Drawing No]],1)</f>
        <v>3</v>
      </c>
      <c r="F1036" s="68" t="s">
        <v>5262</v>
      </c>
      <c r="G1036" s="118" t="s">
        <v>4027</v>
      </c>
      <c r="H1036" s="80">
        <v>45183</v>
      </c>
      <c r="I1036" s="29" t="str">
        <f>CONCATENATE(บันทึกนำเข้าDrawing[[#This Row],[Part No]],"+",บันทึกนำเข้าDrawing[[#This Row],[Drawing No]])</f>
        <v>2B19F125-00+DR-TW-2B19F090-00-03</v>
      </c>
    </row>
    <row r="1037" spans="1:9">
      <c r="B1037" s="85">
        <v>45302</v>
      </c>
      <c r="C1037" s="72" t="s">
        <v>6004</v>
      </c>
      <c r="D1037" s="33" t="s">
        <v>5290</v>
      </c>
      <c r="E1037" s="69" t="str">
        <f>RIGHT(บันทึกนำเข้าDrawing[[#This Row],[Drawing No]],1)</f>
        <v>3</v>
      </c>
      <c r="F1037" s="68" t="s">
        <v>5263</v>
      </c>
      <c r="G1037" s="118" t="s">
        <v>4027</v>
      </c>
      <c r="H1037" s="80">
        <v>45183</v>
      </c>
      <c r="I1037" s="29" t="str">
        <f>CONCATENATE(บันทึกนำเข้าDrawing[[#This Row],[Part No]],"+",บันทึกนำเข้าDrawing[[#This Row],[Drawing No]])</f>
        <v>2B19F130-00+DR-TW-2B19F090-00-03</v>
      </c>
    </row>
    <row r="1038" spans="1:9">
      <c r="B1038" s="85">
        <v>45302</v>
      </c>
      <c r="C1038" s="72" t="s">
        <v>6004</v>
      </c>
      <c r="D1038" s="33" t="s">
        <v>5291</v>
      </c>
      <c r="E1038" s="69" t="str">
        <f>RIGHT(บันทึกนำเข้าDrawing[[#This Row],[Drawing No]],1)</f>
        <v>3</v>
      </c>
      <c r="F1038" s="68" t="s">
        <v>5264</v>
      </c>
      <c r="G1038" s="118" t="s">
        <v>4027</v>
      </c>
      <c r="H1038" s="80">
        <v>45050</v>
      </c>
      <c r="I1038" s="29" t="str">
        <f>CONCATENATE(บันทึกนำเข้าDrawing[[#This Row],[Part No]],"+",บันทึกนำเข้าDrawing[[#This Row],[Drawing No]])</f>
        <v>2B19F135-00+DR-TW-2B19F090-00-03</v>
      </c>
    </row>
    <row r="1039" spans="1:9">
      <c r="B1039" s="85">
        <v>45302</v>
      </c>
      <c r="C1039" s="72" t="s">
        <v>6004</v>
      </c>
      <c r="D1039" s="33" t="s">
        <v>5292</v>
      </c>
      <c r="E1039" s="69" t="str">
        <f>RIGHT(บันทึกนำเข้าDrawing[[#This Row],[Drawing No]],1)</f>
        <v>3</v>
      </c>
      <c r="F1039" s="68" t="s">
        <v>5265</v>
      </c>
      <c r="G1039" s="118" t="s">
        <v>4027</v>
      </c>
      <c r="H1039" s="80">
        <v>45077</v>
      </c>
      <c r="I1039" s="29" t="str">
        <f>CONCATENATE(บันทึกนำเข้าDrawing[[#This Row],[Part No]],"+",บันทึกนำเข้าDrawing[[#This Row],[Drawing No]])</f>
        <v>2B19F140-00+DR-TW-2B19F090-00-03</v>
      </c>
    </row>
    <row r="1040" spans="1:9">
      <c r="B1040" s="85">
        <v>45302</v>
      </c>
      <c r="C1040" s="72" t="s">
        <v>6004</v>
      </c>
      <c r="D1040" s="33" t="s">
        <v>5293</v>
      </c>
      <c r="E1040" s="69" t="str">
        <f>RIGHT(บันทึกนำเข้าDrawing[[#This Row],[Drawing No]],1)</f>
        <v>3</v>
      </c>
      <c r="F1040" s="68" t="s">
        <v>5262</v>
      </c>
      <c r="G1040" s="118" t="s">
        <v>4027</v>
      </c>
      <c r="H1040" s="80">
        <v>45183</v>
      </c>
      <c r="I1040" s="29" t="str">
        <f>CONCATENATE(บันทึกนำเข้าDrawing[[#This Row],[Part No]],"+",บันทึกนำเข้าDrawing[[#This Row],[Drawing No]])</f>
        <v>2B19F145-00+DR-TW-2B19F090-00-03</v>
      </c>
    </row>
    <row r="1041" spans="2:9">
      <c r="B1041" s="85">
        <v>45302</v>
      </c>
      <c r="C1041" s="72" t="s">
        <v>6004</v>
      </c>
      <c r="D1041" s="33" t="s">
        <v>5294</v>
      </c>
      <c r="E1041" s="69" t="str">
        <f>RIGHT(บันทึกนำเข้าDrawing[[#This Row],[Drawing No]],1)</f>
        <v>3</v>
      </c>
      <c r="F1041" s="68" t="s">
        <v>5266</v>
      </c>
      <c r="G1041" s="118" t="s">
        <v>4027</v>
      </c>
      <c r="H1041" s="80">
        <v>45183</v>
      </c>
      <c r="I1041" s="29" t="str">
        <f>CONCATENATE(บันทึกนำเข้าDrawing[[#This Row],[Part No]],"+",บันทึกนำเข้าDrawing[[#This Row],[Drawing No]])</f>
        <v>2B19F150-00+DR-TW-2B19F090-00-03</v>
      </c>
    </row>
    <row r="1042" spans="2:9">
      <c r="B1042" s="85">
        <v>45302</v>
      </c>
      <c r="C1042" s="72" t="s">
        <v>6004</v>
      </c>
      <c r="D1042" s="33" t="s">
        <v>5295</v>
      </c>
      <c r="E1042" s="69" t="str">
        <f>RIGHT(บันทึกนำเข้าDrawing[[#This Row],[Drawing No]],1)</f>
        <v>3</v>
      </c>
      <c r="F1042" s="68" t="s">
        <v>5267</v>
      </c>
      <c r="G1042" s="118" t="s">
        <v>4027</v>
      </c>
      <c r="H1042" s="80">
        <v>45183</v>
      </c>
      <c r="I1042" s="29" t="str">
        <f>CONCATENATE(บันทึกนำเข้าDrawing[[#This Row],[Part No]],"+",บันทึกนำเข้าDrawing[[#This Row],[Drawing No]])</f>
        <v>2B19F155-00+DR-TW-2B19F090-00-03</v>
      </c>
    </row>
    <row r="1043" spans="2:9">
      <c r="B1043" s="85">
        <v>45302</v>
      </c>
      <c r="C1043" s="72" t="s">
        <v>6004</v>
      </c>
      <c r="D1043" s="33" t="s">
        <v>5296</v>
      </c>
      <c r="E1043" s="69" t="str">
        <f>RIGHT(บันทึกนำเข้าDrawing[[#This Row],[Drawing No]],1)</f>
        <v>3</v>
      </c>
      <c r="F1043" s="68" t="s">
        <v>5268</v>
      </c>
      <c r="G1043" s="118" t="s">
        <v>4027</v>
      </c>
      <c r="H1043" s="80">
        <v>45139</v>
      </c>
      <c r="I1043" s="29" t="str">
        <f>CONCATENATE(บันทึกนำเข้าDrawing[[#This Row],[Part No]],"+",บันทึกนำเข้าDrawing[[#This Row],[Drawing No]])</f>
        <v>2B19F160-00+DR-TW-2B19F090-00-03</v>
      </c>
    </row>
    <row r="1044" spans="2:9">
      <c r="B1044" s="85">
        <v>45302</v>
      </c>
      <c r="C1044" s="72" t="s">
        <v>6004</v>
      </c>
      <c r="D1044" s="33" t="s">
        <v>5297</v>
      </c>
      <c r="E1044" s="69" t="str">
        <f>RIGHT(บันทึกนำเข้าDrawing[[#This Row],[Drawing No]],1)</f>
        <v>3</v>
      </c>
      <c r="F1044" s="68" t="s">
        <v>5269</v>
      </c>
      <c r="G1044" s="118" t="s">
        <v>4027</v>
      </c>
      <c r="H1044" s="80">
        <v>45183</v>
      </c>
      <c r="I1044" s="29" t="str">
        <f>CONCATENATE(บันทึกนำเข้าDrawing[[#This Row],[Part No]],"+",บันทึกนำเข้าDrawing[[#This Row],[Drawing No]])</f>
        <v>2B19F165-00+DR-TW-2B19F090-00-03</v>
      </c>
    </row>
    <row r="1045" spans="2:9">
      <c r="B1045" s="85">
        <v>45302</v>
      </c>
      <c r="C1045" s="72" t="s">
        <v>6004</v>
      </c>
      <c r="D1045" s="33" t="s">
        <v>5298</v>
      </c>
      <c r="E1045" s="69" t="str">
        <f>RIGHT(บันทึกนำเข้าDrawing[[#This Row],[Drawing No]],1)</f>
        <v>3</v>
      </c>
      <c r="F1045" s="68" t="s">
        <v>5270</v>
      </c>
      <c r="G1045" s="118" t="s">
        <v>4027</v>
      </c>
      <c r="H1045" s="80">
        <v>45244</v>
      </c>
      <c r="I1045" s="29" t="str">
        <f>CONCATENATE(บันทึกนำเข้าDrawing[[#This Row],[Part No]],"+",บันทึกนำเข้าDrawing[[#This Row],[Drawing No]])</f>
        <v>2B19F170-00+DR-TW-2B19F090-00-03</v>
      </c>
    </row>
    <row r="1046" spans="2:9">
      <c r="B1046" s="85">
        <v>45302</v>
      </c>
      <c r="C1046" s="72" t="s">
        <v>6004</v>
      </c>
      <c r="D1046" s="33" t="s">
        <v>5299</v>
      </c>
      <c r="E1046" s="69" t="str">
        <f>RIGHT(บันทึกนำเข้าDrawing[[#This Row],[Drawing No]],1)</f>
        <v>3</v>
      </c>
      <c r="F1046" s="68" t="s">
        <v>5271</v>
      </c>
      <c r="G1046" s="118" t="s">
        <v>4027</v>
      </c>
      <c r="H1046" s="80">
        <v>45244</v>
      </c>
      <c r="I1046" s="29" t="str">
        <f>CONCATENATE(บันทึกนำเข้าDrawing[[#This Row],[Part No]],"+",บันทึกนำเข้าDrawing[[#This Row],[Drawing No]])</f>
        <v>2B19F175-00+DR-TW-2B19F090-00-03</v>
      </c>
    </row>
    <row r="1047" spans="2:9">
      <c r="B1047" s="85">
        <v>45302</v>
      </c>
      <c r="C1047" s="72" t="s">
        <v>6004</v>
      </c>
      <c r="D1047" s="33" t="s">
        <v>5300</v>
      </c>
      <c r="E1047" s="69" t="str">
        <f>RIGHT(บันทึกนำเข้าDrawing[[#This Row],[Drawing No]],1)</f>
        <v>3</v>
      </c>
      <c r="F1047" s="68" t="s">
        <v>5272</v>
      </c>
      <c r="G1047" s="118" t="s">
        <v>4027</v>
      </c>
      <c r="H1047" s="80">
        <v>45061</v>
      </c>
      <c r="I1047" s="29" t="str">
        <f>CONCATENATE(บันทึกนำเข้าDrawing[[#This Row],[Part No]],"+",บันทึกนำเข้าDrawing[[#This Row],[Drawing No]])</f>
        <v>2B19F180-00+DR-TW-2B19F090-00-03</v>
      </c>
    </row>
    <row r="1048" spans="2:9">
      <c r="B1048" s="85">
        <v>45302</v>
      </c>
      <c r="C1048" s="72" t="s">
        <v>6004</v>
      </c>
      <c r="D1048" s="33" t="s">
        <v>5301</v>
      </c>
      <c r="E1048" s="69" t="str">
        <f>RIGHT(บันทึกนำเข้าDrawing[[#This Row],[Drawing No]],1)</f>
        <v>3</v>
      </c>
      <c r="F1048" s="68" t="s">
        <v>5273</v>
      </c>
      <c r="G1048" s="118" t="s">
        <v>4027</v>
      </c>
      <c r="H1048" s="80">
        <v>45183</v>
      </c>
      <c r="I1048" s="29" t="str">
        <f>CONCATENATE(บันทึกนำเข้าDrawing[[#This Row],[Part No]],"+",บันทึกนำเข้าDrawing[[#This Row],[Drawing No]])</f>
        <v>2B19F185-00+DR-TW-2B19F090-00-03</v>
      </c>
    </row>
    <row r="1049" spans="2:9">
      <c r="B1049" s="85">
        <v>45302</v>
      </c>
      <c r="C1049" s="72" t="s">
        <v>6004</v>
      </c>
      <c r="D1049" s="33" t="s">
        <v>5302</v>
      </c>
      <c r="E1049" s="69" t="str">
        <f>RIGHT(บันทึกนำเข้าDrawing[[#This Row],[Drawing No]],1)</f>
        <v>3</v>
      </c>
      <c r="F1049" s="68" t="s">
        <v>5274</v>
      </c>
      <c r="G1049" s="118" t="s">
        <v>4027</v>
      </c>
      <c r="H1049" s="80">
        <v>45183</v>
      </c>
      <c r="I1049" s="29" t="str">
        <f>CONCATENATE(บันทึกนำเข้าDrawing[[#This Row],[Part No]],"+",บันทึกนำเข้าDrawing[[#This Row],[Drawing No]])</f>
        <v>2B19F190-00+DR-TW-2B19F090-00-03</v>
      </c>
    </row>
    <row r="1050" spans="2:9">
      <c r="B1050" s="85">
        <v>45302</v>
      </c>
      <c r="C1050" s="72" t="s">
        <v>6004</v>
      </c>
      <c r="D1050" s="33" t="s">
        <v>5303</v>
      </c>
      <c r="E1050" s="69" t="str">
        <f>RIGHT(บันทึกนำเข้าDrawing[[#This Row],[Drawing No]],1)</f>
        <v>3</v>
      </c>
      <c r="F1050" s="68" t="s">
        <v>5275</v>
      </c>
      <c r="G1050" s="118" t="s">
        <v>4027</v>
      </c>
      <c r="H1050" s="80">
        <v>45050</v>
      </c>
      <c r="I1050" s="29" t="str">
        <f>CONCATENATE(บันทึกนำเข้าDrawing[[#This Row],[Part No]],"+",บันทึกนำเข้าDrawing[[#This Row],[Drawing No]])</f>
        <v>2B19F195-00+DR-TW-2B19F090-00-03</v>
      </c>
    </row>
    <row r="1051" spans="2:9">
      <c r="B1051" s="85">
        <v>45302</v>
      </c>
      <c r="C1051" s="72" t="s">
        <v>6004</v>
      </c>
      <c r="D1051" s="33" t="s">
        <v>5304</v>
      </c>
      <c r="E1051" s="69" t="str">
        <f>RIGHT(บันทึกนำเข้าDrawing[[#This Row],[Drawing No]],1)</f>
        <v>3</v>
      </c>
      <c r="F1051" s="68" t="s">
        <v>5191</v>
      </c>
      <c r="G1051" s="118" t="s">
        <v>4027</v>
      </c>
      <c r="H1051" s="80">
        <v>45355</v>
      </c>
      <c r="I1051" s="29" t="str">
        <f>CONCATENATE(บันทึกนำเข้าDrawing[[#This Row],[Part No]],"+",บันทึกนำเข้าDrawing[[#This Row],[Drawing No]])</f>
        <v>2B19F200-00+DR-TW-2B19F090-00-03</v>
      </c>
    </row>
    <row r="1052" spans="2:9">
      <c r="B1052" s="85">
        <v>45302</v>
      </c>
      <c r="C1052" s="72" t="s">
        <v>6004</v>
      </c>
      <c r="D1052" s="33" t="s">
        <v>5305</v>
      </c>
      <c r="E1052" s="69" t="str">
        <f>RIGHT(บันทึกนำเข้าDrawing[[#This Row],[Drawing No]],1)</f>
        <v>3</v>
      </c>
      <c r="F1052" s="68" t="s">
        <v>5276</v>
      </c>
      <c r="G1052" s="118" t="s">
        <v>4027</v>
      </c>
      <c r="H1052" s="80">
        <v>45244</v>
      </c>
      <c r="I1052" s="29" t="str">
        <f>CONCATENATE(บันทึกนำเข้าDrawing[[#This Row],[Part No]],"+",บันทึกนำเข้าDrawing[[#This Row],[Drawing No]])</f>
        <v>2B19F205-00+DR-TW-2B19F090-00-03</v>
      </c>
    </row>
    <row r="1053" spans="2:9">
      <c r="B1053" s="85">
        <v>45302</v>
      </c>
      <c r="C1053" s="72" t="s">
        <v>6004</v>
      </c>
      <c r="D1053" s="33" t="s">
        <v>5306</v>
      </c>
      <c r="E1053" s="69" t="str">
        <f>RIGHT(บันทึกนำเข้าDrawing[[#This Row],[Drawing No]],1)</f>
        <v>3</v>
      </c>
      <c r="F1053" s="68" t="s">
        <v>5277</v>
      </c>
      <c r="G1053" s="118" t="s">
        <v>4027</v>
      </c>
      <c r="H1053" s="80">
        <v>45244</v>
      </c>
      <c r="I1053" s="29" t="str">
        <f>CONCATENATE(บันทึกนำเข้าDrawing[[#This Row],[Part No]],"+",บันทึกนำเข้าDrawing[[#This Row],[Drawing No]])</f>
        <v>2B19F210-00+DR-TW-2B19F090-00-03</v>
      </c>
    </row>
    <row r="1054" spans="2:9">
      <c r="B1054" s="85">
        <v>45302</v>
      </c>
      <c r="C1054" s="72" t="s">
        <v>6004</v>
      </c>
      <c r="D1054" s="33" t="s">
        <v>5307</v>
      </c>
      <c r="E1054" s="69" t="str">
        <f>RIGHT(บันทึกนำเข้าDrawing[[#This Row],[Drawing No]],1)</f>
        <v>3</v>
      </c>
      <c r="F1054" s="68" t="s">
        <v>5277</v>
      </c>
      <c r="G1054" s="118" t="s">
        <v>3779</v>
      </c>
      <c r="H1054" s="80"/>
      <c r="I1054" s="29" t="str">
        <f>CONCATENATE(บันทึกนำเข้าDrawing[[#This Row],[Part No]],"+",บันทึกนำเข้าDrawing[[#This Row],[Drawing No]])</f>
        <v>2B19F215-00+DR-TW-2B19F090-00-03</v>
      </c>
    </row>
    <row r="1055" spans="2:9">
      <c r="B1055" s="85">
        <v>45302</v>
      </c>
      <c r="C1055" s="72" t="s">
        <v>6004</v>
      </c>
      <c r="D1055" s="33" t="s">
        <v>5308</v>
      </c>
      <c r="E1055" s="69" t="str">
        <f>RIGHT(บันทึกนำเข้าDrawing[[#This Row],[Drawing No]],1)</f>
        <v>3</v>
      </c>
      <c r="F1055" s="68" t="s">
        <v>5278</v>
      </c>
      <c r="G1055" s="118" t="s">
        <v>3779</v>
      </c>
      <c r="H1055" s="80"/>
      <c r="I1055" s="29" t="str">
        <f>CONCATENATE(บันทึกนำเข้าDrawing[[#This Row],[Part No]],"+",บันทึกนำเข้าDrawing[[#This Row],[Drawing No]])</f>
        <v>2B19F220-00+DR-TW-2B19F090-00-03</v>
      </c>
    </row>
    <row r="1056" spans="2:9">
      <c r="B1056" s="85">
        <v>45302</v>
      </c>
      <c r="C1056" s="72" t="s">
        <v>6004</v>
      </c>
      <c r="D1056" s="33" t="s">
        <v>5446</v>
      </c>
      <c r="E1056" s="69" t="str">
        <f>RIGHT(บันทึกนำเข้าDrawing[[#This Row],[Drawing No]],1)</f>
        <v>3</v>
      </c>
      <c r="F1056" s="68" t="s">
        <v>5279</v>
      </c>
      <c r="G1056" s="118" t="s">
        <v>3779</v>
      </c>
      <c r="H1056" s="80"/>
      <c r="I1056" s="29" t="str">
        <f>CONCATENATE(บันทึกนำเข้าDrawing[[#This Row],[Part No]],"+",บันทึกนำเข้าDrawing[[#This Row],[Drawing No]])</f>
        <v>2B19F225-00+DR-TW-2B19F090-00-03</v>
      </c>
    </row>
    <row r="1057" spans="2:9">
      <c r="B1057" s="85">
        <v>45302</v>
      </c>
      <c r="C1057" s="72" t="s">
        <v>6004</v>
      </c>
      <c r="D1057" s="33" t="s">
        <v>5801</v>
      </c>
      <c r="E1057" s="69" t="str">
        <f>RIGHT(บันทึกนำเข้าDrawing[[#This Row],[Drawing No]],1)</f>
        <v>3</v>
      </c>
      <c r="F1057" s="68" t="s">
        <v>5802</v>
      </c>
      <c r="G1057" s="118" t="s">
        <v>3779</v>
      </c>
      <c r="H1057" s="80"/>
      <c r="I1057" s="29" t="str">
        <f>CONCATENATE(บันทึกนำเข้าDrawing[[#This Row],[Part No]],"+",บันทึกนำเข้าDrawing[[#This Row],[Drawing No]])</f>
        <v>2B19F230-00+DR-TW-2B19F090-00-03</v>
      </c>
    </row>
    <row r="1058" spans="2:9">
      <c r="B1058" s="85">
        <v>45302</v>
      </c>
      <c r="C1058" s="72" t="s">
        <v>6004</v>
      </c>
      <c r="D1058" s="33" t="s">
        <v>6005</v>
      </c>
      <c r="E1058" s="69" t="str">
        <f>RIGHT(บันทึกนำเข้าDrawing[[#This Row],[Drawing No]],1)</f>
        <v>3</v>
      </c>
      <c r="F1058" s="68" t="s">
        <v>6006</v>
      </c>
      <c r="G1058" s="118" t="s">
        <v>4027</v>
      </c>
      <c r="H1058" s="80">
        <v>45309</v>
      </c>
      <c r="I1058" s="29" t="str">
        <f>CONCATENATE(บันทึกนำเข้าDrawing[[#This Row],[Part No]],"+",บันทึกนำเข้าDrawing[[#This Row],[Drawing No]])</f>
        <v>2B19F235-00+DR-TW-2B19F090-00-03</v>
      </c>
    </row>
    <row r="1059" spans="2:9">
      <c r="B1059" s="85">
        <v>45302</v>
      </c>
      <c r="C1059" s="72" t="s">
        <v>6004</v>
      </c>
      <c r="D1059" s="33" t="s">
        <v>5309</v>
      </c>
      <c r="E1059" s="69" t="str">
        <f>RIGHT(บันทึกนำเข้าDrawing[[#This Row],[Drawing No]],1)</f>
        <v>3</v>
      </c>
      <c r="F1059" s="68" t="s">
        <v>5280</v>
      </c>
      <c r="G1059" s="118" t="s">
        <v>3779</v>
      </c>
      <c r="H1059" s="80"/>
      <c r="I1059" s="29" t="str">
        <f>CONCATENATE(บันทึกนำเข้าDrawing[[#This Row],[Part No]],"+",บันทึกนำเข้าDrawing[[#This Row],[Drawing No]])</f>
        <v>2B19F240-00+DR-TW-2B19F090-00-03</v>
      </c>
    </row>
    <row r="1060" spans="2:9">
      <c r="B1060" s="85">
        <v>45302</v>
      </c>
      <c r="C1060" s="72" t="s">
        <v>6004</v>
      </c>
      <c r="D1060" s="33" t="s">
        <v>5310</v>
      </c>
      <c r="E1060" s="69" t="str">
        <f>RIGHT(บันทึกนำเข้าDrawing[[#This Row],[Drawing No]],1)</f>
        <v>3</v>
      </c>
      <c r="F1060" s="84" t="s">
        <v>5281</v>
      </c>
      <c r="G1060" s="120" t="s">
        <v>3779</v>
      </c>
      <c r="H1060" s="83"/>
      <c r="I1060" s="29" t="str">
        <f>CONCATENATE(บันทึกนำเข้าDrawing[[#This Row],[Part No]],"+",บันทึกนำเข้าDrawing[[#This Row],[Drawing No]])</f>
        <v>2B19F300-00+DR-TW-2B19F090-00-03</v>
      </c>
    </row>
    <row r="1061" spans="2:9">
      <c r="B1061" s="81">
        <v>45271</v>
      </c>
      <c r="C1061" s="82" t="s">
        <v>6008</v>
      </c>
      <c r="D1061" s="33" t="s">
        <v>6009</v>
      </c>
      <c r="E1061" s="69" t="str">
        <f>RIGHT(บันทึกนำเข้าDrawing[[#This Row],[Drawing No]],1)</f>
        <v>0</v>
      </c>
      <c r="F1061" s="68" t="s">
        <v>5524</v>
      </c>
      <c r="G1061" s="120" t="s">
        <v>4029</v>
      </c>
      <c r="H1061" s="83"/>
      <c r="I1061" s="29" t="str">
        <f>CONCATENATE(บันทึกนำเข้าDrawing[[#This Row],[Part No]],"+",บันทึกนำเข้าDrawing[[#This Row],[Drawing No]])</f>
        <v>2B04-450-02+DR-TW-2B04-450-02-00</v>
      </c>
    </row>
    <row r="1062" spans="2:9">
      <c r="B1062" s="81">
        <v>45271</v>
      </c>
      <c r="C1062" s="72" t="s">
        <v>6010</v>
      </c>
      <c r="D1062" s="33" t="s">
        <v>6011</v>
      </c>
      <c r="E1062" s="33" t="str">
        <f>RIGHT(บันทึกนำเข้าDrawing[[#This Row],[Drawing No]],1)</f>
        <v>0</v>
      </c>
      <c r="F1062" s="73" t="s">
        <v>4968</v>
      </c>
      <c r="G1062" s="118" t="s">
        <v>4027</v>
      </c>
      <c r="H1062" s="74">
        <v>45320</v>
      </c>
      <c r="I1062" s="29" t="str">
        <f>CONCATENATE(บันทึกนำเข้าDrawing[[#This Row],[Part No]],"+",บันทึกนำเข้าDrawing[[#This Row],[Drawing No]])</f>
        <v>2B24-230-02+DR-TW-2B24-230-02-00</v>
      </c>
    </row>
    <row r="1063" spans="2:9">
      <c r="B1063" s="81">
        <v>45271</v>
      </c>
      <c r="C1063" s="75" t="s">
        <v>6014</v>
      </c>
      <c r="D1063" s="33" t="s">
        <v>6015</v>
      </c>
      <c r="E1063" s="33" t="str">
        <f>RIGHT(บันทึกนำเข้าDrawing[[#This Row],[Drawing No]],1)</f>
        <v>0</v>
      </c>
      <c r="F1063" s="73" t="s">
        <v>3882</v>
      </c>
      <c r="G1063" s="118" t="s">
        <v>4027</v>
      </c>
      <c r="H1063" s="74">
        <v>45338</v>
      </c>
      <c r="I1063" s="29" t="str">
        <f>CONCATENATE(บันทึกนำเข้าDrawing[[#This Row],[Part No]],"+",บันทึกนำเข้าDrawing[[#This Row],[Drawing No]])</f>
        <v>2B26-272-07+DR-TW-2B26-272-07-00</v>
      </c>
    </row>
    <row r="1064" spans="2:9">
      <c r="B1064" s="81">
        <v>45278</v>
      </c>
      <c r="C1064" s="75" t="s">
        <v>6016</v>
      </c>
      <c r="D1064" s="33" t="s">
        <v>6017</v>
      </c>
      <c r="E1064" s="33" t="str">
        <f>RIGHT(บันทึกนำเข้าDrawing[[#This Row],[Drawing No]],1)</f>
        <v>0</v>
      </c>
      <c r="F1064" s="73" t="s">
        <v>3906</v>
      </c>
      <c r="G1064" s="118" t="s">
        <v>4029</v>
      </c>
      <c r="H1064" s="74"/>
      <c r="I1064" s="29" t="str">
        <f>CONCATENATE(บันทึกนำเข้าDrawing[[#This Row],[Part No]],"+",บันทึกนำเข้าDrawing[[#This Row],[Drawing No]])</f>
        <v>2B30-021-05+DR-TW-2B30-021-05-00</v>
      </c>
    </row>
    <row r="1065" spans="2:9">
      <c r="B1065" s="81">
        <v>45314</v>
      </c>
      <c r="C1065" s="82" t="s">
        <v>6018</v>
      </c>
      <c r="D1065" s="33" t="s">
        <v>6019</v>
      </c>
      <c r="E1065" s="69" t="str">
        <f>RIGHT(บันทึกนำเข้าDrawing[[#This Row],[Drawing No]],1)</f>
        <v>0</v>
      </c>
      <c r="F1065" s="84" t="s">
        <v>6020</v>
      </c>
      <c r="G1065" s="120" t="s">
        <v>4027</v>
      </c>
      <c r="H1065" s="83">
        <v>45400</v>
      </c>
      <c r="I1065" s="29" t="str">
        <f>CONCATENATE(บันทึกนำเข้าDrawing[[#This Row],[Part No]],"+",บันทึกนำเข้าDrawing[[#This Row],[Drawing No]])</f>
        <v>2B29-433-02+DR-TW-2B29-433-02-00</v>
      </c>
    </row>
    <row r="1066" spans="2:9">
      <c r="B1066" s="81">
        <v>45314</v>
      </c>
      <c r="C1066" s="82" t="s">
        <v>6021</v>
      </c>
      <c r="D1066" s="33" t="s">
        <v>6022</v>
      </c>
      <c r="E1066" s="69" t="str">
        <f>RIGHT(บันทึกนำเข้าDrawing[[#This Row],[Drawing No]],1)</f>
        <v>0</v>
      </c>
      <c r="F1066" s="84" t="s">
        <v>5975</v>
      </c>
      <c r="G1066" s="120" t="s">
        <v>4027</v>
      </c>
      <c r="H1066" s="83">
        <v>45391</v>
      </c>
      <c r="I1066" s="29" t="str">
        <f>CONCATENATE(บันทึกนำเข้าDrawing[[#This Row],[Part No]],"+",บันทึกนำเข้าDrawing[[#This Row],[Drawing No]])</f>
        <v>2B26-146-00+DR-TW-2B26-146-00-00</v>
      </c>
    </row>
    <row r="1067" spans="2:9">
      <c r="B1067" s="81">
        <v>45294</v>
      </c>
      <c r="C1067" s="82" t="s">
        <v>5995</v>
      </c>
      <c r="D1067" s="33" t="s">
        <v>5996</v>
      </c>
      <c r="E1067" s="69" t="str">
        <f>RIGHT(บันทึกนำเข้าDrawing[[#This Row],[Drawing No]],1)</f>
        <v>0</v>
      </c>
      <c r="F1067" s="84" t="s">
        <v>5997</v>
      </c>
      <c r="G1067" s="120" t="s">
        <v>4027</v>
      </c>
      <c r="H1067" s="83">
        <v>45313</v>
      </c>
      <c r="I1067" s="29" t="str">
        <f>CONCATENATE(บันทึกนำเข้าDrawing[[#This Row],[Part No]],"+",บันทึกนำเข้าDrawing[[#This Row],[Drawing No]])</f>
        <v>2B94-091-00+DR-TW-2B94-091-00-00</v>
      </c>
    </row>
    <row r="1068" spans="2:9">
      <c r="B1068" s="81">
        <v>45377</v>
      </c>
      <c r="C1068" s="82" t="s">
        <v>6283</v>
      </c>
      <c r="D1068" s="33" t="s">
        <v>6284</v>
      </c>
      <c r="E1068" s="69" t="str">
        <f>RIGHT(บันทึกนำเข้าDrawing[[#This Row],[Drawing No]],1)</f>
        <v>0</v>
      </c>
      <c r="F1068" s="84" t="s">
        <v>6285</v>
      </c>
      <c r="G1068" s="120" t="s">
        <v>4029</v>
      </c>
      <c r="H1068" s="83"/>
      <c r="I1068" s="29" t="str">
        <f>CONCATENATE(บันทึกนำเข้าDrawing[[#This Row],[Part No]],"+",บันทึกนำเข้าDrawing[[#This Row],[Drawing No]])</f>
        <v>2B69M554-00+DR-TW-2B69M554-00-00</v>
      </c>
    </row>
    <row r="1069" spans="2:9">
      <c r="B1069" s="85">
        <v>45320</v>
      </c>
      <c r="C1069" s="82" t="s">
        <v>6012</v>
      </c>
      <c r="D1069" s="33" t="s">
        <v>6013</v>
      </c>
      <c r="E1069" s="69" t="str">
        <f>RIGHT(บันทึกนำเข้าDrawing[[#This Row],[Drawing No]],1)</f>
        <v>0</v>
      </c>
      <c r="F1069" s="73" t="s">
        <v>4840</v>
      </c>
      <c r="G1069" s="118" t="s">
        <v>4027</v>
      </c>
      <c r="H1069" s="80">
        <v>45360</v>
      </c>
      <c r="I1069" s="29" t="str">
        <f>CONCATENATE(บันทึกนำเข้าDrawing[[#This Row],[Part No]],"+",บันทึกนำเข้าDrawing[[#This Row],[Drawing No]])</f>
        <v>2B26-218-05+DR-TW-2B26-218-05-00</v>
      </c>
    </row>
    <row r="1070" spans="2:9">
      <c r="B1070" s="81">
        <v>45320</v>
      </c>
      <c r="C1070" s="82" t="s">
        <v>6025</v>
      </c>
      <c r="D1070" s="33" t="s">
        <v>6026</v>
      </c>
      <c r="E1070" s="69" t="str">
        <f>RIGHT(บันทึกนำเข้าDrawing[[#This Row],[Drawing No]],1)</f>
        <v>0</v>
      </c>
      <c r="F1070" s="84" t="s">
        <v>6027</v>
      </c>
      <c r="G1070" s="120" t="s">
        <v>4027</v>
      </c>
      <c r="H1070" s="83">
        <v>45331</v>
      </c>
      <c r="I1070" s="29" t="str">
        <f>CONCATENATE(บันทึกนำเข้าDrawing[[#This Row],[Part No]],"+",บันทึกนำเข้าDrawing[[#This Row],[Drawing No]])</f>
        <v>2B26-231-05+DR-TW-2B26-231-05-00</v>
      </c>
    </row>
    <row r="1071" spans="2:9">
      <c r="B1071" s="81">
        <v>45320</v>
      </c>
      <c r="C1071" s="82" t="s">
        <v>6028</v>
      </c>
      <c r="D1071" s="33" t="s">
        <v>6029</v>
      </c>
      <c r="E1071" s="69" t="str">
        <f>RIGHT(บันทึกนำเข้าDrawing[[#This Row],[Drawing No]],1)</f>
        <v>0</v>
      </c>
      <c r="F1071" s="73" t="s">
        <v>3801</v>
      </c>
      <c r="G1071" s="120" t="s">
        <v>4027</v>
      </c>
      <c r="H1071" s="83">
        <v>45331</v>
      </c>
      <c r="I1071" s="29" t="str">
        <f>CONCATENATE(บันทึกนำเข้าDrawing[[#This Row],[Part No]],"+",บันทึกนำเข้าDrawing[[#This Row],[Drawing No]])</f>
        <v>2B26-244-04+DR-TW-2B26-244-04-00</v>
      </c>
    </row>
    <row r="1072" spans="2:9">
      <c r="B1072" s="71">
        <v>43169</v>
      </c>
      <c r="C1072" s="72" t="s">
        <v>3661</v>
      </c>
      <c r="D1072" s="33" t="s">
        <v>2271</v>
      </c>
      <c r="E1072" s="69" t="str">
        <f>RIGHT(บันทึกนำเข้าDrawing[[#This Row],[Drawing No]],1)</f>
        <v>8</v>
      </c>
      <c r="F1072" s="84" t="s">
        <v>6031</v>
      </c>
      <c r="G1072" s="120" t="s">
        <v>4027</v>
      </c>
      <c r="H1072" s="83">
        <v>45320</v>
      </c>
      <c r="I1072" s="29" t="str">
        <f>CONCATENATE(บันทึกนำเข้าDrawing[[#This Row],[Part No]],"+",บันทึกนำเข้าDrawing[[#This Row],[Drawing No]])</f>
        <v>2B91-089-02+DR-TW-2B25-022-05-08</v>
      </c>
    </row>
    <row r="1073" spans="2:9">
      <c r="B1073" s="81">
        <v>45321</v>
      </c>
      <c r="C1073" s="75" t="s">
        <v>6033</v>
      </c>
      <c r="D1073" s="33" t="s">
        <v>6032</v>
      </c>
      <c r="E1073" s="33" t="str">
        <f>RIGHT(บันทึกนำเข้าDrawing[[#This Row],[Drawing No]],1)</f>
        <v>0</v>
      </c>
      <c r="F1073" s="73" t="s">
        <v>3794</v>
      </c>
      <c r="G1073" s="118" t="s">
        <v>4027</v>
      </c>
      <c r="H1073" s="74">
        <v>45339</v>
      </c>
      <c r="I1073" s="29" t="str">
        <f>CONCATENATE(บันทึกนำเข้าDrawing[[#This Row],[Part No]],"+",บันทึกนำเข้าDrawing[[#This Row],[Drawing No]])</f>
        <v>2B26-280-05+DR-TW-2B26-280-05-00</v>
      </c>
    </row>
    <row r="1074" spans="2:9">
      <c r="B1074" s="85">
        <v>45348</v>
      </c>
      <c r="C1074" s="72" t="s">
        <v>6196</v>
      </c>
      <c r="D1074" s="33" t="s">
        <v>6197</v>
      </c>
      <c r="E1074" s="69" t="str">
        <f>RIGHT(บันทึกนำเข้าDrawing[[#This Row],[Drawing No]],1)</f>
        <v>0</v>
      </c>
      <c r="F1074" s="68" t="s">
        <v>6198</v>
      </c>
      <c r="G1074" s="118" t="s">
        <v>4521</v>
      </c>
      <c r="H1074" s="80"/>
      <c r="I1074" s="29" t="str">
        <f>CONCATENATE(บันทึกนำเข้าDrawing[[#This Row],[Part No]],"+",บันทึกนำเข้าDrawing[[#This Row],[Drawing No]])</f>
        <v>2B69M472-00+DR-TW-2B69M472-00-00</v>
      </c>
    </row>
    <row r="1075" spans="2:9">
      <c r="B1075" s="85">
        <v>45633</v>
      </c>
      <c r="C1075" s="72" t="s">
        <v>6838</v>
      </c>
      <c r="D1075" s="33" t="s">
        <v>6842</v>
      </c>
      <c r="E1075" s="69" t="str">
        <f>RIGHT(บันทึกนำเข้าDrawing[[#This Row],[Drawing No]],1)</f>
        <v>0</v>
      </c>
      <c r="F1075" s="68" t="s">
        <v>6839</v>
      </c>
      <c r="G1075" s="118" t="s">
        <v>4521</v>
      </c>
      <c r="H1075" s="80"/>
      <c r="I1075" s="29" t="str">
        <f>CONCATENATE(บันทึกนำเข้าDrawing[[#This Row],[Part No]],"+",บันทึกนำเข้าDrawing[[#This Row],[Drawing No]])</f>
        <v>2B69M655-00-8+DR-TW-2B69M655-00-8-00</v>
      </c>
    </row>
    <row r="1076" spans="2:9">
      <c r="B1076" s="81">
        <v>44960</v>
      </c>
      <c r="C1076" s="82" t="s">
        <v>6042</v>
      </c>
      <c r="D1076" s="33" t="s">
        <v>6041</v>
      </c>
      <c r="E1076" s="69" t="str">
        <f>RIGHT(บันทึกนำเข้าDrawing[[#This Row],[Drawing No]],1)</f>
        <v>0</v>
      </c>
      <c r="F1076" s="84" t="s">
        <v>5567</v>
      </c>
      <c r="G1076" s="120" t="s">
        <v>3779</v>
      </c>
      <c r="H1076" s="83"/>
      <c r="I1076" s="29" t="str">
        <f>CONCATENATE(บันทึกนำเข้าDrawing[[#This Row],[Part No]],"+",บันทึกนำเข้าDrawing[[#This Row],[Drawing No]])</f>
        <v>2B26-193-01+DR-TW-2B26-193-01-00</v>
      </c>
    </row>
    <row r="1077" spans="2:9">
      <c r="B1077" s="85">
        <v>45511</v>
      </c>
      <c r="C1077" s="72" t="s">
        <v>6670</v>
      </c>
      <c r="D1077" s="33" t="s">
        <v>6671</v>
      </c>
      <c r="E1077" s="69" t="str">
        <f>RIGHT(บันทึกนำเข้าDrawing[[#This Row],[Drawing No]],1)</f>
        <v>0</v>
      </c>
      <c r="F1077" s="68" t="s">
        <v>6524</v>
      </c>
      <c r="G1077" s="118" t="s">
        <v>4521</v>
      </c>
      <c r="H1077" s="80"/>
      <c r="I1077" s="29" t="str">
        <f>CONCATENATE(บันทึกนำเข้าDrawing[[#This Row],[Part No]],"+",บันทึกนำเข้าDrawing[[#This Row],[Drawing No]])</f>
        <v>2B69M579-01+DR-TW-2B69M579-01-00</v>
      </c>
    </row>
    <row r="1078" spans="2:9">
      <c r="B1078" s="85">
        <v>45485</v>
      </c>
      <c r="C1078" s="72" t="s">
        <v>6577</v>
      </c>
      <c r="D1078" s="33" t="s">
        <v>6580</v>
      </c>
      <c r="E1078" s="69" t="str">
        <f>RIGHT(บันทึกนำเข้าDrawing[[#This Row],[Drawing No]],1)</f>
        <v>0</v>
      </c>
      <c r="F1078" s="106" t="s">
        <v>6581</v>
      </c>
      <c r="G1078" s="118" t="s">
        <v>4521</v>
      </c>
      <c r="H1078" s="80"/>
      <c r="I1078" s="29" t="str">
        <f>CONCATENATE(บันทึกนำเข้าDrawing[[#This Row],[Part No]],"+",บันทึกนำเข้าDrawing[[#This Row],[Drawing No]])</f>
        <v>2B69M592-00+DR-TW-2B69M518-00-00</v>
      </c>
    </row>
    <row r="1079" spans="2:9">
      <c r="B1079" s="85">
        <v>45324</v>
      </c>
      <c r="C1079" s="72" t="s">
        <v>6052</v>
      </c>
      <c r="D1079" s="33" t="s">
        <v>6051</v>
      </c>
      <c r="E1079" s="69" t="str">
        <f>RIGHT(บันทึกนำเข้าDrawing[[#This Row],[Drawing No]],1)</f>
        <v>0</v>
      </c>
      <c r="F1079" s="55" t="s">
        <v>6053</v>
      </c>
      <c r="G1079" s="118" t="s">
        <v>3772</v>
      </c>
      <c r="H1079" s="80"/>
      <c r="I1079" s="29" t="str">
        <f>CONCATENATE(บันทึกนำเข้าDrawing[[#This Row],[Part No]],"+",บันทึกนำเข้าDrawing[[#This Row],[Drawing No]])</f>
        <v>2B69A049-00+DR-TW-2B69A049-00-00</v>
      </c>
    </row>
    <row r="1080" spans="2:9">
      <c r="B1080" s="85">
        <v>45485</v>
      </c>
      <c r="C1080" s="72" t="s">
        <v>6577</v>
      </c>
      <c r="D1080" s="33" t="s">
        <v>6582</v>
      </c>
      <c r="E1080" s="69" t="str">
        <f>RIGHT(บันทึกนำเข้าDrawing[[#This Row],[Drawing No]],1)</f>
        <v>0</v>
      </c>
      <c r="F1080" s="253" t="s">
        <v>6583</v>
      </c>
      <c r="G1080" s="118" t="s">
        <v>4521</v>
      </c>
      <c r="H1080" s="80"/>
      <c r="I1080" s="29" t="str">
        <f>CONCATENATE(บันทึกนำเข้าDrawing[[#This Row],[Part No]],"+",บันทึกนำเข้าDrawing[[#This Row],[Drawing No]])</f>
        <v>2B69M593-00+DR-TW-2B69M518-00-00</v>
      </c>
    </row>
    <row r="1081" spans="2:9">
      <c r="B1081" s="85">
        <v>45617</v>
      </c>
      <c r="C1081" s="72" t="s">
        <v>6819</v>
      </c>
      <c r="D1081" s="33" t="s">
        <v>6820</v>
      </c>
      <c r="E1081" s="69" t="str">
        <f>RIGHT(บันทึกนำเข้าDrawing[[#This Row],[Drawing No]],1)</f>
        <v>0</v>
      </c>
      <c r="F1081" s="253" t="s">
        <v>6579</v>
      </c>
      <c r="G1081" s="118" t="s">
        <v>4521</v>
      </c>
      <c r="H1081" s="80"/>
      <c r="I1081" s="29" t="str">
        <f>CONCATENATE(บันทึกนำเข้าDrawing[[#This Row],[Part No]],"+",บันทึกนำเข้าDrawing[[#This Row],[Drawing No]])</f>
        <v>2B69M518-01+DR-TW-2B69M518-01-00</v>
      </c>
    </row>
    <row r="1082" spans="2:9">
      <c r="B1082" s="85">
        <v>45570</v>
      </c>
      <c r="C1082" s="86" t="s">
        <v>6737</v>
      </c>
      <c r="D1082" s="2" t="s">
        <v>6738</v>
      </c>
      <c r="E1082" s="69" t="str">
        <f>RIGHT(บันทึกนำเข้าDrawing[[#This Row],[Drawing No]],1)</f>
        <v>0</v>
      </c>
      <c r="F1082" s="55" t="s">
        <v>6739</v>
      </c>
      <c r="G1082" s="118" t="s">
        <v>4521</v>
      </c>
      <c r="H1082" s="80"/>
      <c r="I1082" s="29" t="str">
        <f>CONCATENATE(บันทึกนำเข้าDrawing[[#This Row],[Part No]],"+",บันทึกนำเข้าDrawing[[#This Row],[Drawing No]])</f>
        <v>2B69M638-00+DR-TW-2B69M638-00-00</v>
      </c>
    </row>
    <row r="1083" spans="2:9">
      <c r="B1083" s="85">
        <v>45378</v>
      </c>
      <c r="C1083" s="72" t="s">
        <v>6286</v>
      </c>
      <c r="D1083" s="33" t="s">
        <v>6287</v>
      </c>
      <c r="E1083" s="69" t="str">
        <f>RIGHT(บันทึกนำเข้าDrawing[[#This Row],[Drawing No]],1)</f>
        <v>0</v>
      </c>
      <c r="F1083" s="255" t="s">
        <v>6288</v>
      </c>
      <c r="G1083" s="118" t="s">
        <v>4521</v>
      </c>
      <c r="H1083" s="80"/>
      <c r="I1083" s="29" t="str">
        <f>CONCATENATE(บันทึกนำเข้าDrawing[[#This Row],[Part No]],"+",บันทึกนำเข้าDrawing[[#This Row],[Drawing No]])</f>
        <v>2B69M547-00+DR-TW-2B69M547-00-00</v>
      </c>
    </row>
    <row r="1084" spans="2:9">
      <c r="B1084" s="85">
        <v>45670</v>
      </c>
      <c r="C1084" s="86" t="s">
        <v>6851</v>
      </c>
      <c r="D1084" s="2" t="s">
        <v>6853</v>
      </c>
      <c r="E1084" s="69" t="str">
        <f>RIGHT(บันทึกนำเข้าDrawing[[#This Row],[Drawing No]],1)</f>
        <v>0</v>
      </c>
      <c r="F1084" s="55" t="s">
        <v>6852</v>
      </c>
      <c r="G1084" s="118" t="s">
        <v>4521</v>
      </c>
      <c r="H1084" s="80"/>
      <c r="I1084" s="29" t="str">
        <f>CONCATENATE(บันทึกนำเข้าDrawing[[#This Row],[Part No]],"+",บันทึกนำเข้าDrawing[[#This Row],[Drawing No]])</f>
        <v>2B69M667-00+DR-TW-2B69M666-00-00</v>
      </c>
    </row>
    <row r="1085" spans="2:9">
      <c r="B1085" s="85">
        <v>45670</v>
      </c>
      <c r="C1085" s="86" t="s">
        <v>6851</v>
      </c>
      <c r="D1085" s="2" t="s">
        <v>6855</v>
      </c>
      <c r="E1085" s="69" t="str">
        <f>RIGHT(บันทึกนำเข้าDrawing[[#This Row],[Drawing No]],1)</f>
        <v>0</v>
      </c>
      <c r="F1085" s="55" t="s">
        <v>6854</v>
      </c>
      <c r="G1085" s="118" t="s">
        <v>4521</v>
      </c>
      <c r="H1085" s="80"/>
      <c r="I1085" s="29" t="str">
        <f>CONCATENATE(บันทึกนำเข้าDrawing[[#This Row],[Part No]],"+",บันทึกนำเข้าDrawing[[#This Row],[Drawing No]])</f>
        <v>2B69M668-00+DR-TW-2B69M666-00-00</v>
      </c>
    </row>
    <row r="1086" spans="2:9">
      <c r="B1086" s="81">
        <v>45328</v>
      </c>
      <c r="C1086" s="82" t="s">
        <v>6067</v>
      </c>
      <c r="D1086" s="33" t="s">
        <v>6068</v>
      </c>
      <c r="E1086" s="69" t="str">
        <f>RIGHT(บันทึกนำเข้าDrawing[[#This Row],[Drawing No]],1)</f>
        <v>0</v>
      </c>
      <c r="F1086" s="84" t="s">
        <v>4368</v>
      </c>
      <c r="G1086" s="120" t="s">
        <v>4029</v>
      </c>
      <c r="H1086" s="83"/>
      <c r="I1086" s="29" t="str">
        <f>CONCATENATE(บันทึกนำเข้าDrawing[[#This Row],[Part No]],"+",บันทึกนำเข้าDrawing[[#This Row],[Drawing No]])</f>
        <v>2B04-462-01+DR-TW-2B04-462-01-00</v>
      </c>
    </row>
    <row r="1087" spans="2:9">
      <c r="B1087" s="81">
        <v>45328</v>
      </c>
      <c r="C1087" s="86" t="s">
        <v>6069</v>
      </c>
      <c r="D1087" s="33" t="s">
        <v>6070</v>
      </c>
      <c r="E1087" s="33" t="str">
        <f>RIGHT(บันทึกนำเข้าDrawing[[#This Row],[Drawing No]],1)</f>
        <v>0</v>
      </c>
      <c r="F1087" s="10" t="s">
        <v>4847</v>
      </c>
      <c r="G1087" s="118" t="s">
        <v>4027</v>
      </c>
      <c r="H1087" s="74">
        <v>45434</v>
      </c>
      <c r="I1087" s="29" t="str">
        <f>CONCATENATE(บันทึกนำเข้าDrawing[[#This Row],[Part No]],"+",บันทึกนำเข้าDrawing[[#This Row],[Drawing No]])</f>
        <v>2B26-064-04+DR-TW-2B26-064-04-00</v>
      </c>
    </row>
    <row r="1088" spans="2:9">
      <c r="B1088" s="81">
        <v>45328</v>
      </c>
      <c r="C1088" s="75" t="s">
        <v>6071</v>
      </c>
      <c r="D1088" s="33" t="s">
        <v>6072</v>
      </c>
      <c r="E1088" s="69" t="str">
        <f>RIGHT(บันทึกนำเข้าDrawing[[#This Row],[Drawing No]],1)</f>
        <v>0</v>
      </c>
      <c r="F1088" s="68" t="s">
        <v>4725</v>
      </c>
      <c r="G1088" s="118" t="s">
        <v>3779</v>
      </c>
      <c r="H1088" s="80"/>
      <c r="I1088" s="29" t="str">
        <f>CONCATENATE(บันทึกนำเข้าDrawing[[#This Row],[Part No]],"+",บันทึกนำเข้าDrawing[[#This Row],[Drawing No]])</f>
        <v>2B26-081-02+DR-TW-2B26-081-02-00</v>
      </c>
    </row>
    <row r="1089" spans="2:9">
      <c r="B1089" s="81">
        <v>45328</v>
      </c>
      <c r="C1089" s="82" t="s">
        <v>6073</v>
      </c>
      <c r="D1089" s="33" t="s">
        <v>6074</v>
      </c>
      <c r="E1089" s="69" t="str">
        <f>RIGHT(บันทึกนำเข้าDrawing[[#This Row],[Drawing No]],1)</f>
        <v>0</v>
      </c>
      <c r="F1089" s="84" t="s">
        <v>4509</v>
      </c>
      <c r="G1089" s="120" t="s">
        <v>3779</v>
      </c>
      <c r="H1089" s="83"/>
      <c r="I1089" s="29" t="str">
        <f>CONCATENATE(บันทึกนำเข้าDrawing[[#This Row],[Part No]],"+",บันทึกนำเข้าDrawing[[#This Row],[Drawing No]])</f>
        <v>2B26-451-01+DR-TW-2B26-451-01-00</v>
      </c>
    </row>
    <row r="1090" spans="2:9">
      <c r="B1090" s="81">
        <v>45328</v>
      </c>
      <c r="C1090" s="72" t="s">
        <v>6076</v>
      </c>
      <c r="D1090" s="33" t="s">
        <v>6075</v>
      </c>
      <c r="E1090" s="69" t="str">
        <f>RIGHT(บันทึกนำเข้าDrawing[[#This Row],[Drawing No]],1)</f>
        <v>0</v>
      </c>
      <c r="F1090" s="68" t="s">
        <v>4686</v>
      </c>
      <c r="G1090" s="118" t="s">
        <v>4027</v>
      </c>
      <c r="H1090" s="80">
        <v>45339</v>
      </c>
      <c r="I1090" s="29" t="str">
        <f>CONCATENATE(บันทึกนำเข้าDrawing[[#This Row],[Part No]],"+",บันทึกนำเข้าDrawing[[#This Row],[Drawing No]])</f>
        <v>2B26-500-01+DR-TW-2B26-500-01-00</v>
      </c>
    </row>
    <row r="1091" spans="2:9">
      <c r="B1091" s="81">
        <v>45328</v>
      </c>
      <c r="C1091" s="72" t="s">
        <v>6077</v>
      </c>
      <c r="D1091" s="33" t="s">
        <v>6078</v>
      </c>
      <c r="E1091" s="69" t="str">
        <f>RIGHT(บันทึกนำเข้าDrawing[[#This Row],[Drawing No]],1)</f>
        <v>0</v>
      </c>
      <c r="F1091" s="68" t="s">
        <v>5477</v>
      </c>
      <c r="G1091" s="118" t="s">
        <v>4027</v>
      </c>
      <c r="H1091" s="80">
        <v>45453</v>
      </c>
      <c r="I1091" s="29" t="str">
        <f>CONCATENATE(บันทึกนำเข้าDrawing[[#This Row],[Part No]],"+",บันทึกนำเข้าDrawing[[#This Row],[Drawing No]])</f>
        <v>2B26-521-01+DR-TW-2B26-521-01-00</v>
      </c>
    </row>
    <row r="1092" spans="2:9">
      <c r="B1092" s="81">
        <v>45328</v>
      </c>
      <c r="C1092" s="82" t="s">
        <v>6079</v>
      </c>
      <c r="D1092" s="33" t="s">
        <v>6080</v>
      </c>
      <c r="E1092" s="69" t="str">
        <f>RIGHT(บันทึกนำเข้าDrawing[[#This Row],[Drawing No]],1)</f>
        <v>0</v>
      </c>
      <c r="F1092" s="84" t="s">
        <v>5539</v>
      </c>
      <c r="G1092" s="120" t="s">
        <v>4027</v>
      </c>
      <c r="H1092" s="83">
        <v>45339</v>
      </c>
      <c r="I1092" s="29" t="str">
        <f>CONCATENATE(บันทึกนำเข้าDrawing[[#This Row],[Part No]],"+",บันทึกนำเข้าDrawing[[#This Row],[Drawing No]])</f>
        <v>2B26-581-01+DR-TW-2B26-581-01-00</v>
      </c>
    </row>
    <row r="1093" spans="2:9">
      <c r="B1093" s="81">
        <v>43262</v>
      </c>
      <c r="C1093" s="82" t="s">
        <v>3671</v>
      </c>
      <c r="D1093" s="33" t="s">
        <v>2289</v>
      </c>
      <c r="E1093" s="69" t="str">
        <f>RIGHT(บันทึกนำเข้าDrawing[[#This Row],[Drawing No]],1)</f>
        <v>0</v>
      </c>
      <c r="F1093" s="55" t="s">
        <v>2795</v>
      </c>
      <c r="G1093" s="120" t="s">
        <v>4027</v>
      </c>
      <c r="H1093" s="83">
        <v>45352</v>
      </c>
      <c r="I1093" s="29" t="str">
        <f>CONCATENATE(บันทึกนำเข้าDrawing[[#This Row],[Part No]],"+",บันทึกนำเข้าDrawing[[#This Row],[Drawing No]])</f>
        <v>2B91-195-00+DR-TW-2B91-195-00-00</v>
      </c>
    </row>
    <row r="1094" spans="2:9">
      <c r="B1094" s="81">
        <v>45335</v>
      </c>
      <c r="C1094" s="82" t="s">
        <v>6101</v>
      </c>
      <c r="D1094" s="33" t="s">
        <v>6009</v>
      </c>
      <c r="E1094" s="69" t="str">
        <f>RIGHT(บันทึกนำเข้าDrawing[[#This Row],[Drawing No]],1)</f>
        <v>1</v>
      </c>
      <c r="F1094" s="68" t="s">
        <v>5524</v>
      </c>
      <c r="G1094" s="120" t="s">
        <v>4029</v>
      </c>
      <c r="H1094" s="83"/>
      <c r="I1094" s="29" t="str">
        <f>CONCATENATE(บันทึกนำเข้าDrawing[[#This Row],[Part No]],"+",บันทึกนำเข้าDrawing[[#This Row],[Drawing No]])</f>
        <v>2B04-450-02+DR-TW-2B04-450-02-01</v>
      </c>
    </row>
    <row r="1095" spans="2:9">
      <c r="B1095" s="81">
        <v>45335</v>
      </c>
      <c r="C1095" s="82" t="s">
        <v>6102</v>
      </c>
      <c r="D1095" s="33" t="s">
        <v>6103</v>
      </c>
      <c r="E1095" s="69" t="str">
        <f>RIGHT(บันทึกนำเข้าDrawing[[#This Row],[Drawing No]],1)</f>
        <v>1</v>
      </c>
      <c r="F1095" s="84" t="s">
        <v>5612</v>
      </c>
      <c r="G1095" s="120" t="s">
        <v>4029</v>
      </c>
      <c r="H1095" s="83"/>
      <c r="I1095" s="29" t="str">
        <f>CONCATENATE(บันทึกนำเข้าDrawing[[#This Row],[Part No]],"+",บันทึกนำเข้าDrawing[[#This Row],[Drawing No]])</f>
        <v>2B04-425-02+DR-TW-2B04-425-02-01</v>
      </c>
    </row>
    <row r="1096" spans="2:9">
      <c r="B1096" s="81">
        <v>45335</v>
      </c>
      <c r="C1096" s="82" t="s">
        <v>6104</v>
      </c>
      <c r="D1096" s="33" t="s">
        <v>6105</v>
      </c>
      <c r="E1096" s="69" t="str">
        <f>RIGHT(บันทึกนำเข้าDrawing[[#This Row],[Drawing No]],1)</f>
        <v>0</v>
      </c>
      <c r="F1096" s="84" t="s">
        <v>6106</v>
      </c>
      <c r="G1096" s="120" t="s">
        <v>3772</v>
      </c>
      <c r="H1096" s="83"/>
      <c r="I1096" s="29" t="str">
        <f>CONCATENATE(บันทึกนำเข้าDrawing[[#This Row],[Part No]],"+",บันทึกนำเข้าDrawing[[#This Row],[Drawing No]])</f>
        <v>2B25-334-00+DR-TW-2B25-334-00-00</v>
      </c>
    </row>
    <row r="1097" spans="2:9">
      <c r="B1097" s="81">
        <v>45335</v>
      </c>
      <c r="C1097" s="90" t="s">
        <v>6107</v>
      </c>
      <c r="D1097" s="33" t="s">
        <v>6108</v>
      </c>
      <c r="E1097" s="69" t="str">
        <f>RIGHT(บันทึกนำเข้าDrawing[[#This Row],[Drawing No]],1)</f>
        <v>0</v>
      </c>
      <c r="F1097" s="84" t="s">
        <v>3785</v>
      </c>
      <c r="G1097" s="118" t="s">
        <v>4027</v>
      </c>
      <c r="H1097" s="83">
        <v>45479</v>
      </c>
      <c r="I1097" s="29" t="str">
        <f>CONCATENATE(บันทึกนำเข้าDrawing[[#This Row],[Part No]],"+",บันทึกนำเข้าDrawing[[#This Row],[Drawing No]])</f>
        <v>2B26-043-09+DR-TW-2B26-043-09-00</v>
      </c>
    </row>
    <row r="1098" spans="2:9">
      <c r="B1098" s="81">
        <v>45335</v>
      </c>
      <c r="C1098" s="82" t="s">
        <v>6085</v>
      </c>
      <c r="D1098" s="33" t="s">
        <v>6084</v>
      </c>
      <c r="E1098" s="69" t="str">
        <f>RIGHT(บันทึกนำเข้าDrawing[[#This Row],[Drawing No]],1)</f>
        <v>0</v>
      </c>
      <c r="F1098" s="84" t="s">
        <v>5313</v>
      </c>
      <c r="G1098" s="120" t="s">
        <v>4027</v>
      </c>
      <c r="H1098" s="83">
        <v>45337</v>
      </c>
      <c r="I1098" s="29" t="str">
        <f>CONCATENATE(บันทึกนำเข้าDrawing[[#This Row],[Part No]],"+",บันทึกนำเข้าDrawing[[#This Row],[Drawing No]])</f>
        <v>2B26-085-01+DR-TW-2B26-085-01-00</v>
      </c>
    </row>
    <row r="1099" spans="2:9">
      <c r="B1099" s="81">
        <v>45335</v>
      </c>
      <c r="C1099" s="82" t="s">
        <v>6109</v>
      </c>
      <c r="D1099" s="33" t="s">
        <v>6110</v>
      </c>
      <c r="E1099" s="69" t="str">
        <f>RIGHT(บันทึกนำเข้าDrawing[[#This Row],[Drawing No]],1)</f>
        <v>0</v>
      </c>
      <c r="F1099" s="84" t="s">
        <v>6111</v>
      </c>
      <c r="G1099" s="120" t="s">
        <v>4027</v>
      </c>
      <c r="H1099" s="83">
        <v>45387</v>
      </c>
      <c r="I1099" s="29" t="str">
        <f>CONCATENATE(บันทึกนำเข้าDrawing[[#This Row],[Part No]],"+",บันทึกนำเข้าDrawing[[#This Row],[Drawing No]])</f>
        <v>2B26-147-00+DR-TW-2B26-147-00-00</v>
      </c>
    </row>
    <row r="1100" spans="2:9">
      <c r="B1100" s="81">
        <v>45335</v>
      </c>
      <c r="C1100" s="78" t="s">
        <v>6112</v>
      </c>
      <c r="D1100" s="33" t="s">
        <v>6113</v>
      </c>
      <c r="E1100" s="33" t="str">
        <f>RIGHT(บันทึกนำเข้าDrawing[[#This Row],[Drawing No]],1)</f>
        <v>0</v>
      </c>
      <c r="F1100" s="79" t="s">
        <v>3814</v>
      </c>
      <c r="G1100" s="118" t="s">
        <v>4027</v>
      </c>
      <c r="H1100" s="74"/>
      <c r="I1100" s="29" t="str">
        <f>CONCATENATE(บันทึกนำเข้าDrawing[[#This Row],[Part No]],"+",บันทึกนำเข้าDrawing[[#This Row],[Drawing No]])</f>
        <v>2B26-215-08+DR-TW-2B26-215-08-00</v>
      </c>
    </row>
    <row r="1101" spans="2:9">
      <c r="B1101" s="85">
        <v>45335</v>
      </c>
      <c r="C1101" s="75" t="s">
        <v>6114</v>
      </c>
      <c r="D1101" s="33" t="s">
        <v>6115</v>
      </c>
      <c r="E1101" s="33" t="str">
        <f>RIGHT(บันทึกนำเข้าDrawing[[#This Row],[Drawing No]],1)</f>
        <v>0</v>
      </c>
      <c r="F1101" s="73" t="s">
        <v>3896</v>
      </c>
      <c r="G1101" s="118" t="s">
        <v>4027</v>
      </c>
      <c r="H1101" s="74">
        <v>45407</v>
      </c>
      <c r="I1101" s="29" t="str">
        <f>CONCATENATE(บันทึกนำเข้าDrawing[[#This Row],[Part No]],"+",บันทึกนำเข้าDrawing[[#This Row],[Drawing No]])</f>
        <v>2B26-219-04+DR-TW-2B26-219-04-00</v>
      </c>
    </row>
    <row r="1102" spans="2:9">
      <c r="B1102" s="85">
        <v>45335</v>
      </c>
      <c r="C1102" s="82" t="s">
        <v>6089</v>
      </c>
      <c r="D1102" s="33" t="s">
        <v>6088</v>
      </c>
      <c r="E1102" s="69" t="str">
        <f>RIGHT(บันทึกนำเข้าDrawing[[#This Row],[Drawing No]],1)</f>
        <v>0</v>
      </c>
      <c r="F1102" s="84" t="s">
        <v>4295</v>
      </c>
      <c r="G1102" s="120" t="s">
        <v>4027</v>
      </c>
      <c r="H1102" s="83">
        <v>45337</v>
      </c>
      <c r="I1102" s="29" t="str">
        <f>CONCATENATE(บันทึกนำเข้าDrawing[[#This Row],[Part No]],"+",บันทึกนำเข้าDrawing[[#This Row],[Drawing No]])</f>
        <v>2B26-233-01+DR-TW-2B26-233-01-00</v>
      </c>
    </row>
    <row r="1103" spans="2:9">
      <c r="B1103" s="85">
        <v>45335</v>
      </c>
      <c r="C1103" s="75" t="s">
        <v>6087</v>
      </c>
      <c r="D1103" s="33" t="s">
        <v>6086</v>
      </c>
      <c r="E1103" s="33" t="str">
        <f>RIGHT(บันทึกนำเข้าDrawing[[#This Row],[Drawing No]],1)</f>
        <v>0</v>
      </c>
      <c r="F1103" s="73" t="s">
        <v>3858</v>
      </c>
      <c r="G1103" s="118" t="s">
        <v>4027</v>
      </c>
      <c r="H1103" s="74">
        <v>45337</v>
      </c>
      <c r="I1103" s="29" t="str">
        <f>CONCATENATE(บันทึกนำเข้าDrawing[[#This Row],[Part No]],"+",บันทึกนำเข้าDrawing[[#This Row],[Drawing No]])</f>
        <v>2B26-235-04+DR-TW-2B26-235-04-00</v>
      </c>
    </row>
    <row r="1104" spans="2:9">
      <c r="B1104" s="85">
        <v>45335</v>
      </c>
      <c r="C1104" s="75" t="s">
        <v>6083</v>
      </c>
      <c r="D1104" s="33" t="s">
        <v>6082</v>
      </c>
      <c r="E1104" s="69" t="str">
        <f>RIGHT(บันทึกนำเข้าDrawing[[#This Row],[Drawing No]],1)</f>
        <v>0</v>
      </c>
      <c r="F1104" s="68" t="s">
        <v>3894</v>
      </c>
      <c r="G1104" s="118" t="s">
        <v>4027</v>
      </c>
      <c r="H1104" s="80">
        <v>45341</v>
      </c>
      <c r="I1104" s="29" t="str">
        <f>CONCATENATE(บันทึกนำเข้าDrawing[[#This Row],[Part No]],"+",บันทึกนำเข้าDrawing[[#This Row],[Drawing No]])</f>
        <v>2B26-282-01+DR-TW-2B26-282-01-00</v>
      </c>
    </row>
    <row r="1105" spans="2:9">
      <c r="B1105" s="85">
        <v>45335</v>
      </c>
      <c r="C1105" s="90" t="s">
        <v>6099</v>
      </c>
      <c r="D1105" s="33" t="s">
        <v>6098</v>
      </c>
      <c r="E1105" s="69" t="str">
        <f>RIGHT(บันทึกนำเข้าDrawing[[#This Row],[Drawing No]],1)</f>
        <v>0</v>
      </c>
      <c r="F1105" s="84" t="s">
        <v>3968</v>
      </c>
      <c r="G1105" s="118" t="s">
        <v>4027</v>
      </c>
      <c r="H1105" s="83">
        <v>45339</v>
      </c>
      <c r="I1105" s="29" t="str">
        <f>CONCATENATE(บันทึกนำเข้าDrawing[[#This Row],[Part No]],"+",บันทึกนำเข้าDrawing[[#This Row],[Drawing No]])</f>
        <v>2B26-292-01+DR-TW-2B26-292-01-00</v>
      </c>
    </row>
    <row r="1106" spans="2:9">
      <c r="B1106" s="85">
        <v>45335</v>
      </c>
      <c r="C1106" s="78" t="s">
        <v>6095</v>
      </c>
      <c r="D1106" s="33" t="s">
        <v>6094</v>
      </c>
      <c r="E1106" s="69" t="str">
        <f>RIGHT(บันทึกนำเข้าDrawing[[#This Row],[Drawing No]],1)</f>
        <v>0</v>
      </c>
      <c r="F1106" s="84" t="s">
        <v>3970</v>
      </c>
      <c r="G1106" s="118" t="s">
        <v>4027</v>
      </c>
      <c r="H1106" s="83">
        <v>45338</v>
      </c>
      <c r="I1106" s="29" t="str">
        <f>CONCATENATE(บันทึกนำเข้าDrawing[[#This Row],[Part No]],"+",บันทึกนำเข้าDrawing[[#This Row],[Drawing No]])</f>
        <v>2B26-294-01+DR-TW-2B26-294-01-00</v>
      </c>
    </row>
    <row r="1107" spans="2:9">
      <c r="B1107" s="85">
        <v>45335</v>
      </c>
      <c r="C1107" s="86" t="s">
        <v>6117</v>
      </c>
      <c r="D1107" s="33" t="s">
        <v>6116</v>
      </c>
      <c r="E1107" s="69" t="str">
        <f>RIGHT(บันทึกนำเข้าDrawing[[#This Row],[Drawing No]],1)</f>
        <v>0</v>
      </c>
      <c r="F1107" s="37" t="s">
        <v>4745</v>
      </c>
      <c r="G1107" s="118" t="s">
        <v>4027</v>
      </c>
      <c r="H1107" s="80">
        <v>45342</v>
      </c>
      <c r="I1107" s="29" t="str">
        <f>CONCATENATE(บันทึกนำเข้าDrawing[[#This Row],[Part No]],"+",บันทึกนำเข้าDrawing[[#This Row],[Drawing No]])</f>
        <v>2B29-431-02+DR-TW-2B29-431-02-00</v>
      </c>
    </row>
    <row r="1108" spans="2:9">
      <c r="B1108" s="85">
        <v>45342</v>
      </c>
      <c r="C1108" s="82" t="s">
        <v>6122</v>
      </c>
      <c r="D1108" s="33" t="s">
        <v>5898</v>
      </c>
      <c r="E1108" s="69" t="str">
        <f>RIGHT(บันทึกนำเข้าDrawing[[#This Row],[Drawing No]],1)</f>
        <v>0</v>
      </c>
      <c r="F1108" s="84" t="s">
        <v>5899</v>
      </c>
      <c r="G1108" s="120" t="s">
        <v>4027</v>
      </c>
      <c r="H1108" s="83">
        <v>45309</v>
      </c>
      <c r="I1108" s="29" t="str">
        <f>CONCATENATE(บันทึกนำเข้าDrawing[[#This Row],[Part No]],"+",บันทึกนำเข้าDrawing[[#This Row],[Drawing No]])</f>
        <v>2B19G135-00+DR-TW-2B19G135-00-00</v>
      </c>
    </row>
    <row r="1109" spans="2:9">
      <c r="B1109" s="85">
        <v>45342</v>
      </c>
      <c r="C1109" s="82" t="s">
        <v>6123</v>
      </c>
      <c r="D1109" s="33" t="s">
        <v>5900</v>
      </c>
      <c r="E1109" s="69" t="str">
        <f>RIGHT(บันทึกนำเข้าDrawing[[#This Row],[Drawing No]],1)</f>
        <v>1</v>
      </c>
      <c r="F1109" s="84" t="s">
        <v>5902</v>
      </c>
      <c r="G1109" s="120" t="s">
        <v>3779</v>
      </c>
      <c r="H1109" s="80"/>
      <c r="I1109" s="29" t="str">
        <f>CONCATENATE(บันทึกนำเข้าDrawing[[#This Row],[Part No]],"+",บันทึกนำเข้าDrawing[[#This Row],[Drawing No]])</f>
        <v>2B19G150-00+DR-TW-2B19G135-00-01</v>
      </c>
    </row>
    <row r="1110" spans="2:9">
      <c r="B1110" s="85">
        <v>45342</v>
      </c>
      <c r="C1110" s="82" t="s">
        <v>6123</v>
      </c>
      <c r="D1110" s="33" t="s">
        <v>5901</v>
      </c>
      <c r="E1110" s="69" t="str">
        <f>RIGHT(บันทึกนำเข้าDrawing[[#This Row],[Drawing No]],1)</f>
        <v>1</v>
      </c>
      <c r="F1110" s="84" t="s">
        <v>5910</v>
      </c>
      <c r="G1110" s="120" t="s">
        <v>3779</v>
      </c>
      <c r="H1110" s="80"/>
      <c r="I1110" s="29" t="str">
        <f>CONCATENATE(บันทึกนำเข้าDrawing[[#This Row],[Part No]],"+",บันทึกนำเข้าDrawing[[#This Row],[Drawing No]])</f>
        <v>2B19G155-00+DR-TW-2B19G135-00-01</v>
      </c>
    </row>
    <row r="1111" spans="2:9">
      <c r="B1111" s="85">
        <v>45342</v>
      </c>
      <c r="C1111" s="82" t="s">
        <v>6123</v>
      </c>
      <c r="D1111" s="33" t="s">
        <v>5903</v>
      </c>
      <c r="E1111" s="69" t="str">
        <f>RIGHT(บันทึกนำเข้าDrawing[[#This Row],[Drawing No]],1)</f>
        <v>1</v>
      </c>
      <c r="F1111" s="84" t="s">
        <v>5911</v>
      </c>
      <c r="G1111" s="120" t="s">
        <v>3779</v>
      </c>
      <c r="H1111" s="80"/>
      <c r="I1111" s="29" t="str">
        <f>CONCATENATE(บันทึกนำเข้าDrawing[[#This Row],[Part No]],"+",บันทึกนำเข้าDrawing[[#This Row],[Drawing No]])</f>
        <v>2B19G160-00+DR-TW-2B19G135-00-01</v>
      </c>
    </row>
    <row r="1112" spans="2:9">
      <c r="B1112" s="85">
        <v>45342</v>
      </c>
      <c r="C1112" s="82" t="s">
        <v>6123</v>
      </c>
      <c r="D1112" s="33" t="s">
        <v>5904</v>
      </c>
      <c r="E1112" s="69" t="str">
        <f>RIGHT(บันทึกนำเข้าDrawing[[#This Row],[Drawing No]],1)</f>
        <v>1</v>
      </c>
      <c r="F1112" s="84" t="s">
        <v>5912</v>
      </c>
      <c r="G1112" s="120" t="s">
        <v>3779</v>
      </c>
      <c r="H1112" s="80"/>
      <c r="I1112" s="29" t="str">
        <f>CONCATENATE(บันทึกนำเข้าDrawing[[#This Row],[Part No]],"+",บันทึกนำเข้าDrawing[[#This Row],[Drawing No]])</f>
        <v>2B19G165-00+DR-TW-2B19G135-00-01</v>
      </c>
    </row>
    <row r="1113" spans="2:9">
      <c r="B1113" s="85">
        <v>45342</v>
      </c>
      <c r="C1113" s="82" t="s">
        <v>6123</v>
      </c>
      <c r="D1113" s="33" t="s">
        <v>5905</v>
      </c>
      <c r="E1113" s="69" t="str">
        <f>RIGHT(บันทึกนำเข้าDrawing[[#This Row],[Drawing No]],1)</f>
        <v>1</v>
      </c>
      <c r="F1113" s="84" t="s">
        <v>5913</v>
      </c>
      <c r="G1113" s="120" t="s">
        <v>3779</v>
      </c>
      <c r="H1113" s="80"/>
      <c r="I1113" s="29" t="str">
        <f>CONCATENATE(บันทึกนำเข้าDrawing[[#This Row],[Part No]],"+",บันทึกนำเข้าDrawing[[#This Row],[Drawing No]])</f>
        <v>2B19G170-00+DR-TW-2B19G135-00-01</v>
      </c>
    </row>
    <row r="1114" spans="2:9">
      <c r="B1114" s="85">
        <v>45342</v>
      </c>
      <c r="C1114" s="82" t="s">
        <v>6123</v>
      </c>
      <c r="D1114" s="33" t="s">
        <v>5906</v>
      </c>
      <c r="E1114" s="69" t="str">
        <f>RIGHT(บันทึกนำเข้าDrawing[[#This Row],[Drawing No]],1)</f>
        <v>1</v>
      </c>
      <c r="F1114" s="84" t="s">
        <v>5914</v>
      </c>
      <c r="G1114" s="120" t="s">
        <v>3779</v>
      </c>
      <c r="H1114" s="83"/>
      <c r="I1114" s="29" t="str">
        <f>CONCATENATE(บันทึกนำเข้าDrawing[[#This Row],[Part No]],"+",บันทึกนำเข้าDrawing[[#This Row],[Drawing No]])</f>
        <v>2B19G175-00+DR-TW-2B19G135-00-01</v>
      </c>
    </row>
    <row r="1115" spans="2:9">
      <c r="B1115" s="85">
        <v>45342</v>
      </c>
      <c r="C1115" s="82" t="s">
        <v>6123</v>
      </c>
      <c r="D1115" s="33" t="s">
        <v>5907</v>
      </c>
      <c r="E1115" s="69" t="str">
        <f>RIGHT(บันทึกนำเข้าDrawing[[#This Row],[Drawing No]],1)</f>
        <v>1</v>
      </c>
      <c r="F1115" s="84" t="s">
        <v>5915</v>
      </c>
      <c r="G1115" s="120" t="s">
        <v>3779</v>
      </c>
      <c r="H1115" s="83"/>
      <c r="I1115" s="29" t="str">
        <f>CONCATENATE(บันทึกนำเข้าDrawing[[#This Row],[Part No]],"+",บันทึกนำเข้าDrawing[[#This Row],[Drawing No]])</f>
        <v>2B19G185-00+DR-TW-2B19G135-00-01</v>
      </c>
    </row>
    <row r="1116" spans="2:9">
      <c r="B1116" s="85">
        <v>45342</v>
      </c>
      <c r="C1116" s="82" t="s">
        <v>6123</v>
      </c>
      <c r="D1116" s="33" t="s">
        <v>5908</v>
      </c>
      <c r="E1116" s="69" t="str">
        <f>RIGHT(บันทึกนำเข้าDrawing[[#This Row],[Drawing No]],1)</f>
        <v>1</v>
      </c>
      <c r="F1116" s="84" t="s">
        <v>5916</v>
      </c>
      <c r="G1116" s="120" t="s">
        <v>3779</v>
      </c>
      <c r="H1116" s="83"/>
      <c r="I1116" s="29" t="str">
        <f>CONCATENATE(บันทึกนำเข้าDrawing[[#This Row],[Part No]],"+",บันทึกนำเข้าDrawing[[#This Row],[Drawing No]])</f>
        <v>2B19G205-00+DR-TW-2B19G135-00-01</v>
      </c>
    </row>
    <row r="1117" spans="2:9">
      <c r="B1117" s="85">
        <v>45342</v>
      </c>
      <c r="C1117" s="82" t="s">
        <v>6123</v>
      </c>
      <c r="D1117" s="33" t="s">
        <v>5909</v>
      </c>
      <c r="E1117" s="69" t="str">
        <f>RIGHT(บันทึกนำเข้าDrawing[[#This Row],[Drawing No]],1)</f>
        <v>1</v>
      </c>
      <c r="F1117" s="84" t="s">
        <v>5917</v>
      </c>
      <c r="G1117" s="120" t="s">
        <v>3779</v>
      </c>
      <c r="H1117" s="83"/>
      <c r="I1117" s="29" t="str">
        <f>CONCATENATE(บันทึกนำเข้าDrawing[[#This Row],[Part No]],"+",บันทึกนำเข้าDrawing[[#This Row],[Drawing No]])</f>
        <v>2B19G240-00+DR-TW-2B19G135-00-01</v>
      </c>
    </row>
    <row r="1118" spans="2:9">
      <c r="B1118" s="85">
        <v>45342</v>
      </c>
      <c r="C1118" s="82" t="s">
        <v>6123</v>
      </c>
      <c r="D1118" s="33" t="s">
        <v>6124</v>
      </c>
      <c r="E1118" s="69" t="str">
        <f>RIGHT(บันทึกนำเข้าDrawing[[#This Row],[Drawing No]],1)</f>
        <v>1</v>
      </c>
      <c r="F1118" s="84" t="s">
        <v>6125</v>
      </c>
      <c r="G1118" s="118" t="s">
        <v>3772</v>
      </c>
      <c r="H1118" s="80"/>
      <c r="I1118" s="29" t="str">
        <f>CONCATENATE(บันทึกนำเข้าDrawing[[#This Row],[Part No]],"+",บันทึกนำเข้าDrawing[[#This Row],[Drawing No]])</f>
        <v>2B19G145-00+DR-TW-2B19G135-00-01</v>
      </c>
    </row>
    <row r="1119" spans="2:9">
      <c r="B1119" s="85">
        <v>45342</v>
      </c>
      <c r="C1119" s="82" t="s">
        <v>6123</v>
      </c>
      <c r="D1119" s="33" t="s">
        <v>6126</v>
      </c>
      <c r="E1119" s="69" t="str">
        <f>RIGHT(บันทึกนำเข้าDrawing[[#This Row],[Drawing No]],1)</f>
        <v>1</v>
      </c>
      <c r="F1119" s="84" t="s">
        <v>6127</v>
      </c>
      <c r="G1119" s="120" t="s">
        <v>3772</v>
      </c>
      <c r="H1119" s="83"/>
      <c r="I1119" s="29" t="str">
        <f>CONCATENATE(บันทึกนำเข้าDrawing[[#This Row],[Part No]],"+",บันทึกนำเข้าDrawing[[#This Row],[Drawing No]])</f>
        <v>2B19G200-00+DR-TW-2B19G135-00-01</v>
      </c>
    </row>
    <row r="1120" spans="2:9">
      <c r="B1120" s="85">
        <v>45342</v>
      </c>
      <c r="C1120" s="72" t="s">
        <v>6130</v>
      </c>
      <c r="D1120" s="33" t="s">
        <v>5935</v>
      </c>
      <c r="E1120" s="69" t="str">
        <f>RIGHT(บันทึกนำเข้าDrawing[[#This Row],[Drawing No]],1)</f>
        <v>1</v>
      </c>
      <c r="F1120" s="68" t="s">
        <v>5942</v>
      </c>
      <c r="G1120" s="118" t="s">
        <v>4029</v>
      </c>
      <c r="H1120" s="80"/>
      <c r="I1120" s="29" t="str">
        <f>CONCATENATE(บันทึกนำเข้าDrawing[[#This Row],[Part No]],"+",บันทึกนำเข้าDrawing[[#This Row],[Drawing No]])</f>
        <v>2B40-035-00+DR-TW-2B40-030-00-01</v>
      </c>
    </row>
    <row r="1121" spans="2:9">
      <c r="B1121" s="85">
        <v>45342</v>
      </c>
      <c r="C1121" s="72" t="s">
        <v>6130</v>
      </c>
      <c r="D1121" s="33" t="s">
        <v>5936</v>
      </c>
      <c r="E1121" s="69" t="str">
        <f>RIGHT(บันทึกนำเข้าDrawing[[#This Row],[Drawing No]],1)</f>
        <v>1</v>
      </c>
      <c r="F1121" s="68" t="s">
        <v>5943</v>
      </c>
      <c r="G1121" s="118" t="s">
        <v>4029</v>
      </c>
      <c r="H1121" s="80"/>
      <c r="I1121" s="29" t="str">
        <f>CONCATENATE(บันทึกนำเข้าDrawing[[#This Row],[Part No]],"+",บันทึกนำเข้าDrawing[[#This Row],[Drawing No]])</f>
        <v>2B40-037-00+DR-TW-2B40-030-00-01</v>
      </c>
    </row>
    <row r="1122" spans="2:9">
      <c r="B1122" s="85">
        <v>45342</v>
      </c>
      <c r="C1122" s="72" t="s">
        <v>6130</v>
      </c>
      <c r="D1122" s="33" t="s">
        <v>5937</v>
      </c>
      <c r="E1122" s="69" t="str">
        <f>RIGHT(บันทึกนำเข้าDrawing[[#This Row],[Drawing No]],1)</f>
        <v>1</v>
      </c>
      <c r="F1122" s="68" t="s">
        <v>5945</v>
      </c>
      <c r="G1122" s="118" t="s">
        <v>4029</v>
      </c>
      <c r="H1122" s="80"/>
      <c r="I1122" s="29" t="str">
        <f>CONCATENATE(บันทึกนำเข้าDrawing[[#This Row],[Part No]],"+",บันทึกนำเข้าDrawing[[#This Row],[Drawing No]])</f>
        <v>2B40-036-00+DR-TW-2B40-030-00-01</v>
      </c>
    </row>
    <row r="1123" spans="2:9">
      <c r="B1123" s="85">
        <v>45342</v>
      </c>
      <c r="C1123" s="72" t="s">
        <v>6130</v>
      </c>
      <c r="D1123" s="112" t="s">
        <v>5932</v>
      </c>
      <c r="E1123" s="69" t="str">
        <f>RIGHT(บันทึกนำเข้าDrawing[[#This Row],[Drawing No]],1)</f>
        <v>1</v>
      </c>
      <c r="F1123" s="68" t="s">
        <v>5944</v>
      </c>
      <c r="G1123" s="118" t="s">
        <v>4029</v>
      </c>
      <c r="H1123" s="80"/>
      <c r="I1123" s="29" t="str">
        <f>CONCATENATE(บันทึกนำเข้าDrawing[[#This Row],[Part No]],"+",บันทึกนำเข้าDrawing[[#This Row],[Drawing No]])</f>
        <v>2B40-030-00+DR-TW-2B40-030-00-01</v>
      </c>
    </row>
    <row r="1124" spans="2:9">
      <c r="B1124" s="85">
        <v>45342</v>
      </c>
      <c r="C1124" s="72" t="s">
        <v>6130</v>
      </c>
      <c r="D1124" s="33" t="s">
        <v>5938</v>
      </c>
      <c r="E1124" s="69" t="str">
        <f>RIGHT(บันทึกนำเข้าDrawing[[#This Row],[Drawing No]],1)</f>
        <v>1</v>
      </c>
      <c r="F1124" s="68" t="s">
        <v>5946</v>
      </c>
      <c r="G1124" s="118" t="s">
        <v>4029</v>
      </c>
      <c r="H1124" s="80"/>
      <c r="I1124" s="29" t="str">
        <f>CONCATENATE(บันทึกนำเข้าDrawing[[#This Row],[Part No]],"+",บันทึกนำเข้าDrawing[[#This Row],[Drawing No]])</f>
        <v>2B40-031-00+DR-TW-2B40-030-00-01</v>
      </c>
    </row>
    <row r="1125" spans="2:9">
      <c r="B1125" s="85">
        <v>45342</v>
      </c>
      <c r="C1125" s="72" t="s">
        <v>6130</v>
      </c>
      <c r="D1125" s="33" t="s">
        <v>5939</v>
      </c>
      <c r="E1125" s="69" t="str">
        <f>RIGHT(บันทึกนำเข้าDrawing[[#This Row],[Drawing No]],1)</f>
        <v>1</v>
      </c>
      <c r="F1125" s="68" t="s">
        <v>5947</v>
      </c>
      <c r="G1125" s="118" t="s">
        <v>4029</v>
      </c>
      <c r="H1125" s="80"/>
      <c r="I1125" s="29" t="str">
        <f>CONCATENATE(บันทึกนำเข้าDrawing[[#This Row],[Part No]],"+",บันทึกนำเข้าDrawing[[#This Row],[Drawing No]])</f>
        <v>2B40-032-00+DR-TW-2B40-030-00-01</v>
      </c>
    </row>
    <row r="1126" spans="2:9">
      <c r="B1126" s="85">
        <v>45342</v>
      </c>
      <c r="C1126" s="72" t="s">
        <v>6130</v>
      </c>
      <c r="D1126" s="33" t="s">
        <v>5940</v>
      </c>
      <c r="E1126" s="69" t="str">
        <f>RIGHT(บันทึกนำเข้าDrawing[[#This Row],[Drawing No]],1)</f>
        <v>1</v>
      </c>
      <c r="F1126" s="68" t="s">
        <v>5948</v>
      </c>
      <c r="G1126" s="118" t="s">
        <v>4029</v>
      </c>
      <c r="H1126" s="80"/>
      <c r="I1126" s="29" t="str">
        <f>CONCATENATE(บันทึกนำเข้าDrawing[[#This Row],[Part No]],"+",บันทึกนำเข้าDrawing[[#This Row],[Drawing No]])</f>
        <v>2B40-033-00+DR-TW-2B40-030-00-01</v>
      </c>
    </row>
    <row r="1127" spans="2:9">
      <c r="B1127" s="85">
        <v>45342</v>
      </c>
      <c r="C1127" s="72" t="s">
        <v>6130</v>
      </c>
      <c r="D1127" s="33" t="s">
        <v>5941</v>
      </c>
      <c r="E1127" s="69" t="str">
        <f>RIGHT(บันทึกนำเข้าDrawing[[#This Row],[Drawing No]],1)</f>
        <v>1</v>
      </c>
      <c r="F1127" s="68" t="s">
        <v>5949</v>
      </c>
      <c r="G1127" s="118" t="s">
        <v>4029</v>
      </c>
      <c r="H1127" s="80"/>
      <c r="I1127" s="29" t="str">
        <f>CONCATENATE(บันทึกนำเข้าDrawing[[#This Row],[Part No]],"+",บันทึกนำเข้าDrawing[[#This Row],[Drawing No]])</f>
        <v>2B40-034-00+DR-TW-2B40-030-00-01</v>
      </c>
    </row>
    <row r="1128" spans="2:9">
      <c r="B1128" s="85">
        <v>45342</v>
      </c>
      <c r="C1128" s="72" t="s">
        <v>6130</v>
      </c>
      <c r="D1128" s="33" t="s">
        <v>6131</v>
      </c>
      <c r="E1128" s="69" t="str">
        <f>RIGHT(บันทึกนำเข้าDrawing[[#This Row],[Drawing No]],1)</f>
        <v>1</v>
      </c>
      <c r="F1128" s="68" t="s">
        <v>6132</v>
      </c>
      <c r="G1128" s="118" t="s">
        <v>4029</v>
      </c>
      <c r="H1128" s="80"/>
      <c r="I1128" s="29" t="str">
        <f>CONCATENATE(บันทึกนำเข้าDrawing[[#This Row],[Part No]],"+",บันทึกนำเข้าDrawing[[#This Row],[Drawing No]])</f>
        <v>2B40-039-00+DR-TW-2B40-030-00-01</v>
      </c>
    </row>
    <row r="1129" spans="2:9">
      <c r="B1129" s="85">
        <v>45342</v>
      </c>
      <c r="C1129" s="72" t="s">
        <v>6093</v>
      </c>
      <c r="D1129" s="33" t="s">
        <v>6092</v>
      </c>
      <c r="E1129" s="69" t="str">
        <f>RIGHT(บันทึกนำเข้าDrawing[[#This Row],[Drawing No]],1)</f>
        <v>0</v>
      </c>
      <c r="F1129" s="68" t="s">
        <v>4775</v>
      </c>
      <c r="G1129" s="118" t="s">
        <v>4027</v>
      </c>
      <c r="H1129" s="80">
        <v>45350</v>
      </c>
      <c r="I1129" s="29" t="str">
        <f>CONCATENATE(บันทึกนำเข้าDrawing[[#This Row],[Part No]],"+",บันทึกนำเข้าDrawing[[#This Row],[Drawing No]])</f>
        <v>2B26-295-02+DR-TW-2B26-295-02-00</v>
      </c>
    </row>
    <row r="1130" spans="2:9">
      <c r="B1130" s="81">
        <v>45342</v>
      </c>
      <c r="C1130" s="72" t="s">
        <v>6093</v>
      </c>
      <c r="D1130" s="33" t="s">
        <v>6100</v>
      </c>
      <c r="E1130" s="69" t="str">
        <f>RIGHT(บันทึกนำเข้าDrawing[[#This Row],[Drawing No]],1)</f>
        <v>0</v>
      </c>
      <c r="F1130" s="68" t="s">
        <v>4775</v>
      </c>
      <c r="G1130" s="118" t="s">
        <v>4027</v>
      </c>
      <c r="H1130" s="80">
        <v>45350</v>
      </c>
      <c r="I1130" s="29" t="str">
        <f>CONCATENATE(บันทึกนำเข้าDrawing[[#This Row],[Part No]],"+",บันทึกนำเข้าDrawing[[#This Row],[Drawing No]])</f>
        <v>2B26-296-02+DR-TW-2B26-295-02-00</v>
      </c>
    </row>
    <row r="1131" spans="2:9">
      <c r="B1131" s="81">
        <v>45342</v>
      </c>
      <c r="C1131" s="75" t="s">
        <v>6133</v>
      </c>
      <c r="D1131" s="33" t="s">
        <v>6134</v>
      </c>
      <c r="E1131" s="69" t="str">
        <f>RIGHT(บันทึกนำเข้าDrawing[[#This Row],[Drawing No]],1)</f>
        <v>0</v>
      </c>
      <c r="F1131" s="68" t="s">
        <v>4728</v>
      </c>
      <c r="G1131" s="118" t="s">
        <v>4027</v>
      </c>
      <c r="H1131" s="80">
        <v>45349</v>
      </c>
      <c r="I1131" s="29" t="str">
        <f>CONCATENATE(บันทึกนำเข้าDrawing[[#This Row],[Part No]],"+",บันทึกนำเข้าDrawing[[#This Row],[Drawing No]])</f>
        <v>2B26-082-02+DR-TW-2B26-082-02-00</v>
      </c>
    </row>
    <row r="1132" spans="2:9">
      <c r="B1132" s="81">
        <v>45344</v>
      </c>
      <c r="C1132" s="82" t="s">
        <v>6136</v>
      </c>
      <c r="D1132" s="33" t="s">
        <v>6135</v>
      </c>
      <c r="E1132" s="69" t="str">
        <f>RIGHT(บันทึกนำเข้าDrawing[[#This Row],[Drawing No]],1)</f>
        <v>0</v>
      </c>
      <c r="F1132" s="84" t="s">
        <v>2703</v>
      </c>
      <c r="G1132" s="120" t="s">
        <v>4027</v>
      </c>
      <c r="H1132" s="81">
        <v>45345</v>
      </c>
      <c r="I1132" s="29" t="str">
        <f>CONCATENATE(บันทึกนำเข้าDrawing[[#This Row],[Part No]],"+",บันทึกนำเข้าDrawing[[#This Row],[Drawing No]])</f>
        <v>2B30-029-02+DR-TW-2B30-029-02-00</v>
      </c>
    </row>
    <row r="1133" spans="2:9">
      <c r="B1133" s="81">
        <v>45345</v>
      </c>
      <c r="C1133" s="82" t="s">
        <v>6233</v>
      </c>
      <c r="D1133" s="33" t="s">
        <v>6138</v>
      </c>
      <c r="E1133" s="69" t="str">
        <f>RIGHT(บันทึกนำเข้าDrawing[[#This Row],[Drawing No]],1)</f>
        <v>1</v>
      </c>
      <c r="F1133" s="84" t="s">
        <v>6139</v>
      </c>
      <c r="G1133" s="120" t="s">
        <v>4029</v>
      </c>
      <c r="H1133" s="83">
        <v>45360</v>
      </c>
      <c r="I1133" s="29" t="str">
        <f>CONCATENATE(บันทึกนำเข้าDrawing[[#This Row],[Part No]],"+",บันทึกนำเข้าDrawing[[#This Row],[Drawing No]])</f>
        <v>2B24F125-00+DR-TW-2B24F135-00-01</v>
      </c>
    </row>
    <row r="1134" spans="2:9">
      <c r="B1134" s="81">
        <v>45345</v>
      </c>
      <c r="C1134" s="82" t="s">
        <v>6233</v>
      </c>
      <c r="D1134" s="33" t="s">
        <v>6140</v>
      </c>
      <c r="E1134" s="69" t="str">
        <f>RIGHT(บันทึกนำเข้าDrawing[[#This Row],[Drawing No]],1)</f>
        <v>1</v>
      </c>
      <c r="F1134" s="84" t="s">
        <v>6141</v>
      </c>
      <c r="G1134" s="120" t="s">
        <v>4029</v>
      </c>
      <c r="H1134" s="83"/>
      <c r="I1134" s="29" t="str">
        <f>CONCATENATE(บันทึกนำเข้าDrawing[[#This Row],[Part No]],"+",บันทึกนำเข้าDrawing[[#This Row],[Drawing No]])</f>
        <v>2B24F120-00+DR-TW-2B24F135-00-01</v>
      </c>
    </row>
    <row r="1135" spans="2:9">
      <c r="B1135" s="81">
        <v>45345</v>
      </c>
      <c r="C1135" s="82" t="s">
        <v>6233</v>
      </c>
      <c r="D1135" s="33" t="s">
        <v>6142</v>
      </c>
      <c r="E1135" s="69" t="str">
        <f>RIGHT(บันทึกนำเข้าDrawing[[#This Row],[Drawing No]],1)</f>
        <v>1</v>
      </c>
      <c r="F1135" s="84" t="s">
        <v>6143</v>
      </c>
      <c r="G1135" s="120" t="s">
        <v>4029</v>
      </c>
      <c r="H1135" s="83"/>
      <c r="I1135" s="29" t="str">
        <f>CONCATENATE(บันทึกนำเข้าDrawing[[#This Row],[Part No]],"+",บันทึกนำเข้าDrawing[[#This Row],[Drawing No]])</f>
        <v>2B24F115-00+DR-TW-2B24F135-00-01</v>
      </c>
    </row>
    <row r="1136" spans="2:9">
      <c r="B1136" s="81">
        <v>45345</v>
      </c>
      <c r="C1136" s="82" t="s">
        <v>6233</v>
      </c>
      <c r="D1136" s="33" t="s">
        <v>6144</v>
      </c>
      <c r="E1136" s="69" t="str">
        <f>RIGHT(บันทึกนำเข้าDrawing[[#This Row],[Drawing No]],1)</f>
        <v>1</v>
      </c>
      <c r="F1136" s="84" t="s">
        <v>6145</v>
      </c>
      <c r="G1136" s="120" t="s">
        <v>4029</v>
      </c>
      <c r="H1136" s="83"/>
      <c r="I1136" s="29" t="str">
        <f>CONCATENATE(บันทึกนำเข้าDrawing[[#This Row],[Part No]],"+",บันทึกนำเข้าDrawing[[#This Row],[Drawing No]])</f>
        <v>2B24F135-00+DR-TW-2B24F135-00-01</v>
      </c>
    </row>
    <row r="1137" spans="2:9">
      <c r="B1137" s="81">
        <v>45345</v>
      </c>
      <c r="C1137" s="82" t="s">
        <v>6233</v>
      </c>
      <c r="D1137" s="33" t="s">
        <v>6146</v>
      </c>
      <c r="E1137" s="69" t="str">
        <f>RIGHT(บันทึกนำเข้าDrawing[[#This Row],[Drawing No]],1)</f>
        <v>1</v>
      </c>
      <c r="F1137" s="84" t="s">
        <v>6147</v>
      </c>
      <c r="G1137" s="120" t="s">
        <v>4029</v>
      </c>
      <c r="H1137" s="83"/>
      <c r="I1137" s="29" t="str">
        <f>CONCATENATE(บันทึกนำเข้าDrawing[[#This Row],[Part No]],"+",บันทึกนำเข้าDrawing[[#This Row],[Drawing No]])</f>
        <v>2B24F140-00+DR-TW-2B24F135-00-01</v>
      </c>
    </row>
    <row r="1138" spans="2:9">
      <c r="B1138" s="81">
        <v>45345</v>
      </c>
      <c r="C1138" s="82" t="s">
        <v>6233</v>
      </c>
      <c r="D1138" s="33" t="s">
        <v>6148</v>
      </c>
      <c r="E1138" s="69" t="str">
        <f>RIGHT(บันทึกนำเข้าDrawing[[#This Row],[Drawing No]],1)</f>
        <v>1</v>
      </c>
      <c r="F1138" s="84" t="s">
        <v>6149</v>
      </c>
      <c r="G1138" s="120" t="s">
        <v>4029</v>
      </c>
      <c r="H1138" s="83"/>
      <c r="I1138" s="29" t="str">
        <f>CONCATENATE(บันทึกนำเข้าDrawing[[#This Row],[Part No]],"+",บันทึกนำเข้าDrawing[[#This Row],[Drawing No]])</f>
        <v>2B24F145-00+DR-TW-2B24F135-00-01</v>
      </c>
    </row>
    <row r="1139" spans="2:9">
      <c r="B1139" s="81">
        <v>45345</v>
      </c>
      <c r="C1139" s="82" t="s">
        <v>6233</v>
      </c>
      <c r="D1139" s="33" t="s">
        <v>6150</v>
      </c>
      <c r="E1139" s="69" t="str">
        <f>RIGHT(บันทึกนำเข้าDrawing[[#This Row],[Drawing No]],1)</f>
        <v>1</v>
      </c>
      <c r="F1139" s="84" t="s">
        <v>6151</v>
      </c>
      <c r="G1139" s="120" t="s">
        <v>4029</v>
      </c>
      <c r="H1139" s="83"/>
      <c r="I1139" s="29" t="str">
        <f>CONCATENATE(บันทึกนำเข้าDrawing[[#This Row],[Part No]],"+",บันทึกนำเข้าDrawing[[#This Row],[Drawing No]])</f>
        <v>2B24F150-00+DR-TW-2B24F135-00-01</v>
      </c>
    </row>
    <row r="1140" spans="2:9">
      <c r="B1140" s="81">
        <v>45345</v>
      </c>
      <c r="C1140" s="82" t="s">
        <v>6152</v>
      </c>
      <c r="D1140" s="33" t="s">
        <v>6153</v>
      </c>
      <c r="E1140" s="69" t="str">
        <f>RIGHT(บันทึกนำเข้าDrawing[[#This Row],[Drawing No]],1)</f>
        <v>0</v>
      </c>
      <c r="F1140" s="84" t="s">
        <v>6154</v>
      </c>
      <c r="G1140" s="120" t="s">
        <v>4027</v>
      </c>
      <c r="H1140" s="83">
        <v>45355</v>
      </c>
      <c r="I1140" s="29" t="str">
        <f>CONCATENATE(บันทึกนำเข้าDrawing[[#This Row],[Part No]],"+",บันทึกนำเข้าDrawing[[#This Row],[Drawing No]])</f>
        <v>2B27-070-00+DR-TW-2B27-070-00-00</v>
      </c>
    </row>
    <row r="1141" spans="2:9">
      <c r="B1141" s="81">
        <v>45345</v>
      </c>
      <c r="C1141" s="82" t="s">
        <v>6155</v>
      </c>
      <c r="D1141" s="33" t="s">
        <v>6156</v>
      </c>
      <c r="E1141" s="69" t="str">
        <f>RIGHT(บันทึกนำเข้าDrawing[[#This Row],[Drawing No]],1)</f>
        <v>0</v>
      </c>
      <c r="F1141" s="84" t="s">
        <v>6050</v>
      </c>
      <c r="G1141" s="120" t="s">
        <v>4029</v>
      </c>
      <c r="H1141" s="83">
        <v>45360</v>
      </c>
      <c r="I1141" s="29" t="str">
        <f>CONCATENATE(บันทึกนำเข้าDrawing[[#This Row],[Part No]],"+",บันทึกนำเข้าDrawing[[#This Row],[Drawing No]])</f>
        <v>2B27-071-00+DR-TW-2B27-071-00-00</v>
      </c>
    </row>
    <row r="1142" spans="2:9">
      <c r="B1142" s="81">
        <v>45345</v>
      </c>
      <c r="C1142" s="82" t="s">
        <v>6157</v>
      </c>
      <c r="D1142" s="33" t="s">
        <v>6158</v>
      </c>
      <c r="E1142" s="69" t="str">
        <f>RIGHT(บันทึกนำเข้าDrawing[[#This Row],[Drawing No]],1)</f>
        <v>0</v>
      </c>
      <c r="F1142" s="84" t="s">
        <v>6159</v>
      </c>
      <c r="G1142" s="120" t="s">
        <v>4027</v>
      </c>
      <c r="H1142" s="83">
        <v>45363</v>
      </c>
      <c r="I1142" s="29" t="str">
        <f>CONCATENATE(บันทึกนำเข้าDrawing[[#This Row],[Part No]],"+",บันทึกนำเข้าDrawing[[#This Row],[Drawing No]])</f>
        <v>2B29-461-00+DR-TW-2B29-461-00-00</v>
      </c>
    </row>
    <row r="1143" spans="2:9">
      <c r="B1143" s="81">
        <v>45345</v>
      </c>
      <c r="C1143" s="82" t="s">
        <v>6160</v>
      </c>
      <c r="D1143" s="33" t="s">
        <v>6161</v>
      </c>
      <c r="E1143" s="69" t="str">
        <f>RIGHT(บันทึกนำเข้าDrawing[[#This Row],[Drawing No]],1)</f>
        <v>0</v>
      </c>
      <c r="F1143" s="84" t="s">
        <v>6162</v>
      </c>
      <c r="G1143" s="120" t="s">
        <v>4027</v>
      </c>
      <c r="H1143" s="83">
        <v>45363</v>
      </c>
      <c r="I1143" s="29" t="str">
        <f>CONCATENATE(บันทึกนำเข้าDrawing[[#This Row],[Part No]],"+",บันทึกนำเข้าDrawing[[#This Row],[Drawing No]])</f>
        <v>2B29-462-00+DR-TW-2B29-462-00-00</v>
      </c>
    </row>
    <row r="1144" spans="2:9">
      <c r="B1144" s="81">
        <v>45345</v>
      </c>
      <c r="C1144" s="82" t="s">
        <v>6163</v>
      </c>
      <c r="D1144" s="33" t="s">
        <v>6164</v>
      </c>
      <c r="E1144" s="69" t="str">
        <f>RIGHT(บันทึกนำเข้าDrawing[[#This Row],[Drawing No]],1)</f>
        <v>0</v>
      </c>
      <c r="F1144" s="84" t="s">
        <v>6165</v>
      </c>
      <c r="G1144" s="120" t="s">
        <v>3772</v>
      </c>
      <c r="H1144" s="83"/>
      <c r="I1144" s="29" t="str">
        <f>CONCATENATE(บันทึกนำเข้าDrawing[[#This Row],[Part No]],"+",บันทึกนำเข้าDrawing[[#This Row],[Drawing No]])</f>
        <v>2B26-480-00+DR-TW-2B26-480-00-00</v>
      </c>
    </row>
    <row r="1145" spans="2:9">
      <c r="B1145" s="81">
        <v>45345</v>
      </c>
      <c r="C1145" s="82" t="s">
        <v>6167</v>
      </c>
      <c r="D1145" s="33" t="s">
        <v>6166</v>
      </c>
      <c r="E1145" s="69" t="str">
        <f>RIGHT(บันทึกนำเข้าDrawing[[#This Row],[Drawing No]],1)</f>
        <v>0</v>
      </c>
      <c r="F1145" s="84" t="s">
        <v>6168</v>
      </c>
      <c r="G1145" s="120" t="s">
        <v>3772</v>
      </c>
      <c r="H1145" s="83"/>
      <c r="I1145" s="29" t="str">
        <f>CONCATENATE(บันทึกนำเข้าDrawing[[#This Row],[Part No]],"+",บันทึกนำเข้าDrawing[[#This Row],[Drawing No]])</f>
        <v>2B29-460-00+DR-TW-2B29-460-00-00</v>
      </c>
    </row>
    <row r="1146" spans="2:9">
      <c r="B1146" s="81">
        <v>45345</v>
      </c>
      <c r="C1146" s="82" t="s">
        <v>6169</v>
      </c>
      <c r="D1146" s="33" t="s">
        <v>6170</v>
      </c>
      <c r="E1146" s="69" t="str">
        <f>RIGHT(บันทึกนำเข้าDrawing[[#This Row],[Drawing No]],1)</f>
        <v>0</v>
      </c>
      <c r="F1146" s="84" t="s">
        <v>6171</v>
      </c>
      <c r="G1146" s="120" t="s">
        <v>3772</v>
      </c>
      <c r="H1146" s="83"/>
      <c r="I1146" s="29" t="str">
        <f>CONCATENATE(บันทึกนำเข้าDrawing[[#This Row],[Part No]],"+",บันทึกนำเข้าDrawing[[#This Row],[Drawing No]])</f>
        <v>2B26-148-00+DR-TW-2B26-148-00-00</v>
      </c>
    </row>
    <row r="1147" spans="2:9">
      <c r="B1147" s="81">
        <v>45511</v>
      </c>
      <c r="C1147" s="75" t="s">
        <v>6173</v>
      </c>
      <c r="D1147" s="33" t="s">
        <v>6172</v>
      </c>
      <c r="E1147" s="69" t="str">
        <f>RIGHT(บันทึกนำเข้าDrawing[[#This Row],[Drawing No]],1)</f>
        <v>0</v>
      </c>
      <c r="F1147" s="73" t="s">
        <v>3816</v>
      </c>
      <c r="G1147" s="120" t="s">
        <v>4029</v>
      </c>
      <c r="H1147" s="83">
        <v>45370</v>
      </c>
      <c r="I1147" s="29" t="str">
        <f>CONCATENATE(บันทึกนำเข้าDrawing[[#This Row],[Part No]],"+",บันทึกนำเข้าDrawing[[#This Row],[Drawing No]])</f>
        <v>2B26-228-02+DR-TW-2B26-228-02-00</v>
      </c>
    </row>
    <row r="1148" spans="2:9">
      <c r="B1148" s="81"/>
      <c r="C1148" s="75" t="s">
        <v>6174</v>
      </c>
      <c r="D1148" s="33" t="s">
        <v>6175</v>
      </c>
      <c r="E1148" s="33" t="str">
        <f>RIGHT(บันทึกนำเข้าDrawing[[#This Row],[Drawing No]],1)</f>
        <v>0</v>
      </c>
      <c r="F1148" s="73" t="s">
        <v>3817</v>
      </c>
      <c r="G1148" s="118" t="s">
        <v>4029</v>
      </c>
      <c r="H1148" s="74">
        <v>45484</v>
      </c>
      <c r="I1148" s="29" t="str">
        <f>CONCATENATE(บันทึกนำเข้าDrawing[[#This Row],[Part No]],"+",บันทึกนำเข้าDrawing[[#This Row],[Drawing No]])</f>
        <v>2B26-229-03+DR-TW-2B26-229-03-00</v>
      </c>
    </row>
    <row r="1149" spans="2:9">
      <c r="B1149" s="81">
        <v>45348</v>
      </c>
      <c r="C1149" s="82" t="s">
        <v>6178</v>
      </c>
      <c r="D1149" s="33" t="s">
        <v>1293</v>
      </c>
      <c r="E1149" s="69" t="str">
        <f>RIGHT(บันทึกนำเข้าDrawing[[#This Row],[Drawing No]],1)</f>
        <v>0</v>
      </c>
      <c r="F1149" s="84" t="s">
        <v>6179</v>
      </c>
      <c r="G1149" s="120" t="s">
        <v>4027</v>
      </c>
      <c r="H1149" s="83"/>
      <c r="I1149" s="29" t="str">
        <f>CONCATENATE(บันทึกนำเข้าDrawing[[#This Row],[Part No]],"+",บันทึกนำเข้าDrawing[[#This Row],[Drawing No]])</f>
        <v>2B26-258-00+DR-TW-2B26-258-00-00</v>
      </c>
    </row>
    <row r="1150" spans="2:9">
      <c r="B1150" s="81">
        <v>45348</v>
      </c>
      <c r="C1150" s="82" t="s">
        <v>6180</v>
      </c>
      <c r="D1150" s="33" t="s">
        <v>1301</v>
      </c>
      <c r="E1150" s="69" t="str">
        <f>RIGHT(บันทึกนำเข้าDrawing[[#This Row],[Drawing No]],1)</f>
        <v>0</v>
      </c>
      <c r="F1150" s="84" t="s">
        <v>6181</v>
      </c>
      <c r="G1150" s="120" t="s">
        <v>3772</v>
      </c>
      <c r="H1150" s="83"/>
      <c r="I1150" s="29" t="str">
        <f>CONCATENATE(บันทึกนำเข้าDrawing[[#This Row],[Part No]],"+",บันทึกนำเข้าDrawing[[#This Row],[Drawing No]])</f>
        <v>2B26-263-00+DR-TW-2B26-263-00-00</v>
      </c>
    </row>
    <row r="1151" spans="2:9">
      <c r="B1151" s="81">
        <v>45348</v>
      </c>
      <c r="C1151" s="82" t="s">
        <v>6182</v>
      </c>
      <c r="D1151" s="33" t="s">
        <v>6183</v>
      </c>
      <c r="E1151" s="69" t="str">
        <f>RIGHT(บันทึกนำเข้าDrawing[[#This Row],[Drawing No]],1)</f>
        <v>0</v>
      </c>
      <c r="F1151" s="84" t="s">
        <v>6184</v>
      </c>
      <c r="G1151" s="120" t="s">
        <v>3772</v>
      </c>
      <c r="H1151" s="83"/>
      <c r="I1151" s="29" t="str">
        <f>CONCATENATE(บันทึกนำเข้าDrawing[[#This Row],[Part No]],"+",บันทึกนำเข้าDrawing[[#This Row],[Drawing No]])</f>
        <v>2B26-264-00+DR-TW-2B26-264-00-00</v>
      </c>
    </row>
    <row r="1152" spans="2:9">
      <c r="B1152" s="81">
        <v>45348</v>
      </c>
      <c r="C1152" s="82" t="s">
        <v>6185</v>
      </c>
      <c r="D1152" s="33" t="s">
        <v>6186</v>
      </c>
      <c r="E1152" s="69" t="str">
        <f>RIGHT(บันทึกนำเข้าDrawing[[#This Row],[Drawing No]],1)</f>
        <v>0</v>
      </c>
      <c r="F1152" s="84" t="s">
        <v>6187</v>
      </c>
      <c r="G1152" s="120" t="s">
        <v>4027</v>
      </c>
      <c r="H1152" s="83">
        <v>45387</v>
      </c>
      <c r="I1152" s="29" t="str">
        <f>CONCATENATE(บันทึกนำเข้าDrawing[[#This Row],[Part No]],"+",บันทึกนำเข้าDrawing[[#This Row],[Drawing No]])</f>
        <v>2B26-351-00+DR-TW-2B26-351-00-00</v>
      </c>
    </row>
    <row r="1153" spans="2:9">
      <c r="B1153" s="81">
        <v>45348</v>
      </c>
      <c r="C1153" s="72" t="s">
        <v>6188</v>
      </c>
      <c r="D1153" s="33" t="s">
        <v>6189</v>
      </c>
      <c r="E1153" s="69" t="str">
        <f>RIGHT(บันทึกนำเข้าDrawing[[#This Row],[Drawing No]],1)</f>
        <v>0</v>
      </c>
      <c r="F1153" s="68" t="s">
        <v>5220</v>
      </c>
      <c r="G1153" s="118" t="s">
        <v>3779</v>
      </c>
      <c r="H1153" s="80"/>
      <c r="I1153" s="29" t="str">
        <f>CONCATENATE(บันทึกนำเข้าDrawing[[#This Row],[Part No]],"+",บันทึกนำเข้าDrawing[[#This Row],[Drawing No]])</f>
        <v>2B26-430-04+DR-TW-2B26-430-04-00</v>
      </c>
    </row>
    <row r="1154" spans="2:9">
      <c r="B1154" s="81">
        <v>45348</v>
      </c>
      <c r="C1154" s="72" t="s">
        <v>6191</v>
      </c>
      <c r="D1154" s="33" t="s">
        <v>6190</v>
      </c>
      <c r="E1154" s="69" t="str">
        <f>RIGHT(บันทึกนำเข้าDrawing[[#This Row],[Drawing No]],1)</f>
        <v>0</v>
      </c>
      <c r="F1154" s="68" t="s">
        <v>5220</v>
      </c>
      <c r="G1154" s="118" t="s">
        <v>3779</v>
      </c>
      <c r="H1154" s="80"/>
      <c r="I1154" s="29" t="str">
        <f>CONCATENATE(บันทึกนำเข้าDrawing[[#This Row],[Part No]],"+",บันทึกนำเข้าDrawing[[#This Row],[Drawing No]])</f>
        <v>2B26-431-04+DR-TW-2B26-431-04-00</v>
      </c>
    </row>
    <row r="1155" spans="2:9">
      <c r="B1155" s="81">
        <v>45580</v>
      </c>
      <c r="C1155" s="72" t="s">
        <v>6192</v>
      </c>
      <c r="D1155" s="33" t="s">
        <v>6193</v>
      </c>
      <c r="E1155" s="69" t="str">
        <f>RIGHT(บันทึกนำเข้าDrawing[[#This Row],[Drawing No]],1)</f>
        <v>0</v>
      </c>
      <c r="F1155" s="68" t="s">
        <v>5226</v>
      </c>
      <c r="G1155" s="118" t="s">
        <v>4027</v>
      </c>
      <c r="H1155" s="80">
        <v>45705</v>
      </c>
      <c r="I1155" s="29" t="str">
        <f>CONCATENATE(บันทึกนำเข้าDrawing[[#This Row],[Part No]],"+",บันทึกนำเข้าDrawing[[#This Row],[Drawing No]])</f>
        <v>2B26-490-03+DR-TW-2B26-490-03-00</v>
      </c>
    </row>
    <row r="1156" spans="2:9">
      <c r="B1156" s="81">
        <v>45580</v>
      </c>
      <c r="C1156" s="82" t="s">
        <v>6194</v>
      </c>
      <c r="D1156" s="33" t="s">
        <v>6195</v>
      </c>
      <c r="E1156" s="69" t="str">
        <f>RIGHT(บันทึกนำเข้าDrawing[[#This Row],[Drawing No]],1)</f>
        <v>0</v>
      </c>
      <c r="F1156" s="68" t="s">
        <v>5226</v>
      </c>
      <c r="G1156" s="120" t="s">
        <v>4027</v>
      </c>
      <c r="H1156" s="83">
        <v>45705</v>
      </c>
      <c r="I1156" s="29" t="str">
        <f>CONCATENATE(บันทึกนำเข้าDrawing[[#This Row],[Part No]],"+",บันทึกนำเข้าDrawing[[#This Row],[Drawing No]])</f>
        <v>2B26-491-03+DR-TW-2B26-491-03-00</v>
      </c>
    </row>
    <row r="1157" spans="2:9">
      <c r="B1157" s="81">
        <v>45670</v>
      </c>
      <c r="C1157" s="88" t="s">
        <v>6851</v>
      </c>
      <c r="D1157" s="2" t="s">
        <v>6856</v>
      </c>
      <c r="E1157" s="69" t="str">
        <f>RIGHT(บันทึกนำเข้าDrawing[[#This Row],[Drawing No]],1)</f>
        <v>0</v>
      </c>
      <c r="F1157" s="251" t="s">
        <v>6857</v>
      </c>
      <c r="G1157" s="120" t="s">
        <v>4521</v>
      </c>
      <c r="H1157" s="83"/>
      <c r="I1157" s="29" t="str">
        <f>CONCATENATE(บันทึกนำเข้าDrawing[[#This Row],[Part No]],"+",บันทึกนำเข้าDrawing[[#This Row],[Drawing No]])</f>
        <v>2B69M669-00+DR-TW-2B69M666-00-00</v>
      </c>
    </row>
    <row r="1158" spans="2:9">
      <c r="B1158" s="81">
        <v>45349</v>
      </c>
      <c r="C1158" s="82" t="s">
        <v>6201</v>
      </c>
      <c r="D1158" s="33" t="s">
        <v>818</v>
      </c>
      <c r="E1158" s="69" t="str">
        <f>RIGHT(บันทึกนำเข้าDrawing[[#This Row],[Drawing No]],1)</f>
        <v>2</v>
      </c>
      <c r="F1158" s="84" t="s">
        <v>6200</v>
      </c>
      <c r="G1158" s="120" t="s">
        <v>4027</v>
      </c>
      <c r="H1158" s="83">
        <v>45349</v>
      </c>
      <c r="I1158" s="29" t="str">
        <f>CONCATENATE(บันทึกนำเข้าDrawing[[#This Row],[Part No]],"+",บันทึกนำเข้าDrawing[[#This Row],[Drawing No]])</f>
        <v>2B25-096-01+DR-TW-2B25-096-01-02</v>
      </c>
    </row>
    <row r="1159" spans="2:9">
      <c r="B1159" s="81">
        <v>45349</v>
      </c>
      <c r="C1159" s="82" t="s">
        <v>6203</v>
      </c>
      <c r="D1159" s="33" t="s">
        <v>875</v>
      </c>
      <c r="E1159" s="69" t="str">
        <f>RIGHT(บันทึกนำเข้าDrawing[[#This Row],[Drawing No]],1)</f>
        <v>0</v>
      </c>
      <c r="F1159" s="84" t="s">
        <v>6204</v>
      </c>
      <c r="G1159" s="120" t="s">
        <v>4027</v>
      </c>
      <c r="H1159" s="83">
        <v>45349</v>
      </c>
      <c r="I1159" s="29" t="str">
        <f>CONCATENATE(บันทึกนำเข้าDrawing[[#This Row],[Part No]],"+",บันทึกนำเข้าDrawing[[#This Row],[Drawing No]])</f>
        <v>2B25-150-03+DR-TW-2B25-150-03-00</v>
      </c>
    </row>
    <row r="1160" spans="2:9">
      <c r="B1160" s="81">
        <v>45349</v>
      </c>
      <c r="C1160" s="82" t="s">
        <v>6205</v>
      </c>
      <c r="D1160" s="33" t="s">
        <v>883</v>
      </c>
      <c r="E1160" s="69" t="str">
        <f>RIGHT(บันทึกนำเข้าDrawing[[#This Row],[Drawing No]],1)</f>
        <v>1</v>
      </c>
      <c r="F1160" s="84" t="s">
        <v>6206</v>
      </c>
      <c r="G1160" s="120" t="s">
        <v>4027</v>
      </c>
      <c r="H1160" s="83">
        <v>45349</v>
      </c>
      <c r="I1160" s="29" t="str">
        <f>CONCATENATE(บันทึกนำเข้าDrawing[[#This Row],[Part No]],"+",บันทึกนำเข้าDrawing[[#This Row],[Drawing No]])</f>
        <v>2B25-155-03+DR-TW-2B25-155-03-01</v>
      </c>
    </row>
    <row r="1161" spans="2:9">
      <c r="B1161" s="81">
        <v>45349</v>
      </c>
      <c r="C1161" s="8" t="s">
        <v>3637</v>
      </c>
      <c r="D1161" s="8" t="s">
        <v>971</v>
      </c>
      <c r="E1161" s="69" t="str">
        <f>RIGHT(บันทึกนำเข้าDrawing[[#This Row],[Drawing No]],1)</f>
        <v>0</v>
      </c>
      <c r="F1161" s="10" t="s">
        <v>2496</v>
      </c>
      <c r="G1161" s="120" t="s">
        <v>4027</v>
      </c>
      <c r="H1161" s="83">
        <v>45349</v>
      </c>
      <c r="I1161" s="29" t="str">
        <f>CONCATENATE(บันทึกนำเข้าDrawing[[#This Row],[Part No]],"+",บันทึกนำเข้าDrawing[[#This Row],[Drawing No]])</f>
        <v>2B25-237-00+DR-TW-2B25-237-00-00</v>
      </c>
    </row>
    <row r="1162" spans="2:9">
      <c r="B1162" s="81">
        <v>45351</v>
      </c>
      <c r="C1162" s="8" t="s">
        <v>3634</v>
      </c>
      <c r="D1162" s="8" t="s">
        <v>768</v>
      </c>
      <c r="E1162" s="69" t="str">
        <f>RIGHT(บันทึกนำเข้าDrawing[[#This Row],[Drawing No]],1)</f>
        <v>4</v>
      </c>
      <c r="F1162" s="10" t="s">
        <v>2893</v>
      </c>
      <c r="G1162" s="120" t="s">
        <v>4027</v>
      </c>
      <c r="H1162" s="83">
        <v>45351</v>
      </c>
      <c r="I1162" s="29" t="str">
        <f>CONCATENATE(บันทึกนำเข้าDrawing[[#This Row],[Part No]],"+",บันทึกนำเข้าDrawing[[#This Row],[Drawing No]])</f>
        <v>2B25-063-03+DR-TW-2B25-063-03-04</v>
      </c>
    </row>
    <row r="1163" spans="2:9">
      <c r="B1163" s="81">
        <v>45352</v>
      </c>
      <c r="C1163" s="8" t="s">
        <v>3636</v>
      </c>
      <c r="D1163" s="8" t="s">
        <v>957</v>
      </c>
      <c r="E1163" s="69" t="str">
        <f>RIGHT(บันทึกนำเข้าDrawing[[#This Row],[Drawing No]],1)</f>
        <v>0</v>
      </c>
      <c r="F1163" s="10" t="s">
        <v>2911</v>
      </c>
      <c r="G1163" s="120" t="s">
        <v>4027</v>
      </c>
      <c r="H1163" s="81">
        <v>45352</v>
      </c>
      <c r="I1163" s="29" t="str">
        <f>CONCATENATE(บันทึกนำเข้าDrawing[[#This Row],[Part No]],"+",บันทึกนำเข้าDrawing[[#This Row],[Drawing No]])</f>
        <v>2B25-227-03+DR-TW-2B25-229-04-00</v>
      </c>
    </row>
    <row r="1164" spans="2:9">
      <c r="B1164" s="81">
        <v>45670</v>
      </c>
      <c r="C1164" s="88" t="s">
        <v>6851</v>
      </c>
      <c r="D1164" s="2" t="s">
        <v>6858</v>
      </c>
      <c r="E1164" s="69" t="str">
        <f>RIGHT(บันทึกนำเข้าDrawing[[#This Row],[Drawing No]],1)</f>
        <v>0</v>
      </c>
      <c r="F1164" s="251" t="s">
        <v>6859</v>
      </c>
      <c r="G1164" s="120" t="s">
        <v>4521</v>
      </c>
      <c r="H1164" s="83"/>
      <c r="I1164" s="29" t="str">
        <f>CONCATENATE(บันทึกนำเข้าDrawing[[#This Row],[Part No]],"+",บันทึกนำเข้าDrawing[[#This Row],[Drawing No]])</f>
        <v>2B69M672-00+DR-TW-2B69M666-00-00</v>
      </c>
    </row>
    <row r="1165" spans="2:9">
      <c r="B1165" s="81">
        <v>45352</v>
      </c>
      <c r="C1165" s="8" t="s">
        <v>6226</v>
      </c>
      <c r="D1165" s="54" t="s">
        <v>6225</v>
      </c>
      <c r="E1165" s="69" t="str">
        <f>RIGHT(บันทึกนำเข้าDrawing[[#This Row],[Drawing No]],1)</f>
        <v>0</v>
      </c>
      <c r="F1165" s="55" t="s">
        <v>6227</v>
      </c>
      <c r="G1165" s="120" t="s">
        <v>4027</v>
      </c>
      <c r="H1165" s="83">
        <v>45362</v>
      </c>
      <c r="I1165" s="29" t="str">
        <f>CONCATENATE(บันทึกนำเข้าDrawing[[#This Row],[Part No]],"+",บันทึกนำเข้าDrawing[[#This Row],[Drawing No]])</f>
        <v>2B25-135-02+DR-TW-2B25-135-02-00</v>
      </c>
    </row>
    <row r="1166" spans="2:9">
      <c r="B1166" s="81">
        <v>45362</v>
      </c>
      <c r="C1166" s="114" t="s">
        <v>6234</v>
      </c>
      <c r="D1166" s="33" t="s">
        <v>6235</v>
      </c>
      <c r="E1166" s="69" t="str">
        <f>RIGHT(บันทึกนำเข้าDrawing[[#This Row],[Drawing No]],1)</f>
        <v>0</v>
      </c>
      <c r="F1166" s="84" t="s">
        <v>5685</v>
      </c>
      <c r="G1166" s="120" t="s">
        <v>4029</v>
      </c>
      <c r="H1166" s="83">
        <v>45400</v>
      </c>
      <c r="I1166" s="29" t="str">
        <f>CONCATENATE(บันทึกนำเข้าDrawing[[#This Row],[Part No]],"+",บันทึกนำเข้าDrawing[[#This Row],[Drawing No]])</f>
        <v>2B25-010-0C+DR-TW-2B25-010-0C-00</v>
      </c>
    </row>
    <row r="1167" spans="2:9">
      <c r="B1167" s="81">
        <v>45362</v>
      </c>
      <c r="C1167" s="82" t="s">
        <v>6234</v>
      </c>
      <c r="D1167" s="33" t="s">
        <v>6236</v>
      </c>
      <c r="E1167" s="69" t="str">
        <f>RIGHT(บันทึกนำเข้าDrawing[[#This Row],[Drawing No]],1)</f>
        <v>0</v>
      </c>
      <c r="F1167" s="84" t="s">
        <v>6237</v>
      </c>
      <c r="G1167" s="120" t="s">
        <v>4029</v>
      </c>
      <c r="H1167" s="83">
        <v>45478</v>
      </c>
      <c r="I1167" s="29" t="str">
        <f>CONCATENATE(บันทึกนำเข้าDrawing[[#This Row],[Part No]],"+",บันทึกนำเข้าDrawing[[#This Row],[Drawing No]])</f>
        <v>2B25-023-0A+DR-TW-2B25-010-0C-00</v>
      </c>
    </row>
    <row r="1168" spans="2:9">
      <c r="B1168" s="81">
        <v>45362</v>
      </c>
      <c r="C1168" s="82" t="s">
        <v>6238</v>
      </c>
      <c r="D1168" s="33" t="s">
        <v>6239</v>
      </c>
      <c r="E1168" s="69" t="str">
        <f>RIGHT(บันทึกนำเข้าDrawing[[#This Row],[Drawing No]],1)</f>
        <v>0</v>
      </c>
      <c r="F1168" s="84" t="s">
        <v>6240</v>
      </c>
      <c r="G1168" s="120" t="s">
        <v>4027</v>
      </c>
      <c r="H1168" s="83">
        <v>45405</v>
      </c>
      <c r="I1168" s="29" t="str">
        <f>CONCATENATE(บันทึกนำเข้าDrawing[[#This Row],[Part No]],"+",บันทึกนำเข้าDrawing[[#This Row],[Drawing No]])</f>
        <v>2B91-108-02+DR-TW-2B91-108-02-00</v>
      </c>
    </row>
    <row r="1169" spans="2:9">
      <c r="B1169" s="81">
        <v>45365</v>
      </c>
      <c r="C1169" s="72" t="s">
        <v>6044</v>
      </c>
      <c r="D1169" s="35" t="s">
        <v>6043</v>
      </c>
      <c r="E1169" s="69" t="str">
        <f>RIGHT(บันทึกนำเข้าDrawing[[#This Row],[Drawing No]],1)</f>
        <v>0</v>
      </c>
      <c r="F1169" s="73" t="s">
        <v>4448</v>
      </c>
      <c r="G1169" s="120" t="s">
        <v>4027</v>
      </c>
      <c r="H1169" s="83">
        <v>45370</v>
      </c>
      <c r="I1169" s="29" t="str">
        <f>CONCATENATE(บันทึกนำเข้าDrawing[[#This Row],[Part No]],"+",บันทึกนำเข้าDrawing[[#This Row],[Drawing No]])</f>
        <v>2B26-285-02+DR-TW-2B26-285-02-00</v>
      </c>
    </row>
    <row r="1170" spans="2:9">
      <c r="B1170" s="81">
        <v>45365</v>
      </c>
      <c r="C1170" s="75" t="s">
        <v>6091</v>
      </c>
      <c r="D1170" s="33" t="s">
        <v>6090</v>
      </c>
      <c r="E1170" s="33" t="str">
        <f>RIGHT(บันทึกนำเข้าDrawing[[#This Row],[Drawing No]],1)</f>
        <v>0</v>
      </c>
      <c r="F1170" s="73" t="s">
        <v>3797</v>
      </c>
      <c r="G1170" s="118" t="s">
        <v>4027</v>
      </c>
      <c r="H1170" s="74">
        <v>45370</v>
      </c>
      <c r="I1170" s="29" t="str">
        <f>CONCATENATE(บันทึกนำเข้าDrawing[[#This Row],[Part No]],"+",บันทึกนำเข้าDrawing[[#This Row],[Drawing No]])</f>
        <v>2B26-234-05+DR-TW-2B26-234-05-00</v>
      </c>
    </row>
    <row r="1171" spans="2:9">
      <c r="B1171" s="81">
        <v>45365</v>
      </c>
      <c r="C1171" s="86" t="s">
        <v>6242</v>
      </c>
      <c r="D1171" s="33" t="s">
        <v>6241</v>
      </c>
      <c r="E1171" s="33" t="str">
        <f>RIGHT(บันทึกนำเข้าDrawing[[#This Row],[Drawing No]],1)</f>
        <v>0</v>
      </c>
      <c r="F1171" s="104" t="s">
        <v>2573</v>
      </c>
      <c r="G1171" s="118" t="s">
        <v>3779</v>
      </c>
      <c r="H1171" s="80"/>
      <c r="I1171" s="29" t="str">
        <f>CONCATENATE(บันทึกนำเข้าDrawing[[#This Row],[Part No]],"+",บันทึกนำเข้าDrawing[[#This Row],[Drawing No]])</f>
        <v>2B26-207-04+DR-TW-2B26-207-04-00</v>
      </c>
    </row>
    <row r="1172" spans="2:9">
      <c r="B1172" s="81">
        <v>45365</v>
      </c>
      <c r="C1172" s="82" t="s">
        <v>6243</v>
      </c>
      <c r="D1172" s="33" t="s">
        <v>6244</v>
      </c>
      <c r="E1172" s="69" t="str">
        <f>RIGHT(บันทึกนำเข้าDrawing[[#This Row],[Drawing No]],1)</f>
        <v>0</v>
      </c>
      <c r="F1172" s="84" t="s">
        <v>4392</v>
      </c>
      <c r="G1172" s="120" t="s">
        <v>4027</v>
      </c>
      <c r="H1172" s="83">
        <v>45633</v>
      </c>
      <c r="I1172" s="29" t="str">
        <f>CONCATENATE(บันทึกนำเข้าDrawing[[#This Row],[Part No]],"+",บันทึกนำเข้าDrawing[[#This Row],[Drawing No]])</f>
        <v>2B29-401-03+DR-TW-2B29-401-03-00</v>
      </c>
    </row>
    <row r="1173" spans="2:9">
      <c r="B1173" s="85">
        <v>45365</v>
      </c>
      <c r="C1173" s="86" t="s">
        <v>6119</v>
      </c>
      <c r="D1173" s="33" t="s">
        <v>6118</v>
      </c>
      <c r="E1173" s="33" t="str">
        <f>RIGHT(บันทึกนำเข้าDrawing[[#This Row],[Drawing No]],1)</f>
        <v>0</v>
      </c>
      <c r="F1173" s="73" t="s">
        <v>2692</v>
      </c>
      <c r="G1173" s="118" t="s">
        <v>4027</v>
      </c>
      <c r="H1173" s="74">
        <v>45444</v>
      </c>
      <c r="I1173" s="29" t="str">
        <f>CONCATENATE(บันทึกนำเข้าDrawing[[#This Row],[Part No]],"+",บันทึกนำเข้าDrawing[[#This Row],[Drawing No]])</f>
        <v>2B29-429-01+DR-TW-2B29-429-01-00</v>
      </c>
    </row>
    <row r="1174" spans="2:9">
      <c r="B1174" s="85">
        <v>45365</v>
      </c>
      <c r="C1174" s="72" t="s">
        <v>6247</v>
      </c>
      <c r="D1174" s="33" t="s">
        <v>6248</v>
      </c>
      <c r="E1174" s="33" t="str">
        <f>RIGHT(บันทึกนำเข้าDrawing[[#This Row],[Drawing No]],1)</f>
        <v>0</v>
      </c>
      <c r="F1174" s="73" t="s">
        <v>4967</v>
      </c>
      <c r="G1174" s="118" t="s">
        <v>4027</v>
      </c>
      <c r="H1174" s="74">
        <v>45478</v>
      </c>
      <c r="I1174" s="29" t="str">
        <f>CONCATENATE(บันทึกนำเข้าDrawing[[#This Row],[Part No]],"+",บันทึกนำเข้าDrawing[[#This Row],[Drawing No]])</f>
        <v>2B29-428-04+DR-TW-2B29-428-04-00</v>
      </c>
    </row>
    <row r="1175" spans="2:9">
      <c r="B1175" s="85">
        <v>45365</v>
      </c>
      <c r="C1175" s="82" t="s">
        <v>6250</v>
      </c>
      <c r="D1175" s="33" t="s">
        <v>6249</v>
      </c>
      <c r="E1175" s="69" t="str">
        <f>RIGHT(บันทึกนำเข้าDrawing[[#This Row],[Drawing No]],1)</f>
        <v>0</v>
      </c>
      <c r="F1175" s="84" t="s">
        <v>4405</v>
      </c>
      <c r="G1175" s="120" t="s">
        <v>4027</v>
      </c>
      <c r="H1175" s="83">
        <v>45505</v>
      </c>
      <c r="I1175" s="29" t="str">
        <f>CONCATENATE(บันทึกนำเข้าDrawing[[#This Row],[Part No]],"+",บันทึกนำเข้าDrawing[[#This Row],[Drawing No]])</f>
        <v>2B29-402-03+DR-TW-2B29-402-03-00</v>
      </c>
    </row>
    <row r="1176" spans="2:9">
      <c r="B1176" s="85">
        <v>45726</v>
      </c>
      <c r="C1176" s="82" t="s">
        <v>6947</v>
      </c>
      <c r="D1176" s="33" t="s">
        <v>6948</v>
      </c>
      <c r="E1176" s="69" t="str">
        <f>RIGHT(บันทึกนำเข้าDrawing[[#This Row],[Drawing No]],1)</f>
        <v>0</v>
      </c>
      <c r="F1176" s="84" t="s">
        <v>6949</v>
      </c>
      <c r="G1176" s="118" t="s">
        <v>4521</v>
      </c>
      <c r="H1176" s="80"/>
      <c r="I1176" s="29" t="str">
        <f>CONCATENATE(บันทึกนำเข้าDrawing[[#This Row],[Part No]],"+",บันทึกนำเข้าDrawing[[#This Row],[Drawing No]])</f>
        <v>XXXXMXXX-00+DR-TW-XXXXMXXX-00-00</v>
      </c>
    </row>
    <row r="1177" spans="2:9">
      <c r="B1177" s="81"/>
      <c r="C1177" s="82" t="s">
        <v>6253</v>
      </c>
      <c r="D1177" s="33" t="s">
        <v>6156</v>
      </c>
      <c r="E1177" s="69" t="str">
        <f>RIGHT(บันทึกนำเข้าDrawing[[#This Row],[Drawing No]],1)</f>
        <v>1</v>
      </c>
      <c r="F1177" s="84" t="s">
        <v>6050</v>
      </c>
      <c r="G1177" s="120" t="s">
        <v>4027</v>
      </c>
      <c r="H1177" s="83">
        <v>45387</v>
      </c>
      <c r="I1177" s="29" t="str">
        <f>CONCATENATE(บันทึกนำเข้าDrawing[[#This Row],[Part No]],"+",บันทึกนำเข้าDrawing[[#This Row],[Drawing No]])</f>
        <v>2B27-071-00+DR-TW-2B27-071-00-01</v>
      </c>
    </row>
    <row r="1178" spans="2:9">
      <c r="B1178" s="81">
        <v>45369</v>
      </c>
      <c r="C1178" s="72" t="s">
        <v>6254</v>
      </c>
      <c r="D1178" s="33" t="s">
        <v>6255</v>
      </c>
      <c r="E1178" s="69" t="str">
        <f>RIGHT(บันทึกนำเข้าDrawing[[#This Row],[Drawing No]],1)</f>
        <v>0</v>
      </c>
      <c r="F1178" s="68" t="s">
        <v>3841</v>
      </c>
      <c r="G1178" s="118" t="s">
        <v>4027</v>
      </c>
      <c r="H1178" s="80">
        <v>45371</v>
      </c>
      <c r="I1178" s="29" t="str">
        <f>CONCATENATE(บันทึกนำเข้าDrawing[[#This Row],[Part No]],"+",บันทึกนำเข้าDrawing[[#This Row],[Drawing No]])</f>
        <v>2B26-123-08+DR-TW-2B26-123-08-00</v>
      </c>
    </row>
    <row r="1179" spans="2:9">
      <c r="B1179" s="81">
        <v>45369</v>
      </c>
      <c r="C1179" s="72" t="s">
        <v>4616</v>
      </c>
      <c r="D1179" s="33" t="s">
        <v>6257</v>
      </c>
      <c r="E1179" s="69" t="str">
        <f>RIGHT(บันทึกนำเข้าDrawing[[#This Row],[Drawing No]],1)</f>
        <v>3</v>
      </c>
      <c r="F1179" s="68" t="s">
        <v>6258</v>
      </c>
      <c r="G1179" s="118" t="s">
        <v>4029</v>
      </c>
      <c r="H1179" s="83"/>
      <c r="I1179" s="29" t="str">
        <f>CONCATENATE(บันทึกนำเข้าDrawing[[#This Row],[Part No]],"+",บันทึกนำเข้าDrawing[[#This Row],[Drawing No]])</f>
        <v>2B19E095-00+DR-TW-2B19E100-00-03</v>
      </c>
    </row>
    <row r="1180" spans="2:9">
      <c r="B1180" s="81">
        <v>45369</v>
      </c>
      <c r="C1180" s="72" t="s">
        <v>4616</v>
      </c>
      <c r="D1180" s="33" t="s">
        <v>6259</v>
      </c>
      <c r="E1180" s="69" t="str">
        <f>RIGHT(บันทึกนำเข้าDrawing[[#This Row],[Drawing No]],1)</f>
        <v>3</v>
      </c>
      <c r="F1180" s="68" t="s">
        <v>6260</v>
      </c>
      <c r="G1180" s="118" t="s">
        <v>4029</v>
      </c>
      <c r="H1180" s="83">
        <v>45371</v>
      </c>
      <c r="I1180" s="29" t="str">
        <f>CONCATENATE(บันทึกนำเข้าDrawing[[#This Row],[Part No]],"+",บันทึกนำเข้าDrawing[[#This Row],[Drawing No]])</f>
        <v>2B19E125-00+DR-TW-2B19E100-00-03</v>
      </c>
    </row>
    <row r="1181" spans="2:9">
      <c r="B1181" s="81">
        <v>45369</v>
      </c>
      <c r="C1181" s="72" t="s">
        <v>4616</v>
      </c>
      <c r="D1181" s="33" t="s">
        <v>6261</v>
      </c>
      <c r="E1181" s="69" t="str">
        <f>RIGHT(บันทึกนำเข้าDrawing[[#This Row],[Drawing No]],1)</f>
        <v>3</v>
      </c>
      <c r="F1181" s="68" t="s">
        <v>6262</v>
      </c>
      <c r="G1181" s="118" t="s">
        <v>4029</v>
      </c>
      <c r="H1181" s="83"/>
      <c r="I1181" s="29" t="str">
        <f>CONCATENATE(บันทึกนำเข้าDrawing[[#This Row],[Part No]],"+",บันทึกนำเข้าDrawing[[#This Row],[Drawing No]])</f>
        <v>2B19E130-00+DR-TW-2B19E100-00-03</v>
      </c>
    </row>
    <row r="1182" spans="2:9">
      <c r="B1182" s="85">
        <v>45371</v>
      </c>
      <c r="C1182" s="72" t="s">
        <v>6268</v>
      </c>
      <c r="D1182" s="33" t="s">
        <v>6138</v>
      </c>
      <c r="E1182" s="69" t="str">
        <f>RIGHT(บันทึกนำเข้าDrawing[[#This Row],[Drawing No]],1)</f>
        <v>2</v>
      </c>
      <c r="F1182" s="68" t="s">
        <v>6139</v>
      </c>
      <c r="G1182" s="118" t="s">
        <v>4027</v>
      </c>
      <c r="H1182" s="80">
        <v>45387</v>
      </c>
      <c r="I1182" s="29" t="str">
        <f>CONCATENATE(บันทึกนำเข้าDrawing[[#This Row],[Part No]],"+",บันทึกนำเข้าDrawing[[#This Row],[Drawing No]])</f>
        <v>2B24F125-00+DR-TW-2B24F135-00-02</v>
      </c>
    </row>
    <row r="1183" spans="2:9">
      <c r="B1183" s="85">
        <v>45371</v>
      </c>
      <c r="C1183" s="72" t="s">
        <v>6268</v>
      </c>
      <c r="D1183" s="33" t="s">
        <v>6140</v>
      </c>
      <c r="E1183" s="69" t="str">
        <f>RIGHT(บันทึกนำเข้าDrawing[[#This Row],[Drawing No]],1)</f>
        <v>2</v>
      </c>
      <c r="F1183" s="68" t="s">
        <v>6141</v>
      </c>
      <c r="G1183" s="118" t="s">
        <v>3779</v>
      </c>
      <c r="H1183" s="80"/>
      <c r="I1183" s="29" t="str">
        <f>CONCATENATE(บันทึกนำเข้าDrawing[[#This Row],[Part No]],"+",บันทึกนำเข้าDrawing[[#This Row],[Drawing No]])</f>
        <v>2B24F120-00+DR-TW-2B24F135-00-02</v>
      </c>
    </row>
    <row r="1184" spans="2:9">
      <c r="B1184" s="85">
        <v>45371</v>
      </c>
      <c r="C1184" s="72" t="s">
        <v>6268</v>
      </c>
      <c r="D1184" s="33" t="s">
        <v>6142</v>
      </c>
      <c r="E1184" s="69" t="str">
        <f>RIGHT(บันทึกนำเข้าDrawing[[#This Row],[Drawing No]],1)</f>
        <v>2</v>
      </c>
      <c r="F1184" s="68" t="s">
        <v>6143</v>
      </c>
      <c r="G1184" s="118" t="s">
        <v>3779</v>
      </c>
      <c r="H1184" s="80"/>
      <c r="I1184" s="29" t="str">
        <f>CONCATENATE(บันทึกนำเข้าDrawing[[#This Row],[Part No]],"+",บันทึกนำเข้าDrawing[[#This Row],[Drawing No]])</f>
        <v>2B24F115-00+DR-TW-2B24F135-00-02</v>
      </c>
    </row>
    <row r="1185" spans="2:9">
      <c r="B1185" s="85">
        <v>45371</v>
      </c>
      <c r="C1185" s="72" t="s">
        <v>6268</v>
      </c>
      <c r="D1185" s="33" t="s">
        <v>6144</v>
      </c>
      <c r="E1185" s="69" t="str">
        <f>RIGHT(บันทึกนำเข้าDrawing[[#This Row],[Drawing No]],1)</f>
        <v>2</v>
      </c>
      <c r="F1185" s="68" t="s">
        <v>6145</v>
      </c>
      <c r="G1185" s="118" t="s">
        <v>3779</v>
      </c>
      <c r="H1185" s="80"/>
      <c r="I1185" s="29" t="str">
        <f>CONCATENATE(บันทึกนำเข้าDrawing[[#This Row],[Part No]],"+",บันทึกนำเข้าDrawing[[#This Row],[Drawing No]])</f>
        <v>2B24F135-00+DR-TW-2B24F135-00-02</v>
      </c>
    </row>
    <row r="1186" spans="2:9">
      <c r="B1186" s="85">
        <v>45371</v>
      </c>
      <c r="C1186" s="72" t="s">
        <v>6268</v>
      </c>
      <c r="D1186" s="33" t="s">
        <v>6146</v>
      </c>
      <c r="E1186" s="69" t="str">
        <f>RIGHT(บันทึกนำเข้าDrawing[[#This Row],[Drawing No]],1)</f>
        <v>2</v>
      </c>
      <c r="F1186" s="68" t="s">
        <v>6147</v>
      </c>
      <c r="G1186" s="118" t="s">
        <v>3779</v>
      </c>
      <c r="H1186" s="80"/>
      <c r="I1186" s="29" t="str">
        <f>CONCATENATE(บันทึกนำเข้าDrawing[[#This Row],[Part No]],"+",บันทึกนำเข้าDrawing[[#This Row],[Drawing No]])</f>
        <v>2B24F140-00+DR-TW-2B24F135-00-02</v>
      </c>
    </row>
    <row r="1187" spans="2:9">
      <c r="B1187" s="85">
        <v>45371</v>
      </c>
      <c r="C1187" s="72" t="s">
        <v>6268</v>
      </c>
      <c r="D1187" s="33" t="s">
        <v>6148</v>
      </c>
      <c r="E1187" s="69" t="str">
        <f>RIGHT(บันทึกนำเข้าDrawing[[#This Row],[Drawing No]],1)</f>
        <v>2</v>
      </c>
      <c r="F1187" s="68" t="s">
        <v>6149</v>
      </c>
      <c r="G1187" s="118" t="s">
        <v>3779</v>
      </c>
      <c r="H1187" s="80"/>
      <c r="I1187" s="29" t="str">
        <f>CONCATENATE(บันทึกนำเข้าDrawing[[#This Row],[Part No]],"+",บันทึกนำเข้าDrawing[[#This Row],[Drawing No]])</f>
        <v>2B24F145-00+DR-TW-2B24F135-00-02</v>
      </c>
    </row>
    <row r="1188" spans="2:9">
      <c r="B1188" s="85">
        <v>45371</v>
      </c>
      <c r="C1188" s="72" t="s">
        <v>6268</v>
      </c>
      <c r="D1188" s="33" t="s">
        <v>6150</v>
      </c>
      <c r="E1188" s="69" t="str">
        <f>RIGHT(บันทึกนำเข้าDrawing[[#This Row],[Drawing No]],1)</f>
        <v>2</v>
      </c>
      <c r="F1188" s="84" t="s">
        <v>6151</v>
      </c>
      <c r="G1188" s="120" t="s">
        <v>3779</v>
      </c>
      <c r="H1188" s="83"/>
      <c r="I1188" s="29" t="str">
        <f>CONCATENATE(บันทึกนำเข้าDrawing[[#This Row],[Part No]],"+",บันทึกนำเข้าDrawing[[#This Row],[Drawing No]])</f>
        <v>2B24F150-00+DR-TW-2B24F135-00-02</v>
      </c>
    </row>
    <row r="1189" spans="2:9">
      <c r="B1189" s="81">
        <v>45371</v>
      </c>
      <c r="C1189" s="72" t="s">
        <v>4153</v>
      </c>
      <c r="D1189" s="33" t="s">
        <v>6269</v>
      </c>
      <c r="E1189" s="69" t="str">
        <f>RIGHT(บันทึกนำเข้าDrawing[[#This Row],[Drawing No]],1)</f>
        <v>5</v>
      </c>
      <c r="F1189" s="68" t="s">
        <v>6270</v>
      </c>
      <c r="G1189" s="118" t="s">
        <v>4027</v>
      </c>
      <c r="H1189" s="80">
        <v>45387</v>
      </c>
      <c r="I1189" s="29" t="str">
        <f>CONCATENATE(บันทึกนำเข้าDrawing[[#This Row],[Part No]],"+",บันทึกนำเข้าDrawing[[#This Row],[Drawing No]])</f>
        <v>2B25-180-03+DR-TW-2B25-034-02-05</v>
      </c>
    </row>
    <row r="1190" spans="2:9">
      <c r="B1190" s="81">
        <v>45321</v>
      </c>
      <c r="C1190" s="82" t="s">
        <v>6271</v>
      </c>
      <c r="D1190" s="33" t="s">
        <v>6272</v>
      </c>
      <c r="E1190" s="69" t="str">
        <f>RIGHT(บันทึกนำเข้าDrawing[[#This Row],[Drawing No]],1)</f>
        <v>1</v>
      </c>
      <c r="F1190" s="84" t="s">
        <v>5660</v>
      </c>
      <c r="G1190" s="120" t="s">
        <v>4029</v>
      </c>
      <c r="H1190" s="83"/>
      <c r="I1190" s="29" t="str">
        <f>CONCATENATE(บันทึกนำเข้าDrawing[[#This Row],[Part No]],"+",บันทึกนำเข้าDrawing[[#This Row],[Drawing No]])</f>
        <v>2B29-435-00+DR-TW-2B29-435-00-01</v>
      </c>
    </row>
    <row r="1191" spans="2:9">
      <c r="B1191" s="81">
        <v>45433</v>
      </c>
      <c r="C1191" s="82" t="s">
        <v>6508</v>
      </c>
      <c r="D1191" s="33" t="s">
        <v>6509</v>
      </c>
      <c r="E1191" s="69" t="str">
        <f>RIGHT(บันทึกนำเข้าDrawing[[#This Row],[Drawing No]],1)</f>
        <v>0</v>
      </c>
      <c r="F1191" s="84" t="s">
        <v>6510</v>
      </c>
      <c r="G1191" s="120" t="s">
        <v>4521</v>
      </c>
      <c r="H1191" s="83"/>
      <c r="I1191" s="29" t="str">
        <f>CONCATENATE(บันทึกนำเข้าDrawing[[#This Row],[Part No]],"+",บันทึกนำเข้าDrawing[[#This Row],[Drawing No]])</f>
        <v>2B69M587-00+DR-TW-2B69M587-00-00</v>
      </c>
    </row>
    <row r="1192" spans="2:9">
      <c r="B1192" s="81">
        <v>45605</v>
      </c>
      <c r="C1192" s="82" t="s">
        <v>6799</v>
      </c>
      <c r="D1192" s="33" t="s">
        <v>6800</v>
      </c>
      <c r="E1192" s="69" t="str">
        <f>RIGHT(บันทึกนำเข้าDrawing[[#This Row],[Drawing No]],1)</f>
        <v>0</v>
      </c>
      <c r="F1192" s="84" t="s">
        <v>6801</v>
      </c>
      <c r="G1192" s="120" t="s">
        <v>4521</v>
      </c>
      <c r="H1192" s="83"/>
      <c r="I1192" s="29" t="str">
        <f>CONCATENATE(บันทึกนำเข้าDrawing[[#This Row],[Part No]],"+",บันทึกนำเข้าDrawing[[#This Row],[Drawing No]])</f>
        <v>2B69M649-00+DR-TW-2B69M649-00-00</v>
      </c>
    </row>
    <row r="1193" spans="2:9">
      <c r="B1193" s="81">
        <v>45377</v>
      </c>
      <c r="C1193" s="82" t="s">
        <v>6281</v>
      </c>
      <c r="D1193" s="33" t="s">
        <v>6282</v>
      </c>
      <c r="E1193" s="69" t="str">
        <f>RIGHT(บันทึกนำเข้าDrawing[[#This Row],[Drawing No]],1)</f>
        <v>0</v>
      </c>
      <c r="F1193" s="68" t="s">
        <v>3835</v>
      </c>
      <c r="G1193" s="120" t="s">
        <v>4027</v>
      </c>
      <c r="H1193" s="83">
        <v>45386</v>
      </c>
      <c r="I1193" s="29" t="str">
        <f>CONCATENATE(บันทึกนำเข้าDrawing[[#This Row],[Part No]],"+",บันทึกนำเข้าDrawing[[#This Row],[Drawing No]])</f>
        <v>2B26-142-06+DR-TW-2B26-142-06-00</v>
      </c>
    </row>
    <row r="1194" spans="2:9">
      <c r="B1194" s="81">
        <v>45411</v>
      </c>
      <c r="C1194" s="82" t="s">
        <v>6422</v>
      </c>
      <c r="D1194" s="33" t="s">
        <v>6423</v>
      </c>
      <c r="E1194" s="69" t="str">
        <f>RIGHT(บันทึกนำเข้าDrawing[[#This Row],[Drawing No]],1)</f>
        <v>0</v>
      </c>
      <c r="F1194" s="84" t="s">
        <v>6424</v>
      </c>
      <c r="G1194" s="120" t="s">
        <v>4027</v>
      </c>
      <c r="H1194" s="83">
        <v>45420</v>
      </c>
      <c r="I1194" s="29" t="str">
        <f>CONCATENATE(บันทึกนำเข้าDrawing[[#This Row],[Part No]],"+",บันทึกนำเข้าDrawing[[#This Row],[Drawing No]])</f>
        <v>2B94-031-00+D R-TW-2B94-031-00-00</v>
      </c>
    </row>
    <row r="1195" spans="2:9">
      <c r="B1195" s="81">
        <v>45670</v>
      </c>
      <c r="C1195" s="88" t="s">
        <v>6863</v>
      </c>
      <c r="D1195" s="2" t="s">
        <v>6862</v>
      </c>
      <c r="E1195" s="69" t="str">
        <f>RIGHT(บันทึกนำเข้าDrawing[[#This Row],[Drawing No]],1)</f>
        <v>0</v>
      </c>
      <c r="F1195" s="251" t="s">
        <v>6864</v>
      </c>
      <c r="G1195" s="120" t="s">
        <v>4521</v>
      </c>
      <c r="H1195" s="83"/>
      <c r="I1195" s="29" t="str">
        <f>CONCATENATE(บันทึกนำเข้าDrawing[[#This Row],[Part No]],"+",บันทึกนำเข้าDrawing[[#This Row],[Drawing No]])</f>
        <v>2B69M656-00-8+DR-TW-2B69M656-00-8-00</v>
      </c>
    </row>
    <row r="1196" spans="2:9">
      <c r="B1196" s="81">
        <v>45373</v>
      </c>
      <c r="C1196" s="82" t="s">
        <v>6292</v>
      </c>
      <c r="D1196" s="33" t="s">
        <v>2291</v>
      </c>
      <c r="E1196" s="69" t="str">
        <f>RIGHT(บันทึกนำเข้าDrawing[[#This Row],[Drawing No]],1)</f>
        <v>0</v>
      </c>
      <c r="F1196" s="84" t="s">
        <v>6290</v>
      </c>
      <c r="G1196" s="120" t="s">
        <v>4027</v>
      </c>
      <c r="H1196" s="83">
        <v>45387</v>
      </c>
      <c r="I1196" s="29" t="str">
        <f>CONCATENATE(บันทึกนำเข้าDrawing[[#This Row],[Part No]],"+",บันทึกนำเข้าDrawing[[#This Row],[Drawing No]])</f>
        <v>2B91-216-01+DR-TW-2B91-216-01-00</v>
      </c>
    </row>
    <row r="1197" spans="2:9">
      <c r="B1197" s="81">
        <v>45377</v>
      </c>
      <c r="C1197" s="82" t="s">
        <v>6293</v>
      </c>
      <c r="D1197" s="33" t="s">
        <v>4583</v>
      </c>
      <c r="E1197" s="69" t="str">
        <f>RIGHT(บันทึกนำเข้าDrawing[[#This Row],[Drawing No]],1)</f>
        <v>0</v>
      </c>
      <c r="F1197" s="68" t="s">
        <v>4827</v>
      </c>
      <c r="G1197" s="120" t="s">
        <v>3779</v>
      </c>
      <c r="H1197" s="83"/>
      <c r="I1197" s="29" t="str">
        <f>CONCATENATE(บันทึกนำเข้าDrawing[[#This Row],[Part No]],"+",บันทึกนำเข้าDrawing[[#This Row],[Drawing No]])</f>
        <v>2B19E085-00+DR-TW-2B19E100-00-00</v>
      </c>
    </row>
    <row r="1198" spans="2:9">
      <c r="B1198" s="81">
        <v>45377</v>
      </c>
      <c r="C1198" s="82" t="s">
        <v>6293</v>
      </c>
      <c r="D1198" s="33" t="s">
        <v>4584</v>
      </c>
      <c r="E1198" s="69" t="str">
        <f>RIGHT(บันทึกนำเข้าDrawing[[#This Row],[Drawing No]],1)</f>
        <v>0</v>
      </c>
      <c r="F1198" s="68" t="s">
        <v>4828</v>
      </c>
      <c r="G1198" s="120" t="s">
        <v>3779</v>
      </c>
      <c r="H1198" s="83"/>
      <c r="I1198" s="29" t="str">
        <f>CONCATENATE(บันทึกนำเข้าDrawing[[#This Row],[Part No]],"+",บันทึกนำเข้าDrawing[[#This Row],[Drawing No]])</f>
        <v>2B19E090-00+DR-TW-2B19E100-00-00</v>
      </c>
    </row>
    <row r="1199" spans="2:9">
      <c r="B1199" s="81">
        <v>45377</v>
      </c>
      <c r="C1199" s="82" t="s">
        <v>6293</v>
      </c>
      <c r="D1199" s="33" t="s">
        <v>6257</v>
      </c>
      <c r="E1199" s="69" t="str">
        <f>RIGHT(บันทึกนำเข้าDrawing[[#This Row],[Drawing No]],1)</f>
        <v>0</v>
      </c>
      <c r="F1199" s="68" t="s">
        <v>6258</v>
      </c>
      <c r="G1199" s="120" t="s">
        <v>4027</v>
      </c>
      <c r="H1199" s="83">
        <v>45554</v>
      </c>
      <c r="I1199" s="29" t="str">
        <f>CONCATENATE(บันทึกนำเข้าDrawing[[#This Row],[Part No]],"+",บันทึกนำเข้าDrawing[[#This Row],[Drawing No]])</f>
        <v>2B19E095-00+DR-TW-2B19E100-00-00</v>
      </c>
    </row>
    <row r="1200" spans="2:9">
      <c r="B1200" s="85">
        <v>45377</v>
      </c>
      <c r="C1200" s="82" t="s">
        <v>6293</v>
      </c>
      <c r="D1200" s="33" t="s">
        <v>4582</v>
      </c>
      <c r="E1200" s="69" t="str">
        <f>RIGHT(บันทึกนำเข้าDrawing[[#This Row],[Drawing No]],1)</f>
        <v>0</v>
      </c>
      <c r="F1200" s="68" t="s">
        <v>4585</v>
      </c>
      <c r="G1200" s="120" t="s">
        <v>3779</v>
      </c>
      <c r="H1200" s="80"/>
      <c r="I1200" s="29" t="str">
        <f>CONCATENATE(บันทึกนำเข้าDrawing[[#This Row],[Part No]],"+",บันทึกนำเข้าDrawing[[#This Row],[Drawing No]])</f>
        <v>2B19E100-00+DR-TW-2B19E100-00-00</v>
      </c>
    </row>
    <row r="1201" spans="2:9">
      <c r="B1201" s="85">
        <v>45377</v>
      </c>
      <c r="C1201" s="82" t="s">
        <v>6293</v>
      </c>
      <c r="D1201" s="33" t="s">
        <v>4615</v>
      </c>
      <c r="E1201" s="69" t="str">
        <f>RIGHT(บันทึกนำเข้าDrawing[[#This Row],[Drawing No]],1)</f>
        <v>0</v>
      </c>
      <c r="F1201" s="84" t="s">
        <v>4830</v>
      </c>
      <c r="G1201" s="120" t="s">
        <v>3779</v>
      </c>
      <c r="H1201" s="80"/>
      <c r="I1201" s="29" t="str">
        <f>CONCATENATE(บันทึกนำเข้าDrawing[[#This Row],[Part No]],"+",บันทึกนำเข้าDrawing[[#This Row],[Drawing No]])</f>
        <v>2B19E105-00+DR-TW-2B19E100-00-00</v>
      </c>
    </row>
    <row r="1202" spans="2:9">
      <c r="B1202" s="81">
        <v>45377</v>
      </c>
      <c r="C1202" s="82" t="s">
        <v>6293</v>
      </c>
      <c r="D1202" s="33" t="s">
        <v>4586</v>
      </c>
      <c r="E1202" s="69" t="str">
        <f>RIGHT(บันทึกนำเข้าDrawing[[#This Row],[Drawing No]],1)</f>
        <v>0</v>
      </c>
      <c r="F1202" s="68" t="s">
        <v>4587</v>
      </c>
      <c r="G1202" s="120" t="s">
        <v>3779</v>
      </c>
      <c r="H1202" s="83"/>
      <c r="I1202" s="29" t="str">
        <f>CONCATENATE(บันทึกนำเข้าDrawing[[#This Row],[Part No]],"+",บันทึกนำเข้าDrawing[[#This Row],[Drawing No]])</f>
        <v>2B19E110-00+DR-TW-2B19E100-00-00</v>
      </c>
    </row>
    <row r="1203" spans="2:9">
      <c r="B1203" s="85">
        <v>45377</v>
      </c>
      <c r="C1203" s="82" t="s">
        <v>6293</v>
      </c>
      <c r="D1203" s="33" t="s">
        <v>4612</v>
      </c>
      <c r="E1203" s="69" t="str">
        <f>RIGHT(บันทึกนำเข้าDrawing[[#This Row],[Drawing No]],1)</f>
        <v>0</v>
      </c>
      <c r="F1203" s="84" t="s">
        <v>4829</v>
      </c>
      <c r="G1203" s="120" t="s">
        <v>4027</v>
      </c>
      <c r="H1203" s="83">
        <v>45429</v>
      </c>
      <c r="I1203" s="29" t="str">
        <f>CONCATENATE(บันทึกนำเข้าDrawing[[#This Row],[Part No]],"+",บันทึกนำเข้าDrawing[[#This Row],[Drawing No]])</f>
        <v>2B19E115-00+DR-TW-2B19E100-00-00</v>
      </c>
    </row>
    <row r="1204" spans="2:9">
      <c r="B1204" s="85">
        <v>45377</v>
      </c>
      <c r="C1204" s="82" t="s">
        <v>6293</v>
      </c>
      <c r="D1204" s="33" t="s">
        <v>4588</v>
      </c>
      <c r="E1204" s="69" t="str">
        <f>RIGHT(บันทึกนำเข้าDrawing[[#This Row],[Drawing No]],1)</f>
        <v>0</v>
      </c>
      <c r="F1204" s="84" t="s">
        <v>4589</v>
      </c>
      <c r="G1204" s="120" t="s">
        <v>3779</v>
      </c>
      <c r="H1204" s="80"/>
      <c r="I1204" s="29" t="str">
        <f>CONCATENATE(บันทึกนำเข้าDrawing[[#This Row],[Part No]],"+",บันทึกนำเข้าDrawing[[#This Row],[Drawing No]])</f>
        <v>2B19E120-00+DR-TW-2B19E100-00-00</v>
      </c>
    </row>
    <row r="1205" spans="2:9">
      <c r="B1205" s="81">
        <v>45377</v>
      </c>
      <c r="C1205" s="82" t="s">
        <v>6293</v>
      </c>
      <c r="D1205" s="33" t="s">
        <v>6259</v>
      </c>
      <c r="E1205" s="69" t="str">
        <f>RIGHT(บันทึกนำเข้าDrawing[[#This Row],[Drawing No]],1)</f>
        <v>0</v>
      </c>
      <c r="F1205" s="68" t="s">
        <v>6260</v>
      </c>
      <c r="G1205" s="120" t="s">
        <v>4027</v>
      </c>
      <c r="H1205" s="83">
        <v>45387</v>
      </c>
      <c r="I1205" s="29" t="str">
        <f>CONCATENATE(บันทึกนำเข้าDrawing[[#This Row],[Part No]],"+",บันทึกนำเข้าDrawing[[#This Row],[Drawing No]])</f>
        <v>2B19E125-00+DR-TW-2B19E100-00-00</v>
      </c>
    </row>
    <row r="1206" spans="2:9">
      <c r="B1206" s="81">
        <v>45377</v>
      </c>
      <c r="C1206" s="82" t="s">
        <v>6293</v>
      </c>
      <c r="D1206" s="33" t="s">
        <v>6261</v>
      </c>
      <c r="E1206" s="69" t="str">
        <f>RIGHT(บันทึกนำเข้าDrawing[[#This Row],[Drawing No]],1)</f>
        <v>0</v>
      </c>
      <c r="F1206" s="68" t="s">
        <v>6262</v>
      </c>
      <c r="G1206" s="120" t="s">
        <v>4027</v>
      </c>
      <c r="H1206" s="83">
        <v>45437</v>
      </c>
      <c r="I1206" s="29" t="str">
        <f>CONCATENATE(บันทึกนำเข้าDrawing[[#This Row],[Part No]],"+",บันทึกนำเข้าDrawing[[#This Row],[Drawing No]])</f>
        <v>2B19E130-00+DR-TW-2B19E100-00-00</v>
      </c>
    </row>
    <row r="1207" spans="2:9">
      <c r="B1207" s="81">
        <v>45377</v>
      </c>
      <c r="C1207" s="72" t="s">
        <v>6294</v>
      </c>
      <c r="D1207" s="33" t="s">
        <v>6296</v>
      </c>
      <c r="E1207" s="33" t="str">
        <f>RIGHT(บันทึกนำเข้าDrawing[[#This Row],[Drawing No]],1)</f>
        <v>0</v>
      </c>
      <c r="F1207" s="73" t="s">
        <v>6295</v>
      </c>
      <c r="G1207" s="120" t="s">
        <v>3779</v>
      </c>
      <c r="H1207" s="83"/>
      <c r="I1207" s="29" t="str">
        <f>CONCATENATE(บันทึกนำเข้าDrawing[[#This Row],[Part No]],"+",บันทึกนำเข้าDrawing[[#This Row],[Drawing No]])</f>
        <v>2B24-060-02-R+DR-TW-2B24-060-02-R-00</v>
      </c>
    </row>
    <row r="1208" spans="2:9">
      <c r="B1208" s="81">
        <v>45377</v>
      </c>
      <c r="C1208" s="72" t="s">
        <v>6294</v>
      </c>
      <c r="D1208" s="33" t="s">
        <v>6298</v>
      </c>
      <c r="E1208" s="69" t="str">
        <f>RIGHT(บันทึกนำเข้าDrawing[[#This Row],[Drawing No]],1)</f>
        <v>0</v>
      </c>
      <c r="F1208" s="73" t="s">
        <v>6308</v>
      </c>
      <c r="G1208" s="120" t="s">
        <v>3779</v>
      </c>
      <c r="H1208" s="80"/>
      <c r="I1208" s="29" t="str">
        <f>CONCATENATE(บันทึกนำเข้าDrawing[[#This Row],[Part No]],"+",บันทึกนำเข้าDrawing[[#This Row],[Drawing No]])</f>
        <v>2B24-070-02-R+DR-TW-2B24-060-02-R-00</v>
      </c>
    </row>
    <row r="1209" spans="2:9">
      <c r="B1209" s="81">
        <v>45377</v>
      </c>
      <c r="C1209" s="72" t="s">
        <v>6294</v>
      </c>
      <c r="D1209" s="33" t="s">
        <v>6311</v>
      </c>
      <c r="E1209" s="69" t="str">
        <f>RIGHT(บันทึกนำเข้าDrawing[[#This Row],[Drawing No]],1)</f>
        <v>0</v>
      </c>
      <c r="F1209" s="73" t="s">
        <v>6309</v>
      </c>
      <c r="G1209" s="120" t="s">
        <v>4027</v>
      </c>
      <c r="H1209" s="80">
        <v>45531</v>
      </c>
      <c r="I1209" s="29" t="str">
        <f>CONCATENATE(บันทึกนำเข้าDrawing[[#This Row],[Part No]],"+",บันทึกนำเข้าDrawing[[#This Row],[Drawing No]])</f>
        <v>2B24-075B03-R+DR-TW-2B24-060-02-R-00</v>
      </c>
    </row>
    <row r="1210" spans="2:9">
      <c r="B1210" s="81">
        <v>45377</v>
      </c>
      <c r="C1210" s="72" t="s">
        <v>6294</v>
      </c>
      <c r="D1210" s="33" t="s">
        <v>6299</v>
      </c>
      <c r="E1210" s="69" t="str">
        <f>RIGHT(บันทึกนำเข้าDrawing[[#This Row],[Drawing No]],1)</f>
        <v>0</v>
      </c>
      <c r="F1210" s="73" t="s">
        <v>6310</v>
      </c>
      <c r="G1210" s="120" t="s">
        <v>4027</v>
      </c>
      <c r="H1210" s="80">
        <v>45754</v>
      </c>
      <c r="I1210" s="29" t="str">
        <f>CONCATENATE(บันทึกนำเข้าDrawing[[#This Row],[Part No]],"+",บันทึกนำเข้าDrawing[[#This Row],[Drawing No]])</f>
        <v>2B24-080-02-R+DR-TW-2B24-060-02-R-00</v>
      </c>
    </row>
    <row r="1211" spans="2:9">
      <c r="B1211" s="81">
        <v>45377</v>
      </c>
      <c r="C1211" s="72" t="s">
        <v>6294</v>
      </c>
      <c r="D1211" s="33" t="s">
        <v>6300</v>
      </c>
      <c r="E1211" s="69" t="str">
        <f>RIGHT(บันทึกนำเข้าDrawing[[#This Row],[Drawing No]],1)</f>
        <v>0</v>
      </c>
      <c r="F1211" s="73" t="s">
        <v>6312</v>
      </c>
      <c r="G1211" s="120" t="s">
        <v>3779</v>
      </c>
      <c r="H1211" s="80"/>
      <c r="I1211" s="29" t="str">
        <f>CONCATENATE(บันทึกนำเข้าDrawing[[#This Row],[Part No]],"+",บันทึกนำเข้าDrawing[[#This Row],[Drawing No]])</f>
        <v>2B24-085B02-R+DR-TW-2B24-060-02-R-00</v>
      </c>
    </row>
    <row r="1212" spans="2:9">
      <c r="B1212" s="81">
        <v>45377</v>
      </c>
      <c r="C1212" s="72" t="s">
        <v>6294</v>
      </c>
      <c r="D1212" s="33" t="s">
        <v>6301</v>
      </c>
      <c r="E1212" s="69" t="str">
        <f>RIGHT(บันทึกนำเข้าDrawing[[#This Row],[Drawing No]],1)</f>
        <v>0</v>
      </c>
      <c r="F1212" s="73" t="s">
        <v>6313</v>
      </c>
      <c r="G1212" s="120" t="s">
        <v>4027</v>
      </c>
      <c r="H1212" s="80">
        <v>45526</v>
      </c>
      <c r="I1212" s="29" t="str">
        <f>CONCATENATE(บันทึกนำเข้าDrawing[[#This Row],[Part No]],"+",บันทึกนำเข้าDrawing[[#This Row],[Drawing No]])</f>
        <v>2B24-090B03-R+DR-TW-2B24-060-02-R-00</v>
      </c>
    </row>
    <row r="1213" spans="2:9">
      <c r="B1213" s="81">
        <v>45377</v>
      </c>
      <c r="C1213" s="72" t="s">
        <v>6294</v>
      </c>
      <c r="D1213" s="33" t="s">
        <v>6302</v>
      </c>
      <c r="E1213" s="69" t="str">
        <f>RIGHT(บันทึกนำเข้าDrawing[[#This Row],[Drawing No]],1)</f>
        <v>0</v>
      </c>
      <c r="F1213" s="73" t="s">
        <v>6314</v>
      </c>
      <c r="G1213" s="120" t="s">
        <v>3779</v>
      </c>
      <c r="H1213" s="80"/>
      <c r="I1213" s="29" t="str">
        <f>CONCATENATE(บันทึกนำเข้าDrawing[[#This Row],[Part No]],"+",บันทึกนำเข้าDrawing[[#This Row],[Drawing No]])</f>
        <v>2B24-120B03-R+DR-TW-2B24-060-02-R-00</v>
      </c>
    </row>
    <row r="1214" spans="2:9">
      <c r="B1214" s="81">
        <v>45377</v>
      </c>
      <c r="C1214" s="72" t="s">
        <v>6294</v>
      </c>
      <c r="D1214" s="33" t="s">
        <v>6303</v>
      </c>
      <c r="E1214" s="69" t="str">
        <f>RIGHT(บันทึกนำเข้าDrawing[[#This Row],[Drawing No]],1)</f>
        <v>0</v>
      </c>
      <c r="F1214" s="73" t="s">
        <v>6315</v>
      </c>
      <c r="G1214" s="120" t="s">
        <v>3779</v>
      </c>
      <c r="H1214" s="80"/>
      <c r="I1214" s="29" t="str">
        <f>CONCATENATE(บันทึกนำเข้าDrawing[[#This Row],[Part No]],"+",บันทึกนำเข้าDrawing[[#This Row],[Drawing No]])</f>
        <v>2B24-140-01-R+DR-TW-2B24-060-02-R-00</v>
      </c>
    </row>
    <row r="1215" spans="2:9">
      <c r="B1215" s="81">
        <v>45377</v>
      </c>
      <c r="C1215" s="72" t="s">
        <v>6294</v>
      </c>
      <c r="D1215" s="33" t="s">
        <v>6304</v>
      </c>
      <c r="E1215" s="69" t="str">
        <f>RIGHT(บันทึกนำเข้าDrawing[[#This Row],[Drawing No]],1)</f>
        <v>0</v>
      </c>
      <c r="F1215" s="73" t="s">
        <v>6316</v>
      </c>
      <c r="G1215" s="120" t="s">
        <v>3779</v>
      </c>
      <c r="H1215" s="80"/>
      <c r="I1215" s="29" t="str">
        <f>CONCATENATE(บันทึกนำเข้าDrawing[[#This Row],[Part No]],"+",บันทึกนำเข้าDrawing[[#This Row],[Drawing No]])</f>
        <v>2B24-160-01-R+DR-TW-2B24-060-02-R-00</v>
      </c>
    </row>
    <row r="1216" spans="2:9">
      <c r="B1216" s="81">
        <v>45377</v>
      </c>
      <c r="C1216" s="72" t="s">
        <v>6294</v>
      </c>
      <c r="D1216" s="33" t="s">
        <v>6297</v>
      </c>
      <c r="E1216" s="69" t="str">
        <f>RIGHT(บันทึกนำเข้าDrawing[[#This Row],[Drawing No]],1)</f>
        <v>0</v>
      </c>
      <c r="F1216" s="73" t="s">
        <v>6307</v>
      </c>
      <c r="G1216" s="120" t="s">
        <v>3779</v>
      </c>
      <c r="H1216" s="80"/>
      <c r="I1216" s="29" t="str">
        <f>CONCATENATE(บันทึกนำเข้าDrawing[[#This Row],[Part No]],"+",บันทึกนำเข้าDrawing[[#This Row],[Drawing No]])</f>
        <v>2B24-065-02-R+DR-TW-2B24-060-02-R-00</v>
      </c>
    </row>
    <row r="1217" spans="2:9">
      <c r="B1217" s="81">
        <v>45377</v>
      </c>
      <c r="C1217" s="72" t="s">
        <v>6294</v>
      </c>
      <c r="D1217" s="33" t="s">
        <v>6305</v>
      </c>
      <c r="E1217" s="69" t="str">
        <f>RIGHT(บันทึกนำเข้าDrawing[[#This Row],[Drawing No]],1)</f>
        <v>0</v>
      </c>
      <c r="F1217" s="73" t="s">
        <v>6317</v>
      </c>
      <c r="G1217" s="120" t="s">
        <v>3779</v>
      </c>
      <c r="H1217" s="80"/>
      <c r="I1217" s="29" t="str">
        <f>CONCATENATE(บันทึกนำเข้าDrawing[[#This Row],[Part No]],"+",บันทึกนำเข้าDrawing[[#This Row],[Drawing No]])</f>
        <v>2B24-200B01-R+DR-TW-2B24-060-02-R-00</v>
      </c>
    </row>
    <row r="1218" spans="2:9">
      <c r="B1218" s="81">
        <v>45377</v>
      </c>
      <c r="C1218" s="72" t="s">
        <v>6294</v>
      </c>
      <c r="D1218" s="33" t="s">
        <v>6306</v>
      </c>
      <c r="E1218" s="69" t="str">
        <f>RIGHT(บันทึกนำเข้าDrawing[[#This Row],[Drawing No]],1)</f>
        <v>0</v>
      </c>
      <c r="F1218" s="73" t="s">
        <v>3127</v>
      </c>
      <c r="G1218" s="120" t="s">
        <v>3779</v>
      </c>
      <c r="H1218" s="80"/>
      <c r="I1218" s="29" t="str">
        <f>CONCATENATE(บันทึกนำเข้าDrawing[[#This Row],[Part No]],"+",บันทึกนำเข้าDrawing[[#This Row],[Drawing No]])</f>
        <v>2B24-220B01-R+DR-TW-2B24-060-02-R-00</v>
      </c>
    </row>
    <row r="1219" spans="2:9">
      <c r="B1219" s="85">
        <v>45377</v>
      </c>
      <c r="C1219" s="72" t="s">
        <v>6318</v>
      </c>
      <c r="D1219" s="33" t="s">
        <v>6319</v>
      </c>
      <c r="E1219" s="69" t="str">
        <f>RIGHT(บันทึกนำเข้าDrawing[[#This Row],[Drawing No]],1)</f>
        <v>0</v>
      </c>
      <c r="F1219" s="68" t="s">
        <v>5427</v>
      </c>
      <c r="G1219" s="118" t="s">
        <v>4027</v>
      </c>
      <c r="H1219" s="80">
        <v>45418</v>
      </c>
      <c r="I1219" s="29" t="str">
        <f>CONCATENATE(บันทึกนำเข้าDrawing[[#This Row],[Part No]],"+",บันทึกนำเข้าDrawing[[#This Row],[Drawing No]])</f>
        <v>2B24-251-01+DR-TW-2B24-251-01-00</v>
      </c>
    </row>
    <row r="1220" spans="2:9">
      <c r="B1220" s="85">
        <v>45377</v>
      </c>
      <c r="C1220" s="72" t="s">
        <v>6318</v>
      </c>
      <c r="D1220" s="33" t="s">
        <v>6320</v>
      </c>
      <c r="E1220" s="69" t="str">
        <f>RIGHT(บันทึกนำเข้าDrawing[[#This Row],[Drawing No]],1)</f>
        <v>0</v>
      </c>
      <c r="F1220" s="84" t="s">
        <v>5428</v>
      </c>
      <c r="G1220" s="120" t="s">
        <v>4027</v>
      </c>
      <c r="H1220" s="83">
        <v>45418</v>
      </c>
      <c r="I1220" s="29" t="str">
        <f>CONCATENATE(บันทึกนำเข้าDrawing[[#This Row],[Part No]],"+",บันทึกนำเข้าDrawing[[#This Row],[Drawing No]])</f>
        <v>2B24-252-01+DR-TW-2B24-251-01-00</v>
      </c>
    </row>
    <row r="1221" spans="2:9">
      <c r="B1221" s="81">
        <v>45377</v>
      </c>
      <c r="C1221" s="82" t="s">
        <v>6321</v>
      </c>
      <c r="D1221" s="33" t="s">
        <v>6323</v>
      </c>
      <c r="E1221" s="69" t="str">
        <f>RIGHT(บันทึกนำเข้าDrawing[[#This Row],[Drawing No]],1)</f>
        <v>0</v>
      </c>
      <c r="F1221" s="68" t="s">
        <v>4760</v>
      </c>
      <c r="G1221" s="120" t="s">
        <v>4027</v>
      </c>
      <c r="H1221" s="83">
        <v>45463</v>
      </c>
      <c r="I1221" s="29" t="str">
        <f>CONCATENATE(บันทึกนำเข้าDrawing[[#This Row],[Part No]],"+",บันทึกนำเข้าDrawing[[#This Row],[Drawing No]])</f>
        <v>2B24B065-01+DR-TW-2B24B090-01-00</v>
      </c>
    </row>
    <row r="1222" spans="2:9">
      <c r="B1222" s="81">
        <v>45377</v>
      </c>
      <c r="C1222" s="72" t="s">
        <v>6321</v>
      </c>
      <c r="D1222" s="33" t="s">
        <v>6322</v>
      </c>
      <c r="E1222" s="69" t="str">
        <f>RIGHT(บันทึกนำเข้าDrawing[[#This Row],[Drawing No]],1)</f>
        <v>0</v>
      </c>
      <c r="F1222" s="68" t="s">
        <v>3278</v>
      </c>
      <c r="G1222" s="120" t="s">
        <v>4027</v>
      </c>
      <c r="H1222" s="80">
        <v>45414</v>
      </c>
      <c r="I1222" s="29" t="str">
        <f>CONCATENATE(บันทึกนำเข้าDrawing[[#This Row],[Part No]],"+",บันทึกนำเข้าDrawing[[#This Row],[Drawing No]])</f>
        <v>2B24B075-01+DR-TW-2B24B090-01-00</v>
      </c>
    </row>
    <row r="1223" spans="2:9">
      <c r="B1223" s="81">
        <v>45377</v>
      </c>
      <c r="C1223" s="72" t="s">
        <v>6321</v>
      </c>
      <c r="D1223" s="33" t="s">
        <v>6324</v>
      </c>
      <c r="E1223" s="69" t="str">
        <f>RIGHT(บันทึกนำเข้าDrawing[[#This Row],[Drawing No]],1)</f>
        <v>0</v>
      </c>
      <c r="F1223" s="73" t="s">
        <v>4742</v>
      </c>
      <c r="G1223" s="120" t="s">
        <v>4027</v>
      </c>
      <c r="H1223" s="80">
        <v>45400</v>
      </c>
      <c r="I1223" s="29" t="str">
        <f>CONCATENATE(บันทึกนำเข้าDrawing[[#This Row],[Part No]],"+",บันทึกนำเข้าDrawing[[#This Row],[Drawing No]])</f>
        <v>2B24B090-01+DR-TW-2B24B090-01-00</v>
      </c>
    </row>
    <row r="1224" spans="2:9">
      <c r="B1224" s="81">
        <v>45377</v>
      </c>
      <c r="C1224" s="72" t="s">
        <v>6321</v>
      </c>
      <c r="D1224" s="33" t="s">
        <v>6325</v>
      </c>
      <c r="E1224" s="69" t="str">
        <f>RIGHT(บันทึกนำเข้าDrawing[[#This Row],[Drawing No]],1)</f>
        <v>0</v>
      </c>
      <c r="F1224" s="68" t="s">
        <v>4685</v>
      </c>
      <c r="G1224" s="120" t="s">
        <v>4027</v>
      </c>
      <c r="H1224" s="80">
        <v>45432</v>
      </c>
      <c r="I1224" s="29" t="str">
        <f>CONCATENATE(บันทึกนำเข้าDrawing[[#This Row],[Part No]],"+",บันทึกนำเข้าDrawing[[#This Row],[Drawing No]])</f>
        <v>2B24B105-01+DR-TW-2B24B090-01-00</v>
      </c>
    </row>
    <row r="1225" spans="2:9">
      <c r="B1225" s="81">
        <v>45377</v>
      </c>
      <c r="C1225" s="72" t="s">
        <v>6321</v>
      </c>
      <c r="D1225" s="33" t="s">
        <v>6326</v>
      </c>
      <c r="E1225" s="69" t="str">
        <f>RIGHT(บันทึกนำเข้าDrawing[[#This Row],[Drawing No]],1)</f>
        <v>0</v>
      </c>
      <c r="F1225" s="68" t="s">
        <v>4761</v>
      </c>
      <c r="G1225" s="120" t="s">
        <v>4027</v>
      </c>
      <c r="H1225" s="80">
        <v>45418</v>
      </c>
      <c r="I1225" s="29" t="str">
        <f>CONCATENATE(บันทึกนำเข้าDrawing[[#This Row],[Part No]],"+",บันทึกนำเข้าDrawing[[#This Row],[Drawing No]])</f>
        <v>2B24B120-01+DR-TW-2B24B090-01-00</v>
      </c>
    </row>
    <row r="1226" spans="2:9">
      <c r="B1226" s="81">
        <v>45377</v>
      </c>
      <c r="C1226" s="86" t="s">
        <v>6327</v>
      </c>
      <c r="D1226" s="33" t="s">
        <v>6328</v>
      </c>
      <c r="E1226" s="33" t="str">
        <f>RIGHT(บันทึกนำเข้าDrawing[[#This Row],[Drawing No]],1)</f>
        <v>0</v>
      </c>
      <c r="F1226" s="10" t="s">
        <v>3163</v>
      </c>
      <c r="G1226" s="118" t="s">
        <v>4027</v>
      </c>
      <c r="H1226" s="83">
        <v>45400</v>
      </c>
      <c r="I1226" s="29" t="str">
        <f>CONCATENATE(บันทึกนำเข้าDrawing[[#This Row],[Part No]],"+",บันทึกนำเข้าDrawing[[#This Row],[Drawing No]])</f>
        <v>2B24C110-01+DR-TW-2B24C110-01-00</v>
      </c>
    </row>
    <row r="1227" spans="2:9">
      <c r="B1227" s="85">
        <v>45377</v>
      </c>
      <c r="C1227" s="72" t="s">
        <v>6333</v>
      </c>
      <c r="D1227" s="33" t="s">
        <v>6329</v>
      </c>
      <c r="E1227" s="69" t="str">
        <f>RIGHT(บันทึกนำเข้าDrawing[[#This Row],[Drawing No]],1)</f>
        <v>0</v>
      </c>
      <c r="F1227" s="10" t="s">
        <v>3164</v>
      </c>
      <c r="G1227" s="118" t="s">
        <v>4027</v>
      </c>
      <c r="H1227" s="80">
        <v>45432</v>
      </c>
      <c r="I1227" s="29" t="str">
        <f>CONCATENATE(บันทึกนำเข้าDrawing[[#This Row],[Part No]],"+",บันทึกนำเข้าDrawing[[#This Row],[Drawing No]])</f>
        <v>2B24D075-01+DR-TW-2B24D085-01-00</v>
      </c>
    </row>
    <row r="1228" spans="2:9">
      <c r="B1228" s="85">
        <v>45377</v>
      </c>
      <c r="C1228" s="72" t="s">
        <v>6333</v>
      </c>
      <c r="D1228" s="33" t="s">
        <v>6330</v>
      </c>
      <c r="E1228" s="69" t="str">
        <f>RIGHT(บันทึกนำเข้าDrawing[[#This Row],[Drawing No]],1)</f>
        <v>0</v>
      </c>
      <c r="F1228" s="73" t="s">
        <v>3165</v>
      </c>
      <c r="G1228" s="118" t="s">
        <v>4027</v>
      </c>
      <c r="H1228" s="80">
        <v>45409</v>
      </c>
      <c r="I1228" s="29" t="str">
        <f>CONCATENATE(บันทึกนำเข้าDrawing[[#This Row],[Part No]],"+",บันทึกนำเข้าDrawing[[#This Row],[Drawing No]])</f>
        <v>2B24D085-01+DR-TW-2B24D085-01-00</v>
      </c>
    </row>
    <row r="1229" spans="2:9">
      <c r="B1229" s="85">
        <v>45377</v>
      </c>
      <c r="C1229" s="72" t="s">
        <v>6333</v>
      </c>
      <c r="D1229" s="33" t="s">
        <v>6331</v>
      </c>
      <c r="E1229" s="69" t="str">
        <f>RIGHT(บันทึกนำเข้าDrawing[[#This Row],[Drawing No]],1)</f>
        <v>0</v>
      </c>
      <c r="F1229" s="73" t="s">
        <v>4765</v>
      </c>
      <c r="G1229" s="118" t="s">
        <v>4027</v>
      </c>
      <c r="H1229" s="83"/>
      <c r="I1229" s="29" t="str">
        <f>CONCATENATE(บันทึกนำเข้าDrawing[[#This Row],[Part No]],"+",บันทึกนำเข้าDrawing[[#This Row],[Drawing No]])</f>
        <v>2B24D100-01+DR-TW-2B24D085-01-00</v>
      </c>
    </row>
    <row r="1230" spans="2:9">
      <c r="B1230" s="85">
        <v>45377</v>
      </c>
      <c r="C1230" s="72" t="s">
        <v>6333</v>
      </c>
      <c r="D1230" s="33" t="s">
        <v>6332</v>
      </c>
      <c r="E1230" s="69" t="str">
        <f>RIGHT(บันทึกนำเข้าDrawing[[#This Row],[Drawing No]],1)</f>
        <v>0</v>
      </c>
      <c r="F1230" s="73" t="s">
        <v>3166</v>
      </c>
      <c r="G1230" s="118" t="s">
        <v>4027</v>
      </c>
      <c r="H1230" s="80"/>
      <c r="I1230" s="29" t="str">
        <f>CONCATENATE(บันทึกนำเข้าDrawing[[#This Row],[Part No]],"+",บันทึกนำเข้าDrawing[[#This Row],[Drawing No]])</f>
        <v>2B24D120-01+DR-TW-2B24D085-01-00</v>
      </c>
    </row>
    <row r="1231" spans="2:9">
      <c r="B1231" s="81">
        <v>45380</v>
      </c>
      <c r="C1231" s="82" t="s">
        <v>6335</v>
      </c>
      <c r="D1231" s="33" t="s">
        <v>6336</v>
      </c>
      <c r="E1231" s="69" t="str">
        <f>RIGHT(บันทึกนำเข้าDrawing[[#This Row],[Drawing No]],1)</f>
        <v>0</v>
      </c>
      <c r="F1231" s="84" t="s">
        <v>6334</v>
      </c>
      <c r="G1231" s="120" t="s">
        <v>4027</v>
      </c>
      <c r="H1231" s="81">
        <v>45425</v>
      </c>
      <c r="I1231" s="29" t="str">
        <f>CONCATENATE(บันทึกนำเข้าDrawing[[#This Row],[Part No]],"+",บันทึกนำเข้าDrawing[[#This Row],[Drawing No]])</f>
        <v>2B26-119-00+DR-TW-2B26-119-00-00</v>
      </c>
    </row>
    <row r="1232" spans="2:9">
      <c r="B1232" s="81">
        <v>45629</v>
      </c>
      <c r="C1232" s="82" t="s">
        <v>6825</v>
      </c>
      <c r="D1232" s="33" t="s">
        <v>6826</v>
      </c>
      <c r="E1232" s="69" t="str">
        <f>RIGHT(บันทึกนำเข้าDrawing[[#This Row],[Drawing No]],1)</f>
        <v>0</v>
      </c>
      <c r="F1232" s="84" t="s">
        <v>6827</v>
      </c>
      <c r="G1232" s="120" t="s">
        <v>4521</v>
      </c>
      <c r="H1232" s="83"/>
      <c r="I1232" s="29" t="str">
        <f>CONCATENATE(บันทึกนำเข้าDrawing[[#This Row],[Part No]],"+",บันทึกนำเข้าDrawing[[#This Row],[Drawing No]])</f>
        <v>2B69M650-00+DR-TW-2B69M650-00-00</v>
      </c>
    </row>
    <row r="1233" spans="2:9">
      <c r="B1233" s="81">
        <v>45385</v>
      </c>
      <c r="C1233" s="82" t="s">
        <v>6341</v>
      </c>
      <c r="D1233" s="33" t="s">
        <v>829</v>
      </c>
      <c r="E1233" s="69" t="str">
        <f>RIGHT(บันทึกนำเข้าDrawing[[#This Row],[Drawing No]],1)</f>
        <v>0</v>
      </c>
      <c r="F1233" s="84" t="s">
        <v>2426</v>
      </c>
      <c r="G1233" s="120" t="s">
        <v>4027</v>
      </c>
      <c r="H1233" s="80">
        <v>45420</v>
      </c>
      <c r="I1233" s="29" t="str">
        <f>CONCATENATE(บันทึกนำเข้าDrawing[[#This Row],[Part No]],"+",บันทึกนำเข้าDrawing[[#This Row],[Drawing No]])</f>
        <v>2B25-108-00+DR-TW-2B25-108-02-00</v>
      </c>
    </row>
    <row r="1234" spans="2:9">
      <c r="B1234" s="81">
        <v>45385</v>
      </c>
      <c r="C1234" s="82" t="s">
        <v>6341</v>
      </c>
      <c r="D1234" s="33" t="s">
        <v>833</v>
      </c>
      <c r="E1234" s="69" t="str">
        <f>RIGHT(บันทึกนำเข้าDrawing[[#This Row],[Drawing No]],1)</f>
        <v>0</v>
      </c>
      <c r="F1234" s="84" t="s">
        <v>6342</v>
      </c>
      <c r="G1234" s="120" t="s">
        <v>4027</v>
      </c>
      <c r="H1234" s="83">
        <v>45420</v>
      </c>
      <c r="I1234" s="29" t="str">
        <f>CONCATENATE(บันทึกนำเข้าDrawing[[#This Row],[Part No]],"+",บันทึกนำเข้าDrawing[[#This Row],[Drawing No]])</f>
        <v>2B25-112-00+DR-TW-2B25-108-02-00</v>
      </c>
    </row>
    <row r="1235" spans="2:9">
      <c r="B1235" s="81">
        <v>45385</v>
      </c>
      <c r="C1235" s="88" t="s">
        <v>6343</v>
      </c>
      <c r="D1235" s="8" t="s">
        <v>958</v>
      </c>
      <c r="E1235" s="69" t="str">
        <f>RIGHT(บันทึกนำเข้าDrawing[[#This Row],[Drawing No]],1)</f>
        <v>0</v>
      </c>
      <c r="F1235" s="10" t="s">
        <v>959</v>
      </c>
      <c r="G1235" s="120" t="s">
        <v>4027</v>
      </c>
      <c r="H1235" s="83">
        <v>45405</v>
      </c>
      <c r="I1235" s="29" t="str">
        <f>CONCATENATE(บันทึกนำเข้าDrawing[[#This Row],[Part No]],"+",บันทึกนำเข้าDrawing[[#This Row],[Drawing No]])</f>
        <v>2B25-228-02+DR-TW-2B25-228-02-00</v>
      </c>
    </row>
    <row r="1236" spans="2:9">
      <c r="B1236" s="81">
        <v>45385</v>
      </c>
      <c r="C1236" s="82" t="s">
        <v>6344</v>
      </c>
      <c r="D1236" s="33" t="s">
        <v>6345</v>
      </c>
      <c r="E1236" s="69" t="str">
        <f>RIGHT(บันทึกนำเข้าDrawing[[#This Row],[Drawing No]],1)</f>
        <v>0</v>
      </c>
      <c r="F1236" s="84" t="s">
        <v>6346</v>
      </c>
      <c r="G1236" s="120" t="s">
        <v>4027</v>
      </c>
      <c r="H1236" s="83">
        <v>45406</v>
      </c>
      <c r="I1236" s="29" t="str">
        <f>CONCATENATE(บันทึกนำเข้าDrawing[[#This Row],[Part No]],"+",บันทึกนำเข้าDrawing[[#This Row],[Drawing No]])</f>
        <v>2B26-006-06+DR-TW-2B26-006-06-00</v>
      </c>
    </row>
    <row r="1237" spans="2:9">
      <c r="B1237" s="81">
        <v>45387</v>
      </c>
      <c r="C1237" s="82" t="s">
        <v>6348</v>
      </c>
      <c r="D1237" s="33" t="s">
        <v>6349</v>
      </c>
      <c r="E1237" s="69" t="str">
        <f>RIGHT(บันทึกนำเข้าDrawing[[#This Row],[Drawing No]],1)</f>
        <v>0</v>
      </c>
      <c r="F1237" s="84" t="s">
        <v>6350</v>
      </c>
      <c r="G1237" s="120" t="s">
        <v>3772</v>
      </c>
      <c r="H1237" s="83"/>
      <c r="I1237" s="29" t="str">
        <f>CONCATENATE(บันทึกนำเข้าDrawing[[#This Row],[Part No]],"+",บันทึกนำเข้าDrawing[[#This Row],[Drawing No]])</f>
        <v>2B91-231-00+DR-TW-2B91-231-00-00</v>
      </c>
    </row>
    <row r="1238" spans="2:9">
      <c r="B1238" s="81">
        <v>45377</v>
      </c>
      <c r="C1238" s="82" t="s">
        <v>6351</v>
      </c>
      <c r="D1238" s="33" t="s">
        <v>6272</v>
      </c>
      <c r="E1238" s="69" t="str">
        <f>RIGHT(บันทึกนำเข้าDrawing[[#This Row],[Drawing No]],1)</f>
        <v>2</v>
      </c>
      <c r="F1238" s="84" t="s">
        <v>5660</v>
      </c>
      <c r="G1238" s="120" t="s">
        <v>4029</v>
      </c>
      <c r="H1238" s="83">
        <v>45387</v>
      </c>
      <c r="I1238" s="29" t="str">
        <f>CONCATENATE(บันทึกนำเข้าDrawing[[#This Row],[Part No]],"+",บันทึกนำเข้าDrawing[[#This Row],[Drawing No]])</f>
        <v>2B29-435-00+DR-TW-2B29-435-00-02</v>
      </c>
    </row>
    <row r="1239" spans="2:9">
      <c r="B1239" s="81"/>
      <c r="C1239" s="8" t="s">
        <v>6252</v>
      </c>
      <c r="D1239" s="54" t="s">
        <v>5579</v>
      </c>
      <c r="E1239" s="69" t="str">
        <f>RIGHT(บันทึกนำเข้าDrawing[[#This Row],[Drawing No]],1)</f>
        <v>1</v>
      </c>
      <c r="F1239" s="55" t="s">
        <v>5578</v>
      </c>
      <c r="G1239" s="120" t="s">
        <v>4521</v>
      </c>
      <c r="H1239" s="83"/>
      <c r="I1239" s="29" t="str">
        <f>CONCATENATE(บันทึกนำเข้าDrawing[[#This Row],[Part No]],"+",บันทึกนำเข้าDrawing[[#This Row],[Drawing No]])</f>
        <v>2B69M417-00+DR-TW-2B69M417-00-01</v>
      </c>
    </row>
    <row r="1240" spans="2:9">
      <c r="B1240" s="81">
        <v>45362</v>
      </c>
      <c r="C1240" s="82" t="s">
        <v>6352</v>
      </c>
      <c r="D1240" s="33" t="s">
        <v>6353</v>
      </c>
      <c r="E1240" s="69" t="str">
        <f>RIGHT(บันทึกนำเข้าDrawing[[#This Row],[Drawing No]],1)</f>
        <v>0</v>
      </c>
      <c r="F1240" s="68" t="s">
        <v>5524</v>
      </c>
      <c r="G1240" s="120" t="s">
        <v>4029</v>
      </c>
      <c r="H1240" s="83">
        <v>45407</v>
      </c>
      <c r="I1240" s="29" t="str">
        <f>CONCATENATE(บันทึกนำเข้าDrawing[[#This Row],[Part No]],"+",บันทึกนำเข้าDrawing[[#This Row],[Drawing No]])</f>
        <v>2B04-450-03+DR-TW-2B04-450-03-00</v>
      </c>
    </row>
    <row r="1241" spans="2:9">
      <c r="B1241" s="81">
        <v>45387</v>
      </c>
      <c r="C1241" s="75" t="s">
        <v>6354</v>
      </c>
      <c r="D1241" s="33" t="s">
        <v>460</v>
      </c>
      <c r="E1241" s="33" t="str">
        <f>RIGHT(บันทึกนำเข้าDrawing[[#This Row],[Drawing No]],1)</f>
        <v>1</v>
      </c>
      <c r="F1241" s="73" t="s">
        <v>2334</v>
      </c>
      <c r="G1241" s="118" t="s">
        <v>3779</v>
      </c>
      <c r="H1241" s="74"/>
      <c r="I1241" s="29" t="str">
        <f>CONCATENATE(บันทึกนำเข้าDrawing[[#This Row],[Part No]],"+",บันทึกนำเข้าDrawing[[#This Row],[Drawing No]])</f>
        <v>2B04A120-01-R+DR-TW-2B04A120-01-R-01</v>
      </c>
    </row>
    <row r="1242" spans="2:9">
      <c r="B1242" s="81">
        <v>45387</v>
      </c>
      <c r="C1242" s="75" t="s">
        <v>6354</v>
      </c>
      <c r="D1242" s="33" t="s">
        <v>464</v>
      </c>
      <c r="E1242" s="33" t="str">
        <f>RIGHT(บันทึกนำเข้าDrawing[[#This Row],[Drawing No]],1)</f>
        <v>1</v>
      </c>
      <c r="F1242" s="73" t="s">
        <v>5459</v>
      </c>
      <c r="G1242" s="118" t="s">
        <v>3779</v>
      </c>
      <c r="H1242" s="74"/>
      <c r="I1242" s="29" t="str">
        <f>CONCATENATE(บันทึกนำเข้าDrawing[[#This Row],[Part No]],"+",บันทึกนำเข้าDrawing[[#This Row],[Drawing No]])</f>
        <v>2B04A140-01-R+DR-TW-2B04A120-01-R-01</v>
      </c>
    </row>
    <row r="1243" spans="2:9">
      <c r="B1243" s="81">
        <v>45387</v>
      </c>
      <c r="C1243" s="75" t="s">
        <v>6354</v>
      </c>
      <c r="D1243" s="33" t="s">
        <v>463</v>
      </c>
      <c r="E1243" s="33" t="str">
        <f>RIGHT(บันทึกนำเข้าDrawing[[#This Row],[Drawing No]],1)</f>
        <v>1</v>
      </c>
      <c r="F1243" s="73" t="s">
        <v>5561</v>
      </c>
      <c r="G1243" s="118" t="s">
        <v>3779</v>
      </c>
      <c r="H1243" s="74"/>
      <c r="I1243" s="29" t="str">
        <f>CONCATENATE(บันทึกนำเข้าDrawing[[#This Row],[Part No]],"+",บันทึกนำเข้าDrawing[[#This Row],[Drawing No]])</f>
        <v>2B04A135-01-R+DR-TW-2B04A120-01-R-01</v>
      </c>
    </row>
    <row r="1244" spans="2:9">
      <c r="B1244" s="81">
        <v>45387</v>
      </c>
      <c r="C1244" s="75" t="s">
        <v>6354</v>
      </c>
      <c r="D1244" s="33" t="s">
        <v>461</v>
      </c>
      <c r="E1244" s="33" t="str">
        <f>RIGHT(บันทึกนำเข้าDrawing[[#This Row],[Drawing No]],1)</f>
        <v>1</v>
      </c>
      <c r="F1244" s="73" t="s">
        <v>5581</v>
      </c>
      <c r="G1244" s="118" t="s">
        <v>3779</v>
      </c>
      <c r="H1244" s="74"/>
      <c r="I1244" s="29" t="str">
        <f>CONCATENATE(บันทึกนำเข้าDrawing[[#This Row],[Part No]],"+",บันทึกนำเข้าDrawing[[#This Row],[Drawing No]])</f>
        <v>2B04A125-01-R+DR-TW-2B04A120-01-R-01</v>
      </c>
    </row>
    <row r="1245" spans="2:9">
      <c r="B1245" s="81">
        <v>45387</v>
      </c>
      <c r="C1245" s="75" t="s">
        <v>6354</v>
      </c>
      <c r="D1245" s="33" t="s">
        <v>462</v>
      </c>
      <c r="E1245" s="33" t="str">
        <f>RIGHT(บันทึกนำเข้าDrawing[[#This Row],[Drawing No]],1)</f>
        <v>1</v>
      </c>
      <c r="F1245" s="73" t="s">
        <v>4927</v>
      </c>
      <c r="G1245" s="118" t="s">
        <v>3779</v>
      </c>
      <c r="H1245" s="74"/>
      <c r="I1245" s="29" t="str">
        <f>CONCATENATE(บันทึกนำเข้าDrawing[[#This Row],[Part No]],"+",บันทึกนำเข้าDrawing[[#This Row],[Drawing No]])</f>
        <v>2B04A130-01-R+DR-TW-2B04A120-01-R-01</v>
      </c>
    </row>
    <row r="1246" spans="2:9">
      <c r="B1246" s="81">
        <v>45387</v>
      </c>
      <c r="C1246" s="75" t="s">
        <v>6354</v>
      </c>
      <c r="D1246" s="33" t="s">
        <v>465</v>
      </c>
      <c r="E1246" s="33" t="str">
        <f>RIGHT(บันทึกนำเข้าDrawing[[#This Row],[Drawing No]],1)</f>
        <v>1</v>
      </c>
      <c r="F1246" s="73" t="s">
        <v>6355</v>
      </c>
      <c r="G1246" s="118" t="s">
        <v>3772</v>
      </c>
      <c r="H1246" s="80"/>
      <c r="I1246" s="29" t="str">
        <f>CONCATENATE(บันทึกนำเข้าDrawing[[#This Row],[Part No]],"+",บันทึกนำเข้าDrawing[[#This Row],[Drawing No]])</f>
        <v>2B04A145-01-R+DR-TW-2B04A120-01-R-01</v>
      </c>
    </row>
    <row r="1247" spans="2:9">
      <c r="B1247" s="81">
        <v>45387</v>
      </c>
      <c r="C1247" s="75" t="s">
        <v>6354</v>
      </c>
      <c r="D1247" s="33" t="s">
        <v>6356</v>
      </c>
      <c r="E1247" s="33" t="str">
        <f>RIGHT(บันทึกนำเข้าDrawing[[#This Row],[Drawing No]],1)</f>
        <v>1</v>
      </c>
      <c r="F1247" s="73" t="s">
        <v>6357</v>
      </c>
      <c r="G1247" s="118" t="s">
        <v>3772</v>
      </c>
      <c r="H1247" s="80"/>
      <c r="I1247" s="29" t="str">
        <f>CONCATENATE(บันทึกนำเข้าDrawing[[#This Row],[Part No]],"+",บันทึกนำเข้าDrawing[[#This Row],[Drawing No]])</f>
        <v>2B04A165-01-R+DR-TW-2B04A120-01-R-01</v>
      </c>
    </row>
    <row r="1248" spans="2:9">
      <c r="B1248" s="81">
        <v>45387</v>
      </c>
      <c r="C1248" s="75" t="s">
        <v>6354</v>
      </c>
      <c r="D1248" s="33" t="s">
        <v>466</v>
      </c>
      <c r="E1248" s="33" t="str">
        <f>RIGHT(บันทึกนำเข้าDrawing[[#This Row],[Drawing No]],1)</f>
        <v>1</v>
      </c>
      <c r="F1248" s="73" t="s">
        <v>6358</v>
      </c>
      <c r="G1248" s="118" t="s">
        <v>3772</v>
      </c>
      <c r="H1248" s="80"/>
      <c r="I1248" s="29" t="str">
        <f>CONCATENATE(บันทึกนำเข้าDrawing[[#This Row],[Part No]],"+",บันทึกนำเข้าDrawing[[#This Row],[Drawing No]])</f>
        <v>2B04A170-01-R+DR-TW-2B04A120-01-R-01</v>
      </c>
    </row>
    <row r="1249" spans="2:9">
      <c r="B1249" s="81">
        <v>45387</v>
      </c>
      <c r="C1249" s="75" t="s">
        <v>6354</v>
      </c>
      <c r="D1249" s="33" t="s">
        <v>467</v>
      </c>
      <c r="E1249" s="33" t="str">
        <f>RIGHT(บันทึกนำเข้าDrawing[[#This Row],[Drawing No]],1)</f>
        <v>1</v>
      </c>
      <c r="F1249" s="73" t="s">
        <v>6359</v>
      </c>
      <c r="G1249" s="118" t="s">
        <v>3772</v>
      </c>
      <c r="H1249" s="80"/>
      <c r="I1249" s="29" t="str">
        <f>CONCATENATE(บันทึกนำเข้าDrawing[[#This Row],[Part No]],"+",บันทึกนำเข้าDrawing[[#This Row],[Drawing No]])</f>
        <v>2B04A175-01-R+DR-TW-2B04A120-01-R-01</v>
      </c>
    </row>
    <row r="1250" spans="2:9">
      <c r="B1250" s="81">
        <v>45387</v>
      </c>
      <c r="C1250" s="75" t="s">
        <v>6354</v>
      </c>
      <c r="D1250" s="33" t="s">
        <v>6385</v>
      </c>
      <c r="E1250" s="33" t="str">
        <f>RIGHT(บันทึกนำเข้าDrawing[[#This Row],[Drawing No]],1)</f>
        <v>1</v>
      </c>
      <c r="F1250" s="73" t="s">
        <v>6360</v>
      </c>
      <c r="G1250" s="118" t="s">
        <v>4027</v>
      </c>
      <c r="H1250" s="80">
        <v>45400</v>
      </c>
      <c r="I1250" s="29" t="str">
        <f>CONCATENATE(บันทึกนำเข้าDrawing[[#This Row],[Part No]],"+",บันทึกนำเข้าDrawing[[#This Row],[Drawing No]])</f>
        <v>2B04A185-00-R+DR-TW-2B04A120-01-R-01</v>
      </c>
    </row>
    <row r="1251" spans="2:9">
      <c r="B1251" s="81">
        <v>45387</v>
      </c>
      <c r="C1251" s="75" t="s">
        <v>6354</v>
      </c>
      <c r="D1251" s="33" t="s">
        <v>6361</v>
      </c>
      <c r="E1251" s="33" t="str">
        <f>RIGHT(บันทึกนำเข้าDrawing[[#This Row],[Drawing No]],1)</f>
        <v>1</v>
      </c>
      <c r="F1251" s="73" t="s">
        <v>6362</v>
      </c>
      <c r="G1251" s="118" t="s">
        <v>3772</v>
      </c>
      <c r="H1251" s="80"/>
      <c r="I1251" s="29" t="str">
        <f>CONCATENATE(บันทึกนำเข้าDrawing[[#This Row],[Part No]],"+",บันทึกนำเข้าDrawing[[#This Row],[Drawing No]])</f>
        <v>2B04A210-01-R+DR-TW-2B04A120-01-R-01</v>
      </c>
    </row>
    <row r="1252" spans="2:9">
      <c r="B1252" s="81">
        <v>45387</v>
      </c>
      <c r="C1252" s="75" t="s">
        <v>6354</v>
      </c>
      <c r="D1252" s="33" t="s">
        <v>6363</v>
      </c>
      <c r="E1252" s="33" t="str">
        <f>RIGHT(บันทึกนำเข้าDrawing[[#This Row],[Drawing No]],1)</f>
        <v>1</v>
      </c>
      <c r="F1252" s="73" t="s">
        <v>6364</v>
      </c>
      <c r="G1252" s="118" t="s">
        <v>3772</v>
      </c>
      <c r="H1252" s="80"/>
      <c r="I1252" s="29" t="str">
        <f>CONCATENATE(บันทึกนำเข้าDrawing[[#This Row],[Part No]],"+",บันทึกนำเข้าDrawing[[#This Row],[Drawing No]])</f>
        <v>2B04A215-01-R+DR-TW-2B04A120-01-R-01</v>
      </c>
    </row>
    <row r="1253" spans="2:9">
      <c r="B1253" s="81">
        <v>45387</v>
      </c>
      <c r="C1253" s="75" t="s">
        <v>6354</v>
      </c>
      <c r="D1253" s="33" t="s">
        <v>6365</v>
      </c>
      <c r="E1253" s="33" t="str">
        <f>RIGHT(บันทึกนำเข้าDrawing[[#This Row],[Drawing No]],1)</f>
        <v>1</v>
      </c>
      <c r="F1253" s="73" t="s">
        <v>6366</v>
      </c>
      <c r="G1253" s="118" t="s">
        <v>3772</v>
      </c>
      <c r="H1253" s="80"/>
      <c r="I1253" s="29" t="str">
        <f>CONCATENATE(บันทึกนำเข้าDrawing[[#This Row],[Part No]],"+",บันทึกนำเข้าDrawing[[#This Row],[Drawing No]])</f>
        <v>2B04A220-01-R+DR-TW-2B04A120-01-R-01</v>
      </c>
    </row>
    <row r="1254" spans="2:9">
      <c r="B1254" s="81">
        <v>45387</v>
      </c>
      <c r="C1254" s="75" t="s">
        <v>6354</v>
      </c>
      <c r="D1254" s="33" t="s">
        <v>6367</v>
      </c>
      <c r="E1254" s="33" t="str">
        <f>RIGHT(บันทึกนำเข้าDrawing[[#This Row],[Drawing No]],1)</f>
        <v>1</v>
      </c>
      <c r="F1254" s="73" t="s">
        <v>6368</v>
      </c>
      <c r="G1254" s="118" t="s">
        <v>3772</v>
      </c>
      <c r="H1254" s="83"/>
      <c r="I1254" s="29" t="str">
        <f>CONCATENATE(บันทึกนำเข้าDrawing[[#This Row],[Part No]],"+",บันทึกนำเข้าDrawing[[#This Row],[Drawing No]])</f>
        <v>2B04A235-01-R+DR-TW-2B04A120-01-R-01</v>
      </c>
    </row>
    <row r="1255" spans="2:9">
      <c r="B1255" s="81">
        <v>45391</v>
      </c>
      <c r="C1255" s="82" t="s">
        <v>6369</v>
      </c>
      <c r="D1255" s="33" t="s">
        <v>6370</v>
      </c>
      <c r="E1255" s="69" t="str">
        <f>RIGHT(บันทึกนำเข้าDrawing[[#This Row],[Drawing No]],1)</f>
        <v>0</v>
      </c>
      <c r="F1255" s="84" t="s">
        <v>6371</v>
      </c>
      <c r="G1255" s="120" t="s">
        <v>4027</v>
      </c>
      <c r="H1255" s="83">
        <v>45407</v>
      </c>
      <c r="I1255" s="29" t="str">
        <f>CONCATENATE(บันทึกนำเข้าDrawing[[#This Row],[Part No]],"+",บันทึกนำเข้าDrawing[[#This Row],[Drawing No]])</f>
        <v>2B25-026-03+DR-TW-2B25-026-03-00</v>
      </c>
    </row>
    <row r="1256" spans="2:9">
      <c r="B1256" s="81">
        <v>45387</v>
      </c>
      <c r="C1256" s="82" t="s">
        <v>6372</v>
      </c>
      <c r="D1256" s="33" t="s">
        <v>6373</v>
      </c>
      <c r="E1256" s="69" t="str">
        <f>RIGHT(บันทึกนำเข้าDrawing[[#This Row],[Drawing No]],1)</f>
        <v>0</v>
      </c>
      <c r="F1256" s="84" t="s">
        <v>6374</v>
      </c>
      <c r="G1256" s="120" t="s">
        <v>4027</v>
      </c>
      <c r="H1256" s="83">
        <v>45509</v>
      </c>
      <c r="I1256" s="29" t="str">
        <f>CONCATENATE(บันทึกนำเข้าDrawing[[#This Row],[Part No]],"+",บันทึกนำเข้าDrawing[[#This Row],[Drawing No]])</f>
        <v>2B26-001-07+DR-TW-2B26-001-07-00</v>
      </c>
    </row>
    <row r="1257" spans="2:9">
      <c r="B1257" s="81">
        <v>45387</v>
      </c>
      <c r="C1257" s="82" t="s">
        <v>6375</v>
      </c>
      <c r="D1257" s="33" t="s">
        <v>6376</v>
      </c>
      <c r="E1257" s="69" t="str">
        <f>RIGHT(บันทึกนำเข้าDrawing[[#This Row],[Drawing No]],1)</f>
        <v>0</v>
      </c>
      <c r="F1257" s="84" t="s">
        <v>6377</v>
      </c>
      <c r="G1257" s="120" t="s">
        <v>3772</v>
      </c>
      <c r="H1257" s="83"/>
      <c r="I1257" s="29" t="str">
        <f>CONCATENATE(บันทึกนำเข้าDrawing[[#This Row],[Part No]],"+",บันทึกนำเข้าDrawing[[#This Row],[Drawing No]])</f>
        <v>2B36-003-00+DR-TW-2B36-003-00-00</v>
      </c>
    </row>
    <row r="1258" spans="2:9">
      <c r="B1258" s="81">
        <v>45387</v>
      </c>
      <c r="C1258" s="82" t="s">
        <v>6378</v>
      </c>
      <c r="D1258" s="33" t="s">
        <v>6379</v>
      </c>
      <c r="E1258" s="69" t="str">
        <f>RIGHT(บันทึกนำเข้าDrawing[[#This Row],[Drawing No]],1)</f>
        <v>0</v>
      </c>
      <c r="F1258" s="84" t="s">
        <v>6380</v>
      </c>
      <c r="G1258" s="120" t="s">
        <v>4027</v>
      </c>
      <c r="H1258" s="83">
        <v>45511</v>
      </c>
      <c r="I1258" s="29" t="str">
        <f>CONCATENATE(บันทึกนำเข้าDrawing[[#This Row],[Part No]],"+",บันทึกนำเข้าDrawing[[#This Row],[Drawing No]])</f>
        <v>2B91-017A03+DR-TW-2B91-017A03-00</v>
      </c>
    </row>
    <row r="1259" spans="2:9">
      <c r="B1259" s="81">
        <v>45385</v>
      </c>
      <c r="C1259" s="82" t="s">
        <v>6383</v>
      </c>
      <c r="D1259" s="33" t="s">
        <v>6381</v>
      </c>
      <c r="E1259" s="69" t="str">
        <f>RIGHT(บันทึกนำเข้าDrawing[[#This Row],[Drawing No]],1)</f>
        <v>0</v>
      </c>
      <c r="F1259" s="84" t="s">
        <v>6382</v>
      </c>
      <c r="G1259" s="120" t="s">
        <v>4027</v>
      </c>
      <c r="H1259" s="83">
        <v>45484</v>
      </c>
      <c r="I1259" s="29" t="str">
        <f>CONCATENATE(บันทึกนำเข้าDrawing[[#This Row],[Part No]],"+",บันทึกนำเข้าDrawing[[#This Row],[Drawing No]])</f>
        <v>2B91-021A03+DR-TW-2B91-021A03-00</v>
      </c>
    </row>
    <row r="1260" spans="2:9">
      <c r="B1260" s="81">
        <v>45433</v>
      </c>
      <c r="C1260" s="82" t="s">
        <v>6503</v>
      </c>
      <c r="D1260" s="33" t="s">
        <v>6506</v>
      </c>
      <c r="E1260" s="69" t="str">
        <f>RIGHT(บันทึกนำเข้าDrawing[[#This Row],[Drawing No]],1)</f>
        <v>0</v>
      </c>
      <c r="F1260" s="84" t="s">
        <v>6507</v>
      </c>
      <c r="G1260" s="120" t="s">
        <v>4521</v>
      </c>
      <c r="H1260" s="83"/>
      <c r="I1260" s="29" t="str">
        <f>CONCATENATE(บันทึกนำเข้าDrawing[[#This Row],[Part No]],"+",บันทึกนำเข้าDrawing[[#This Row],[Drawing No]])</f>
        <v>2B69M584-00+DR-TW-2B69M583-00-00</v>
      </c>
    </row>
    <row r="1261" spans="2:9">
      <c r="B1261" s="115">
        <v>45406</v>
      </c>
      <c r="C1261" s="82" t="s">
        <v>6402</v>
      </c>
      <c r="D1261" s="33" t="s">
        <v>6403</v>
      </c>
      <c r="E1261" s="69" t="str">
        <f>RIGHT(บันทึกนำเข้าDrawing[[#This Row],[Drawing No]],1)</f>
        <v>0</v>
      </c>
      <c r="F1261" s="84" t="s">
        <v>6404</v>
      </c>
      <c r="G1261" s="120" t="s">
        <v>4027</v>
      </c>
      <c r="H1261" s="83">
        <v>45411</v>
      </c>
      <c r="I1261" s="29" t="str">
        <f>CONCATENATE(บันทึกนำเข้าDrawing[[#This Row],[Part No]],"+",บันทึกนำเข้าDrawing[[#This Row],[Drawing No]])</f>
        <v>2B91-147A02+DR-TW-2B91-147A02-00</v>
      </c>
    </row>
    <row r="1262" spans="2:9">
      <c r="B1262" s="81">
        <v>45406</v>
      </c>
      <c r="C1262" s="82" t="s">
        <v>6397</v>
      </c>
      <c r="D1262" s="33" t="s">
        <v>6398</v>
      </c>
      <c r="E1262" s="69" t="str">
        <f>RIGHT(บันทึกนำเข้าDrawing[[#This Row],[Drawing No]],1)</f>
        <v>0</v>
      </c>
      <c r="F1262" s="84" t="s">
        <v>4494</v>
      </c>
      <c r="G1262" s="120" t="s">
        <v>4027</v>
      </c>
      <c r="H1262" s="83"/>
      <c r="I1262" s="29" t="str">
        <f>CONCATENATE(บันทึกนำเข้าDrawing[[#This Row],[Part No]],"+",บันทึกนำเข้าDrawing[[#This Row],[Drawing No]])</f>
        <v>2B26-286-01+DR-TW-2B26-286-01-00</v>
      </c>
    </row>
    <row r="1263" spans="2:9">
      <c r="B1263" s="81">
        <v>45409</v>
      </c>
      <c r="C1263" s="72" t="s">
        <v>4153</v>
      </c>
      <c r="D1263" s="33" t="s">
        <v>6406</v>
      </c>
      <c r="E1263" s="69" t="str">
        <f>RIGHT(บันทึกนำเข้าDrawing[[#This Row],[Drawing No]],1)</f>
        <v>5</v>
      </c>
      <c r="F1263" s="68" t="s">
        <v>6270</v>
      </c>
      <c r="G1263" s="118" t="s">
        <v>4027</v>
      </c>
      <c r="H1263" s="80">
        <v>45419</v>
      </c>
      <c r="I1263" s="29" t="str">
        <f>CONCATENATE(บันทึกนำเข้าDrawing[[#This Row],[Part No]],"+",บันทึกนำเข้าDrawing[[#This Row],[Drawing No]])</f>
        <v>2B25-154-03+DR-TW-2B25-034-02-05</v>
      </c>
    </row>
    <row r="1264" spans="2:9">
      <c r="B1264" s="81">
        <v>45411</v>
      </c>
      <c r="C1264" s="82" t="s">
        <v>6408</v>
      </c>
      <c r="D1264" s="33" t="s">
        <v>6409</v>
      </c>
      <c r="E1264" s="69" t="str">
        <f>RIGHT(บันทึกนำเข้าDrawing[[#This Row],[Drawing No]],1)</f>
        <v>0</v>
      </c>
      <c r="F1264" s="84" t="s">
        <v>6410</v>
      </c>
      <c r="G1264" s="120" t="s">
        <v>4027</v>
      </c>
      <c r="H1264" s="83">
        <v>45439</v>
      </c>
      <c r="I1264" s="29" t="str">
        <f>CONCATENATE(บันทึกนำเข้าDrawing[[#This Row],[Part No]],"+",บันทึกนำเข้าDrawing[[#This Row],[Drawing No]])</f>
        <v>2B25-221-00+DR-TW-2B25-221-00-00</v>
      </c>
    </row>
    <row r="1265" spans="2:9">
      <c r="B1265" s="81">
        <v>45411</v>
      </c>
      <c r="C1265" s="82" t="s">
        <v>6411</v>
      </c>
      <c r="D1265" s="33" t="s">
        <v>6412</v>
      </c>
      <c r="E1265" s="69" t="str">
        <f>RIGHT(บันทึกนำเข้าDrawing[[#This Row],[Drawing No]],1)</f>
        <v>0</v>
      </c>
      <c r="F1265" s="84" t="s">
        <v>6413</v>
      </c>
      <c r="G1265" s="120" t="s">
        <v>3772</v>
      </c>
      <c r="H1265" s="83"/>
      <c r="I1265" s="29" t="str">
        <f>CONCATENATE(บันทึกนำเข้าDrawing[[#This Row],[Part No]],"+",บันทึกนำเข้าDrawing[[#This Row],[Drawing No]])</f>
        <v>2B91-003-03+DR-TW-2B91-003-03-00</v>
      </c>
    </row>
    <row r="1266" spans="2:9">
      <c r="B1266" s="81">
        <v>45411</v>
      </c>
      <c r="C1266" s="82" t="s">
        <v>6414</v>
      </c>
      <c r="D1266" s="33" t="s">
        <v>6415</v>
      </c>
      <c r="E1266" s="69" t="str">
        <f>RIGHT(บันทึกนำเข้าDrawing[[#This Row],[Drawing No]],1)</f>
        <v>0</v>
      </c>
      <c r="F1266" s="84" t="s">
        <v>6413</v>
      </c>
      <c r="G1266" s="120" t="s">
        <v>4027</v>
      </c>
      <c r="H1266" s="83">
        <v>45505</v>
      </c>
      <c r="I1266" s="29" t="str">
        <f>CONCATENATE(บันทึกนำเข้าDrawing[[#This Row],[Part No]],"+",บันทึกนำเข้าDrawing[[#This Row],[Drawing No]])</f>
        <v>2B91-033A02+DR-TW-2B91-033A02-00</v>
      </c>
    </row>
    <row r="1267" spans="2:9">
      <c r="B1267" s="81">
        <v>45411</v>
      </c>
      <c r="C1267" s="82" t="s">
        <v>6417</v>
      </c>
      <c r="D1267" s="33" t="s">
        <v>6418</v>
      </c>
      <c r="E1267" s="69" t="str">
        <f>RIGHT(บันทึกนำเข้าDrawing[[#This Row],[Drawing No]],1)</f>
        <v>0</v>
      </c>
      <c r="F1267" s="116" t="s">
        <v>6416</v>
      </c>
      <c r="G1267" s="120" t="s">
        <v>4027</v>
      </c>
      <c r="H1267" s="74">
        <v>45429</v>
      </c>
      <c r="I1267" s="29" t="str">
        <f>CONCATENATE(บันทึกนำเข้าDrawing[[#This Row],[Part No]],"+",บันทึกนำเข้าDrawing[[#This Row],[Drawing No]])</f>
        <v>2B91-217-02+DR-TW-2B91-217-02-00</v>
      </c>
    </row>
    <row r="1268" spans="2:9">
      <c r="B1268" s="81">
        <v>45411</v>
      </c>
      <c r="C1268" s="82" t="s">
        <v>6419</v>
      </c>
      <c r="D1268" s="33" t="s">
        <v>6420</v>
      </c>
      <c r="E1268" s="69" t="str">
        <f>RIGHT(บันทึกนำเข้าDrawing[[#This Row],[Drawing No]],1)</f>
        <v>1</v>
      </c>
      <c r="F1268" s="84" t="s">
        <v>6421</v>
      </c>
      <c r="G1268" s="120" t="s">
        <v>4027</v>
      </c>
      <c r="H1268" s="83">
        <v>45420</v>
      </c>
      <c r="I1268" s="29" t="str">
        <f>CONCATENATE(บันทึกนำเข้าDrawing[[#This Row],[Part No]],"+",บันทึกนำเข้าDrawing[[#This Row],[Drawing No]])</f>
        <v>2B91-241-02+DR-TW-2B91-241-02-01</v>
      </c>
    </row>
    <row r="1269" spans="2:9">
      <c r="B1269" s="81">
        <v>45422</v>
      </c>
      <c r="C1269" s="82" t="s">
        <v>6457</v>
      </c>
      <c r="D1269" s="33" t="s">
        <v>6458</v>
      </c>
      <c r="E1269" s="69" t="str">
        <f>RIGHT(บันทึกนำเข้าDrawing[[#This Row],[Drawing No]],1)</f>
        <v>0</v>
      </c>
      <c r="F1269" s="84" t="s">
        <v>6459</v>
      </c>
      <c r="G1269" s="120" t="s">
        <v>4029</v>
      </c>
      <c r="H1269" s="83">
        <v>45507</v>
      </c>
      <c r="I1269" s="29" t="str">
        <f>CONCATENATE(บันทึกนำเข้าDrawing[[#This Row],[Part No]],"+",บันทึกนำเข้าDrawing[[#This Row],[Drawing No]])</f>
        <v>2B94-021-00+DR-TW-2B94-021-00-00</v>
      </c>
    </row>
    <row r="1270" spans="2:9">
      <c r="B1270" s="81">
        <v>45414</v>
      </c>
      <c r="C1270" s="82" t="s">
        <v>6425</v>
      </c>
      <c r="D1270" s="33" t="s">
        <v>1424</v>
      </c>
      <c r="E1270" s="69" t="str">
        <f>RIGHT(บันทึกนำเข้าDrawing[[#This Row],[Drawing No]],1)</f>
        <v>0</v>
      </c>
      <c r="F1270" s="116" t="s">
        <v>6426</v>
      </c>
      <c r="G1270" s="120" t="s">
        <v>4027</v>
      </c>
      <c r="H1270" s="83">
        <v>45414</v>
      </c>
      <c r="I1270" s="29" t="str">
        <f>CONCATENATE(บันทึกนำเข้าDrawing[[#This Row],[Part No]],"+",บันทึกนำเข้าDrawing[[#This Row],[Drawing No]])</f>
        <v>2B27-216-00+DR-TW-2B27-216-00-00</v>
      </c>
    </row>
    <row r="1271" spans="2:9">
      <c r="B1271" s="81">
        <v>45415</v>
      </c>
      <c r="C1271" s="82" t="s">
        <v>6427</v>
      </c>
      <c r="D1271" s="33" t="s">
        <v>6428</v>
      </c>
      <c r="E1271" s="69" t="str">
        <f>RIGHT(บันทึกนำเข้าDrawing[[#This Row],[Drawing No]],1)</f>
        <v>0</v>
      </c>
      <c r="F1271" s="84" t="s">
        <v>6429</v>
      </c>
      <c r="G1271" s="120" t="s">
        <v>4027</v>
      </c>
      <c r="H1271" s="83">
        <v>45418</v>
      </c>
      <c r="I1271" s="29" t="str">
        <f>CONCATENATE(บันทึกนำเข้าDrawing[[#This Row],[Part No]],"+",บันทึกนำเข้าDrawing[[#This Row],[Drawing No]])</f>
        <v>2B91-033-03+DR-TW-2B91-033-03-00</v>
      </c>
    </row>
    <row r="1272" spans="2:9">
      <c r="B1272" s="81">
        <v>45415</v>
      </c>
      <c r="C1272" s="82" t="s">
        <v>6430</v>
      </c>
      <c r="D1272" s="33" t="s">
        <v>6431</v>
      </c>
      <c r="E1272" s="69" t="str">
        <f>RIGHT(บันทึกนำเข้าDrawing[[#This Row],[Drawing No]],1)</f>
        <v>0</v>
      </c>
      <c r="F1272" s="84" t="s">
        <v>6432</v>
      </c>
      <c r="G1272" s="120" t="s">
        <v>4027</v>
      </c>
      <c r="H1272" s="83">
        <v>45418</v>
      </c>
      <c r="I1272" s="29" t="str">
        <f>CONCATENATE(บันทึกนำเข้าDrawing[[#This Row],[Part No]],"+",บันทึกนำเข้าDrawing[[#This Row],[Drawing No]])</f>
        <v>2B25-233-02+DR-TW-2B25-011-08-00</v>
      </c>
    </row>
    <row r="1273" spans="2:9">
      <c r="B1273" s="81">
        <v>45415</v>
      </c>
      <c r="C1273" s="82" t="s">
        <v>6430</v>
      </c>
      <c r="D1273" s="33" t="s">
        <v>6433</v>
      </c>
      <c r="E1273" s="69" t="str">
        <f>RIGHT(บันทึกนำเข้าDrawing[[#This Row],[Drawing No]],1)</f>
        <v>0</v>
      </c>
      <c r="F1273" s="84" t="s">
        <v>6432</v>
      </c>
      <c r="G1273" s="120" t="s">
        <v>4027</v>
      </c>
      <c r="H1273" s="83">
        <v>45418</v>
      </c>
      <c r="I1273" s="29" t="str">
        <f>CONCATENATE(บันทึกนำเข้าDrawing[[#This Row],[Part No]],"+",บันทึกนำเข้าDrawing[[#This Row],[Drawing No]])</f>
        <v>2B25-011-08+DR-TW-2B25-011-08-00</v>
      </c>
    </row>
    <row r="1274" spans="2:9">
      <c r="B1274" s="81">
        <v>42886</v>
      </c>
      <c r="C1274" s="82" t="s">
        <v>6436</v>
      </c>
      <c r="D1274" s="33" t="s">
        <v>919</v>
      </c>
      <c r="E1274" s="69" t="str">
        <f>RIGHT(บันทึกนำเข้าDrawing[[#This Row],[Drawing No]],1)</f>
        <v>1</v>
      </c>
      <c r="F1274" s="84" t="s">
        <v>2474</v>
      </c>
      <c r="G1274" s="120" t="s">
        <v>4029</v>
      </c>
      <c r="H1274" s="83"/>
      <c r="I1274" s="29" t="str">
        <f>CONCATENATE(บันทึกนำเข้าDrawing[[#This Row],[Part No]],"+",บันทึกนำเข้าDrawing[[#This Row],[Drawing No]])</f>
        <v>2B25-181-02+DR-TW-2B25-041-07-01</v>
      </c>
    </row>
    <row r="1275" spans="2:9">
      <c r="B1275" s="81">
        <v>44105</v>
      </c>
      <c r="C1275" s="82" t="s">
        <v>3672</v>
      </c>
      <c r="D1275" s="33" t="s">
        <v>741</v>
      </c>
      <c r="E1275" s="69" t="str">
        <f>RIGHT(บันทึกนำเข้าDrawing[[#This Row],[Drawing No]],1)</f>
        <v>1</v>
      </c>
      <c r="F1275" s="84" t="s">
        <v>6438</v>
      </c>
      <c r="G1275" s="120" t="s">
        <v>3779</v>
      </c>
      <c r="H1275" s="83"/>
      <c r="I1275" s="29" t="str">
        <f>CONCATENATE(บันทึกนำเข้าDrawing[[#This Row],[Part No]],"+",บันทึกนำเข้าDrawing[[#This Row],[Drawing No]])</f>
        <v>2B25-049-07+DR-TW-2B25-009-08-01</v>
      </c>
    </row>
    <row r="1276" spans="2:9">
      <c r="B1276" s="81">
        <v>41090</v>
      </c>
      <c r="C1276" s="82" t="s">
        <v>6441</v>
      </c>
      <c r="D1276" s="33" t="s">
        <v>751</v>
      </c>
      <c r="E1276" s="69" t="str">
        <f>RIGHT(บันทึกนำเข้าDrawing[[#This Row],[Drawing No]],1)</f>
        <v>0</v>
      </c>
      <c r="F1276" s="84" t="s">
        <v>2394</v>
      </c>
      <c r="G1276" s="120" t="s">
        <v>4027</v>
      </c>
      <c r="H1276" s="83">
        <v>45421</v>
      </c>
      <c r="I1276" s="29" t="str">
        <f>CONCATENATE(บันทึกนำเข้าDrawing[[#This Row],[Part No]],"+",บันทึกนำเข้าDrawing[[#This Row],[Drawing No]])</f>
        <v>2B25-055-03+DR-TW-2B25-055-03-00</v>
      </c>
    </row>
    <row r="1277" spans="2:9">
      <c r="B1277" s="81">
        <v>42886</v>
      </c>
      <c r="C1277" s="82" t="s">
        <v>6436</v>
      </c>
      <c r="D1277" s="33" t="s">
        <v>731</v>
      </c>
      <c r="E1277" s="69" t="str">
        <f>RIGHT(บันทึกนำเข้าDrawing[[#This Row],[Drawing No]],1)</f>
        <v>1</v>
      </c>
      <c r="F1277" s="84" t="s">
        <v>2382</v>
      </c>
      <c r="G1277" s="120" t="s">
        <v>4029</v>
      </c>
      <c r="H1277" s="83">
        <v>45590</v>
      </c>
      <c r="I1277" s="29" t="str">
        <f>CONCATENATE(บันทึกนำเข้าDrawing[[#This Row],[Part No]],"+",บันทึกนำเข้าDrawing[[#This Row],[Drawing No]])</f>
        <v>2B25-041-07+DR-TW-2B25-041-07-01</v>
      </c>
    </row>
    <row r="1278" spans="2:9">
      <c r="B1278" s="81">
        <v>44870</v>
      </c>
      <c r="C1278" s="82" t="s">
        <v>6443</v>
      </c>
      <c r="D1278" s="33" t="s">
        <v>6444</v>
      </c>
      <c r="E1278" s="69" t="str">
        <f>RIGHT(บันทึกนำเข้าDrawing[[#This Row],[Drawing No]],1)</f>
        <v>0</v>
      </c>
      <c r="F1278" s="84" t="s">
        <v>6445</v>
      </c>
      <c r="G1278" s="120" t="s">
        <v>4027</v>
      </c>
      <c r="H1278" s="83">
        <v>45429</v>
      </c>
      <c r="I1278" s="29" t="str">
        <f>CONCATENATE(บันทึกนำเข้าDrawing[[#This Row],[Part No]],"+",บันทึกนำเข้าDrawing[[#This Row],[Drawing No]])</f>
        <v>2B26-130-05+DR-TW-2B26-130-05-00</v>
      </c>
    </row>
    <row r="1279" spans="2:9">
      <c r="B1279" s="85">
        <v>45422</v>
      </c>
      <c r="C1279" s="8" t="s">
        <v>6446</v>
      </c>
      <c r="D1279" s="35" t="s">
        <v>6447</v>
      </c>
      <c r="E1279" s="69" t="str">
        <f>RIGHT(บันทึกนำเข้าDrawing[[#This Row],[Drawing No]],1)</f>
        <v>0</v>
      </c>
      <c r="F1279" s="10" t="s">
        <v>3176</v>
      </c>
      <c r="G1279" s="118" t="s">
        <v>4027</v>
      </c>
      <c r="H1279" s="80">
        <v>45444</v>
      </c>
      <c r="I1279" s="29" t="str">
        <f>CONCATENATE(บันทึกนำเข้าDrawing[[#This Row],[Part No]],"+",บันทึกนำเข้าDrawing[[#This Row],[Drawing No]])</f>
        <v>2B26-211-04+DR-TW-2B26-211-04-00</v>
      </c>
    </row>
    <row r="1280" spans="2:9">
      <c r="B1280" s="81">
        <v>45422</v>
      </c>
      <c r="C1280" s="82" t="s">
        <v>6449</v>
      </c>
      <c r="D1280" s="33" t="s">
        <v>6450</v>
      </c>
      <c r="E1280" s="69" t="str">
        <f>RIGHT(บันทึกนำเข้าDrawing[[#This Row],[Drawing No]],1)</f>
        <v>1</v>
      </c>
      <c r="F1280" s="84" t="s">
        <v>5612</v>
      </c>
      <c r="G1280" s="120" t="s">
        <v>3779</v>
      </c>
      <c r="H1280" s="83"/>
      <c r="I1280" s="29" t="str">
        <f>CONCATENATE(บันทึกนำเข้าDrawing[[#This Row],[Part No]],"+",บันทึกนำเข้าDrawing[[#This Row],[Drawing No]])</f>
        <v>2B04-425-03+DR-TW-2B04-425-03-01</v>
      </c>
    </row>
    <row r="1281" spans="2:9">
      <c r="B1281" s="81">
        <v>45422</v>
      </c>
      <c r="C1281" s="82" t="s">
        <v>6451</v>
      </c>
      <c r="D1281" s="33" t="s">
        <v>6353</v>
      </c>
      <c r="E1281" s="69" t="str">
        <f>RIGHT(บันทึกนำเข้าDrawing[[#This Row],[Drawing No]],1)</f>
        <v>1</v>
      </c>
      <c r="F1281" s="68" t="s">
        <v>5524</v>
      </c>
      <c r="G1281" s="120" t="s">
        <v>3779</v>
      </c>
      <c r="H1281" s="83"/>
      <c r="I1281" s="29" t="str">
        <f>CONCATENATE(บันทึกนำเข้าDrawing[[#This Row],[Part No]],"+",บันทึกนำเข้าDrawing[[#This Row],[Drawing No]])</f>
        <v>2B04-450-03+DR-TW-2B04-450-03-01</v>
      </c>
    </row>
    <row r="1282" spans="2:9">
      <c r="B1282" s="81">
        <v>45422</v>
      </c>
      <c r="C1282" s="82" t="s">
        <v>6453</v>
      </c>
      <c r="D1282" s="33" t="s">
        <v>6454</v>
      </c>
      <c r="E1282" s="69" t="str">
        <f>RIGHT(บันทึกนำเข้าDrawing[[#This Row],[Drawing No]],1)</f>
        <v>0</v>
      </c>
      <c r="F1282" s="84" t="s">
        <v>6388</v>
      </c>
      <c r="G1282" s="120" t="s">
        <v>4027</v>
      </c>
      <c r="H1282" s="83">
        <v>45509</v>
      </c>
      <c r="I1282" s="29" t="str">
        <f>CONCATENATE(บันทึกนำเข้าDrawing[[#This Row],[Part No]],"+",บันทึกนำเข้าDrawing[[#This Row],[Drawing No]])</f>
        <v>2B27-340-00+DR-TW-2B27-340-00-00</v>
      </c>
    </row>
    <row r="1283" spans="2:9">
      <c r="B1283" s="81">
        <v>45422</v>
      </c>
      <c r="C1283" s="82" t="s">
        <v>6455</v>
      </c>
      <c r="D1283" s="33" t="s">
        <v>6456</v>
      </c>
      <c r="E1283" s="69" t="str">
        <f>RIGHT(บันทึกนำเข้าDrawing[[#This Row],[Drawing No]],1)</f>
        <v>0</v>
      </c>
      <c r="F1283" s="84" t="s">
        <v>5660</v>
      </c>
      <c r="G1283" s="120" t="s">
        <v>4027</v>
      </c>
      <c r="H1283" s="83">
        <v>45429</v>
      </c>
      <c r="I1283" s="29" t="str">
        <f>CONCATENATE(บันทึกนำเข้าDrawing[[#This Row],[Part No]],"+",บันทึกนำเข้าDrawing[[#This Row],[Drawing No]])</f>
        <v>2B29-435-01+DR-TW-2B29-435-01-00</v>
      </c>
    </row>
    <row r="1284" spans="2:9">
      <c r="B1284" s="81">
        <v>45433</v>
      </c>
      <c r="C1284" s="82" t="s">
        <v>6503</v>
      </c>
      <c r="D1284" s="33" t="s">
        <v>6504</v>
      </c>
      <c r="E1284" s="69" t="str">
        <f>RIGHT(บันทึกนำเข้าDrawing[[#This Row],[Drawing No]],1)</f>
        <v>0</v>
      </c>
      <c r="F1284" s="84" t="s">
        <v>6505</v>
      </c>
      <c r="G1284" s="120" t="s">
        <v>4521</v>
      </c>
      <c r="H1284" s="83"/>
      <c r="I1284" s="29" t="str">
        <f>CONCATENATE(บันทึกนำเข้าDrawing[[#This Row],[Part No]],"+",บันทึกนำเข้าDrawing[[#This Row],[Drawing No]])</f>
        <v>2B69M583-00+DR-TW-2B69M583-00-00</v>
      </c>
    </row>
    <row r="1285" spans="2:9">
      <c r="B1285" s="81">
        <v>45422</v>
      </c>
      <c r="C1285" s="82" t="s">
        <v>6460</v>
      </c>
      <c r="D1285" s="33" t="s">
        <v>6461</v>
      </c>
      <c r="E1285" s="69" t="str">
        <f>RIGHT(บันทึกนำเข้าDrawing[[#This Row],[Drawing No]],1)</f>
        <v>0</v>
      </c>
      <c r="F1285" s="84" t="s">
        <v>6462</v>
      </c>
      <c r="G1285" s="120" t="s">
        <v>4027</v>
      </c>
      <c r="H1285" s="83">
        <v>45436</v>
      </c>
      <c r="I1285" s="29" t="str">
        <f>CONCATENATE(บันทึกนำเข้าDrawing[[#This Row],[Part No]],"+",บันทึกนำเข้าDrawing[[#This Row],[Drawing No]])</f>
        <v>2B91-052-03+DR-TW-2B91-052-03-00</v>
      </c>
    </row>
    <row r="1286" spans="2:9">
      <c r="B1286" s="81">
        <v>45426</v>
      </c>
      <c r="C1286" s="82" t="s">
        <v>6465</v>
      </c>
      <c r="D1286" s="33" t="s">
        <v>6466</v>
      </c>
      <c r="E1286" s="69" t="str">
        <f>RIGHT(บันทึกนำเข้าDrawing[[#This Row],[Drawing No]],1)</f>
        <v>0</v>
      </c>
      <c r="F1286" s="84" t="s">
        <v>6464</v>
      </c>
      <c r="G1286" s="120" t="s">
        <v>4029</v>
      </c>
      <c r="H1286" s="83">
        <v>45432</v>
      </c>
      <c r="I1286" s="29" t="str">
        <f>CONCATENATE(บันทึกนำเข้าDrawing[[#This Row],[Part No]],"+",บันทึกนำเข้าDrawing[[#This Row],[Drawing No]])</f>
        <v>2B91-205-02+DR-TW-2B91-205-02-00</v>
      </c>
    </row>
    <row r="1287" spans="2:9">
      <c r="B1287" s="81">
        <v>45719</v>
      </c>
      <c r="C1287" s="82" t="s">
        <v>6920</v>
      </c>
      <c r="D1287" s="33" t="s">
        <v>6921</v>
      </c>
      <c r="E1287" s="69" t="str">
        <f>RIGHT(บันทึกนำเข้าDrawing[[#This Row],[Drawing No]],1)</f>
        <v>0</v>
      </c>
      <c r="F1287" s="84" t="s">
        <v>6922</v>
      </c>
      <c r="G1287" s="120" t="s">
        <v>4521</v>
      </c>
      <c r="H1287" s="83"/>
      <c r="I1287" s="29" t="str">
        <f>CONCATENATE(บันทึกนำเข้าDrawing[[#This Row],[Part No]],"+",บันทึกนำเข้าDrawing[[#This Row],[Drawing No]])</f>
        <v>2B69M681-00+DR-TW-2B69M681-00-00</v>
      </c>
    </row>
    <row r="1288" spans="2:9">
      <c r="B1288" s="81">
        <v>45587</v>
      </c>
      <c r="C1288" s="88" t="s">
        <v>6756</v>
      </c>
      <c r="D1288" s="2" t="s">
        <v>6755</v>
      </c>
      <c r="E1288" s="69" t="str">
        <f>RIGHT(บันทึกนำเข้าDrawing[[#This Row],[Drawing No]],1)</f>
        <v>0</v>
      </c>
      <c r="F1288" s="84" t="s">
        <v>6754</v>
      </c>
      <c r="G1288" s="120" t="s">
        <v>4521</v>
      </c>
      <c r="H1288" s="83"/>
      <c r="I1288" s="29" t="str">
        <f>CONCATENATE(บันทึกนำเข้าDrawing[[#This Row],[Part No]],"+",บันทึกนำเข้าDrawing[[#This Row],[Drawing No]])</f>
        <v>2B69M642-00+DR-TW-2B69M642-00-00</v>
      </c>
    </row>
    <row r="1289" spans="2:9">
      <c r="B1289" s="81">
        <v>45608</v>
      </c>
      <c r="C1289" s="82" t="s">
        <v>6823</v>
      </c>
      <c r="D1289" s="33" t="s">
        <v>6822</v>
      </c>
      <c r="E1289" s="69" t="str">
        <f>RIGHT(บันทึกนำเข้าDrawing[[#This Row],[Drawing No]],1)</f>
        <v>0</v>
      </c>
      <c r="F1289" s="84" t="s">
        <v>6824</v>
      </c>
      <c r="G1289" s="120" t="s">
        <v>4521</v>
      </c>
      <c r="H1289" s="83"/>
      <c r="I1289" s="29" t="str">
        <f>CONCATENATE(บันทึกนำเข้าDrawing[[#This Row],[Part No]],"+",บันทึกนำเข้าDrawing[[#This Row],[Drawing No]])</f>
        <v>2B69M520-01+DR-TW-2B69M520-01-00</v>
      </c>
    </row>
    <row r="1290" spans="2:9">
      <c r="B1290" s="81">
        <v>45436</v>
      </c>
      <c r="C1290" s="82" t="s">
        <v>6482</v>
      </c>
      <c r="D1290" s="33" t="s">
        <v>6483</v>
      </c>
      <c r="E1290" s="69" t="str">
        <f>RIGHT(บันทึกนำเข้าDrawing[[#This Row],[Drawing No]],1)</f>
        <v>0</v>
      </c>
      <c r="F1290" s="84" t="s">
        <v>6484</v>
      </c>
      <c r="G1290" s="120" t="s">
        <v>4027</v>
      </c>
      <c r="H1290" s="83">
        <v>45439</v>
      </c>
      <c r="I1290" s="29" t="str">
        <f>CONCATENATE(บันทึกนำเข้าDrawing[[#This Row],[Part No]],"+",บันทึกนำเข้าDrawing[[#This Row],[Drawing No]])</f>
        <v>2B25-239-01+DR-TW-2B25-239-01-00</v>
      </c>
    </row>
    <row r="1291" spans="2:9">
      <c r="B1291" s="81">
        <v>45436</v>
      </c>
      <c r="C1291" s="82" t="s">
        <v>6486</v>
      </c>
      <c r="D1291" s="33" t="s">
        <v>6487</v>
      </c>
      <c r="E1291" s="69" t="str">
        <f>RIGHT(บันทึกนำเข้าDrawing[[#This Row],[Drawing No]],1)</f>
        <v>1</v>
      </c>
      <c r="F1291" s="84" t="s">
        <v>6488</v>
      </c>
      <c r="G1291" s="120" t="s">
        <v>4027</v>
      </c>
      <c r="H1291" s="83">
        <v>45447</v>
      </c>
      <c r="I1291" s="29" t="str">
        <f>CONCATENATE(บันทึกนำเข้าDrawing[[#This Row],[Part No]],"+",บันทึกนำเข้าDrawing[[#This Row],[Drawing No]])</f>
        <v>2B25-107-01+DR-TW-2B25-107-01-01</v>
      </c>
    </row>
    <row r="1292" spans="2:9">
      <c r="B1292" s="81">
        <v>45436</v>
      </c>
      <c r="C1292" s="82" t="s">
        <v>6489</v>
      </c>
      <c r="D1292" s="33" t="s">
        <v>6490</v>
      </c>
      <c r="E1292" s="69" t="str">
        <f>RIGHT(บันทึกนำเข้าDrawing[[#This Row],[Drawing No]],1)</f>
        <v>0</v>
      </c>
      <c r="F1292" s="84" t="s">
        <v>6495</v>
      </c>
      <c r="G1292" s="120" t="s">
        <v>4027</v>
      </c>
      <c r="H1292" s="83">
        <v>45509</v>
      </c>
      <c r="I1292" s="29" t="str">
        <f>CONCATENATE(บันทึกนำเข้าDrawing[[#This Row],[Part No]],"+",บันทึกนำเข้าDrawing[[#This Row],[Drawing No]])</f>
        <v>2B91-206-01+DR-TW-2B91-206-01-00</v>
      </c>
    </row>
    <row r="1293" spans="2:9">
      <c r="B1293" s="81">
        <v>45436</v>
      </c>
      <c r="C1293" s="82" t="s">
        <v>6492</v>
      </c>
      <c r="D1293" s="33" t="s">
        <v>6493</v>
      </c>
      <c r="E1293" s="69" t="str">
        <f>RIGHT(บันทึกนำเข้าDrawing[[#This Row],[Drawing No]],1)</f>
        <v>0</v>
      </c>
      <c r="F1293" s="84" t="s">
        <v>6494</v>
      </c>
      <c r="G1293" s="120" t="s">
        <v>3772</v>
      </c>
      <c r="H1293" s="83"/>
      <c r="I1293" s="29" t="str">
        <f>CONCATENATE(บันทึกนำเข้าDrawing[[#This Row],[Part No]],"+",บันทึกนำเข้าDrawing[[#This Row],[Drawing No]])</f>
        <v>2B91-207-01+DR-TW-2B91-207-01-00</v>
      </c>
    </row>
    <row r="1294" spans="2:9">
      <c r="B1294" s="81">
        <v>45670</v>
      </c>
      <c r="C1294" s="82" t="s">
        <v>6923</v>
      </c>
      <c r="D1294" s="33" t="s">
        <v>6924</v>
      </c>
      <c r="E1294" s="69" t="str">
        <f>RIGHT(บันทึกนำเข้าDrawing[[#This Row],[Drawing No]],1)</f>
        <v>0</v>
      </c>
      <c r="F1294" s="84" t="s">
        <v>6925</v>
      </c>
      <c r="G1294" s="120" t="s">
        <v>4521</v>
      </c>
      <c r="H1294" s="83"/>
      <c r="I1294" s="29" t="str">
        <f>CONCATENATE(บันทึกนำเข้าDrawing[[#This Row],[Part No]],"+",บันทึกนำเข้าDrawing[[#This Row],[Drawing No]])</f>
        <v>2B69M664-00+DR-TW-2B69M664-00-00</v>
      </c>
    </row>
    <row r="1295" spans="2:9">
      <c r="B1295" s="81">
        <v>45670</v>
      </c>
      <c r="C1295" s="82" t="s">
        <v>6926</v>
      </c>
      <c r="D1295" s="33" t="s">
        <v>6927</v>
      </c>
      <c r="E1295" s="69" t="str">
        <f>RIGHT(บันทึกนำเข้าDrawing[[#This Row],[Drawing No]],1)</f>
        <v>0</v>
      </c>
      <c r="F1295" s="84" t="s">
        <v>6928</v>
      </c>
      <c r="G1295" s="120" t="s">
        <v>4521</v>
      </c>
      <c r="H1295" s="83"/>
      <c r="I1295" s="29" t="str">
        <f>CONCATENATE(บันทึกนำเข้าDrawing[[#This Row],[Part No]],"+",บันทึกนำเข้าDrawing[[#This Row],[Drawing No]])</f>
        <v>2B69M683-00+DR-TW-2B69M683-00-00</v>
      </c>
    </row>
    <row r="1296" spans="2:9">
      <c r="B1296" s="81">
        <v>45670</v>
      </c>
      <c r="C1296" s="82" t="s">
        <v>6929</v>
      </c>
      <c r="D1296" s="33" t="s">
        <v>6930</v>
      </c>
      <c r="E1296" s="69" t="str">
        <f>RIGHT(บันทึกนำเข้าDrawing[[#This Row],[Drawing No]],1)</f>
        <v>0</v>
      </c>
      <c r="F1296" s="84" t="s">
        <v>6931</v>
      </c>
      <c r="G1296" s="120" t="s">
        <v>4521</v>
      </c>
      <c r="H1296" s="83"/>
      <c r="I1296" s="29" t="str">
        <f>CONCATENATE(บันทึกนำเข้าDrawing[[#This Row],[Part No]],"+",บันทึกนำเข้าDrawing[[#This Row],[Drawing No]])</f>
        <v>2B69M684-00+DR-TW-2B69M684-00-00</v>
      </c>
    </row>
    <row r="1297" spans="2:9">
      <c r="B1297" s="81">
        <v>45369</v>
      </c>
      <c r="C1297" s="82" t="s">
        <v>6251</v>
      </c>
      <c r="D1297" s="33" t="s">
        <v>5577</v>
      </c>
      <c r="E1297" s="69" t="str">
        <f>RIGHT(บันทึกนำเข้าDrawing[[#This Row],[Drawing No]],1)</f>
        <v>1</v>
      </c>
      <c r="F1297" s="84" t="s">
        <v>5578</v>
      </c>
      <c r="G1297" s="118" t="s">
        <v>4521</v>
      </c>
      <c r="H1297" s="80"/>
      <c r="I1297" s="29" t="str">
        <f>CONCATENATE(บันทึกนำเข้าDrawing[[#This Row],[Part No]],"+",บันทึกนำเข้าDrawing[[#This Row],[Drawing No]])</f>
        <v>2B29-417-00+DR-TW-2B29-417-00-01</v>
      </c>
    </row>
    <row r="1298" spans="2:9">
      <c r="B1298" s="81">
        <v>45545</v>
      </c>
      <c r="C1298" s="72" t="s">
        <v>6718</v>
      </c>
      <c r="D1298" s="33" t="s">
        <v>6719</v>
      </c>
      <c r="E1298" s="69" t="str">
        <f>RIGHT(บันทึกนำเข้าDrawing[[#This Row],[Drawing No]],1)</f>
        <v>0</v>
      </c>
      <c r="F1298" s="68" t="s">
        <v>6720</v>
      </c>
      <c r="G1298" s="118" t="s">
        <v>4521</v>
      </c>
      <c r="H1298" s="80"/>
      <c r="I1298" s="29" t="str">
        <f>CONCATENATE(บันทึกนำเข้าDrawing[[#This Row],[Part No]],"+",บันทึกนำเข้าDrawing[[#This Row],[Drawing No]])</f>
        <v>2B69A092-00+DR-TW-2B69A092-00-00</v>
      </c>
    </row>
    <row r="1299" spans="2:9">
      <c r="B1299" s="81">
        <v>45373</v>
      </c>
      <c r="C1299" s="72" t="s">
        <v>6275</v>
      </c>
      <c r="D1299" s="33" t="s">
        <v>6276</v>
      </c>
      <c r="E1299" s="69" t="str">
        <f>RIGHT(บันทึกนำเข้าDrawing[[#This Row],[Drawing No]],1)</f>
        <v>0</v>
      </c>
      <c r="F1299" s="68" t="s">
        <v>6274</v>
      </c>
      <c r="G1299" s="118" t="s">
        <v>4521</v>
      </c>
      <c r="H1299" s="80"/>
      <c r="I1299" s="29" t="str">
        <f>CONCATENATE(บันทึกนำเข้าDrawing[[#This Row],[Part No]],"+",บันทึกนำเข้าDrawing[[#This Row],[Drawing No]])</f>
        <v>2B69M494-00+DR-TW-2B69M494-00-00</v>
      </c>
    </row>
    <row r="1300" spans="2:9" ht="14.25" customHeight="1">
      <c r="B1300" s="81">
        <v>45324</v>
      </c>
      <c r="C1300" s="72" t="s">
        <v>6048</v>
      </c>
      <c r="D1300" s="33" t="s">
        <v>6049</v>
      </c>
      <c r="E1300" s="69" t="str">
        <f>RIGHT(บันทึกนำเข้าDrawing[[#This Row],[Drawing No]],1)</f>
        <v>0</v>
      </c>
      <c r="F1300" s="68" t="s">
        <v>6050</v>
      </c>
      <c r="G1300" s="118" t="s">
        <v>4521</v>
      </c>
      <c r="H1300" s="80"/>
      <c r="I1300" s="29" t="str">
        <f>CONCATENATE(บันทึกนำเข้าDrawing[[#This Row],[Part No]],"+",บันทึกนำเข้าDrawing[[#This Row],[Drawing No]])</f>
        <v>2B69A045-00+DR-TW-2B69A045-00-00</v>
      </c>
    </row>
    <row r="1301" spans="2:9">
      <c r="B1301" s="81">
        <v>45511</v>
      </c>
      <c r="C1301" s="72" t="s">
        <v>6519</v>
      </c>
      <c r="D1301" s="33" t="s">
        <v>6520</v>
      </c>
      <c r="E1301" s="69" t="str">
        <f>RIGHT(บันทึกนำเข้าDrawing[[#This Row],[Drawing No]],1)</f>
        <v>0</v>
      </c>
      <c r="F1301" s="79" t="s">
        <v>3898</v>
      </c>
      <c r="G1301" s="120" t="s">
        <v>4027</v>
      </c>
      <c r="H1301" s="83">
        <v>45444</v>
      </c>
      <c r="I1301" s="29" t="str">
        <f>CONCATENATE(บันทึกนำเข้าDrawing[[#This Row],[Part No]],"+",บันทึกนำเข้าDrawing[[#This Row],[Drawing No]])</f>
        <v>2B26-250-06+DR-TW-2B26-250-06-00</v>
      </c>
    </row>
    <row r="1302" spans="2:9">
      <c r="B1302" s="81">
        <v>45442</v>
      </c>
      <c r="C1302" s="82" t="s">
        <v>6522</v>
      </c>
      <c r="D1302" s="33" t="s">
        <v>6523</v>
      </c>
      <c r="E1302" s="69" t="str">
        <f>RIGHT(บันทึกนำเข้าDrawing[[#This Row],[Drawing No]],1)</f>
        <v>0</v>
      </c>
      <c r="F1302" s="84" t="s">
        <v>6524</v>
      </c>
      <c r="G1302" s="120" t="s">
        <v>4029</v>
      </c>
      <c r="H1302" s="83"/>
      <c r="I1302" s="29" t="str">
        <f>CONCATENATE(บันทึกนำเข้าDrawing[[#This Row],[Part No]],"+",บันทึกนำเข้าDrawing[[#This Row],[Drawing No]])</f>
        <v>2B69M579-00+DR-TW-2B69M579-00-00</v>
      </c>
    </row>
    <row r="1303" spans="2:9">
      <c r="B1303" s="81">
        <v>45447</v>
      </c>
      <c r="C1303" s="72" t="s">
        <v>4153</v>
      </c>
      <c r="D1303" s="33" t="s">
        <v>895</v>
      </c>
      <c r="E1303" s="69" t="str">
        <f>RIGHT(บันทึกนำเข้าDrawing[[#This Row],[Drawing No]],1)</f>
        <v>5</v>
      </c>
      <c r="F1303" s="11" t="s">
        <v>2972</v>
      </c>
      <c r="G1303" s="120" t="s">
        <v>4027</v>
      </c>
      <c r="H1303" s="83">
        <v>45453</v>
      </c>
      <c r="I1303" s="29" t="str">
        <f>CONCATENATE(บันทึกนำเข้าDrawing[[#This Row],[Part No]],"+",บันทึกนำเข้าDrawing[[#This Row],[Drawing No]])</f>
        <v>2B25-163-02+DR-TW-2B25-034-02-05</v>
      </c>
    </row>
    <row r="1304" spans="2:9">
      <c r="B1304" s="81">
        <v>45324</v>
      </c>
      <c r="C1304" s="72" t="s">
        <v>4153</v>
      </c>
      <c r="D1304" s="33" t="s">
        <v>6045</v>
      </c>
      <c r="E1304" s="69" t="str">
        <f>RIGHT(บันทึกนำเข้าDrawing[[#This Row],[Drawing No]],1)</f>
        <v>5</v>
      </c>
      <c r="F1304" s="84" t="s">
        <v>6046</v>
      </c>
      <c r="G1304" s="120" t="s">
        <v>4521</v>
      </c>
      <c r="H1304" s="83"/>
      <c r="I1304" s="29" t="str">
        <f>CONCATENATE(บันทึกนำเข้าDrawing[[#This Row],[Part No]],"+",บันทึกนำเข้าDrawing[[#This Row],[Drawing No]])</f>
        <v>2B69A044-00+DR-TW-2B25-034-02-05</v>
      </c>
    </row>
    <row r="1305" spans="2:9">
      <c r="B1305" s="81">
        <v>45484</v>
      </c>
      <c r="C1305" s="72" t="s">
        <v>4153</v>
      </c>
      <c r="D1305" s="33" t="s">
        <v>6574</v>
      </c>
      <c r="E1305" s="69" t="str">
        <f>RIGHT(บันทึกนำเข้าDrawing[[#This Row],[Drawing No]],1)</f>
        <v>5</v>
      </c>
      <c r="F1305" s="254" t="s">
        <v>6575</v>
      </c>
      <c r="G1305" s="120" t="s">
        <v>4521</v>
      </c>
      <c r="H1305" s="83"/>
      <c r="I1305" s="29" t="str">
        <f>CONCATENATE(บันทึกนำเข้าDrawing[[#This Row],[Part No]],"+",บันทึกนำเข้าDrawing[[#This Row],[Drawing No]])</f>
        <v>2B69M601-00+DR-TW-2B25-034-02-05</v>
      </c>
    </row>
    <row r="1306" spans="2:9">
      <c r="B1306" s="81">
        <v>45511</v>
      </c>
      <c r="C1306" s="72" t="s">
        <v>4153</v>
      </c>
      <c r="D1306" s="33" t="s">
        <v>6536</v>
      </c>
      <c r="E1306" s="69" t="str">
        <f>RIGHT(บันทึกนำเข้าDrawing[[#This Row],[Drawing No]],1)</f>
        <v>5</v>
      </c>
      <c r="F1306" s="73" t="s">
        <v>6537</v>
      </c>
      <c r="G1306" s="120" t="s">
        <v>4027</v>
      </c>
      <c r="H1306" s="83">
        <v>45511</v>
      </c>
      <c r="I1306" s="29" t="str">
        <f>CONCATENATE(บันทึกนำเข้าDrawing[[#This Row],[Part No]],"+",บันทึกนำเข้าDrawing[[#This Row],[Drawing No]])</f>
        <v>2B26-270-02+DR-TW-2B25-034-02-05</v>
      </c>
    </row>
    <row r="1307" spans="2:9">
      <c r="B1307" s="81">
        <v>42962</v>
      </c>
      <c r="C1307" s="72" t="s">
        <v>4153</v>
      </c>
      <c r="D1307" s="33" t="s">
        <v>940</v>
      </c>
      <c r="E1307" s="69" t="str">
        <f>RIGHT(บันทึกนำเข้าDrawing[[#This Row],[Drawing No]],1)</f>
        <v>5</v>
      </c>
      <c r="F1307" s="13" t="s">
        <v>2486</v>
      </c>
      <c r="G1307" s="120" t="s">
        <v>4027</v>
      </c>
      <c r="H1307" s="83">
        <v>45451</v>
      </c>
      <c r="I1307" s="29" t="str">
        <f>CONCATENATE(บันทึกนำเข้าDrawing[[#This Row],[Part No]],"+",บันทึกนำเข้าDrawing[[#This Row],[Drawing No]])</f>
        <v>2B25-208-02+DR-TW-2B25-034-02-05</v>
      </c>
    </row>
    <row r="1308" spans="2:9">
      <c r="B1308" s="85">
        <v>45449</v>
      </c>
      <c r="C1308" s="72" t="s">
        <v>4153</v>
      </c>
      <c r="D1308" s="33" t="s">
        <v>6540</v>
      </c>
      <c r="E1308" s="69" t="str">
        <f>RIGHT(บันทึกนำเข้าDrawing[[#This Row],[Drawing No]],1)</f>
        <v>5</v>
      </c>
      <c r="F1308" s="68" t="s">
        <v>5035</v>
      </c>
      <c r="G1308" s="120" t="s">
        <v>3779</v>
      </c>
      <c r="H1308" s="83"/>
      <c r="I1308" s="29" t="str">
        <f>CONCATENATE(บันทึกนำเข้าDrawing[[#This Row],[Part No]],"+",บันทึกนำเข้าDrawing[[#This Row],[Drawing No]])</f>
        <v>2B04-540-01+DR-TW-2B25-034-02-05</v>
      </c>
    </row>
    <row r="1309" spans="2:9">
      <c r="B1309" s="85">
        <v>45449</v>
      </c>
      <c r="C1309" s="72" t="s">
        <v>4153</v>
      </c>
      <c r="D1309" s="33" t="s">
        <v>6542</v>
      </c>
      <c r="E1309" s="69" t="str">
        <f>RIGHT(บันทึกนำเข้าDrawing[[#This Row],[Drawing No]],1)</f>
        <v>5</v>
      </c>
      <c r="F1309" s="84" t="s">
        <v>4893</v>
      </c>
      <c r="G1309" s="118" t="s">
        <v>4029</v>
      </c>
      <c r="H1309" s="80"/>
      <c r="I1309" s="29" t="str">
        <f>CONCATENATE(บันทึกนำเข้าDrawing[[#This Row],[Part No]],"+",บันทึกนำเข้าDrawing[[#This Row],[Drawing No]])</f>
        <v>2B04B500-01+DR-TW-2B25-034-02-05</v>
      </c>
    </row>
    <row r="1310" spans="2:9">
      <c r="B1310" s="85">
        <v>45458</v>
      </c>
      <c r="C1310" s="72" t="s">
        <v>4153</v>
      </c>
      <c r="D1310" s="33" t="s">
        <v>6543</v>
      </c>
      <c r="E1310" s="69" t="str">
        <f>RIGHT(บันทึกนำเข้าDrawing[[#This Row],[Drawing No]],1)</f>
        <v>5</v>
      </c>
      <c r="F1310" s="68" t="s">
        <v>6544</v>
      </c>
      <c r="G1310" s="118" t="s">
        <v>4029</v>
      </c>
      <c r="H1310" s="80">
        <v>45458</v>
      </c>
      <c r="I1310" s="29" t="str">
        <f>CONCATENATE(บันทึกนำเข้าDrawing[[#This Row],[Part No]],"+",บันทึกนำเข้าDrawing[[#This Row],[Drawing No]])</f>
        <v>2B25-029-03+DR-TW-2B25-034-02-05</v>
      </c>
    </row>
    <row r="1311" spans="2:9">
      <c r="B1311" s="85">
        <v>45458</v>
      </c>
      <c r="C1311" s="72" t="s">
        <v>4153</v>
      </c>
      <c r="D1311" s="33" t="s">
        <v>6545</v>
      </c>
      <c r="E1311" s="69" t="str">
        <f>RIGHT(บันทึกนำเข้าDrawing[[#This Row],[Drawing No]],1)</f>
        <v>5</v>
      </c>
      <c r="F1311" s="68" t="s">
        <v>6546</v>
      </c>
      <c r="G1311" s="118" t="s">
        <v>4029</v>
      </c>
      <c r="H1311" s="80">
        <v>45458</v>
      </c>
      <c r="I1311" s="29" t="str">
        <f>CONCATENATE(บันทึกนำเข้าDrawing[[#This Row],[Part No]],"+",บันทึกนำเข้าDrawing[[#This Row],[Drawing No]])</f>
        <v>2B25-062-03+DR-TW-2B25-034-02-05</v>
      </c>
    </row>
    <row r="1312" spans="2:9">
      <c r="B1312" s="85">
        <v>45458</v>
      </c>
      <c r="C1312" s="72" t="s">
        <v>4153</v>
      </c>
      <c r="D1312" s="33" t="s">
        <v>6547</v>
      </c>
      <c r="E1312" s="69" t="str">
        <f>RIGHT(บันทึกนำเข้าDrawing[[#This Row],[Drawing No]],1)</f>
        <v>5</v>
      </c>
      <c r="F1312" s="68" t="s">
        <v>6548</v>
      </c>
      <c r="G1312" s="118" t="s">
        <v>4029</v>
      </c>
      <c r="H1312" s="80"/>
      <c r="I1312" s="29" t="str">
        <f>CONCATENATE(บันทึกนำเข้าDrawing[[#This Row],[Part No]],"+",บันทึกนำเข้าDrawing[[#This Row],[Drawing No]])</f>
        <v>2B25-064-03+DR-TW-2B25-034-02-05</v>
      </c>
    </row>
    <row r="1313" spans="2:9">
      <c r="B1313" s="85">
        <v>45458</v>
      </c>
      <c r="C1313" s="72" t="s">
        <v>4153</v>
      </c>
      <c r="D1313" s="33" t="s">
        <v>6549</v>
      </c>
      <c r="E1313" s="69" t="str">
        <f>RIGHT(บันทึกนำเข้าDrawing[[#This Row],[Drawing No]],1)</f>
        <v>5</v>
      </c>
      <c r="F1313" s="68" t="s">
        <v>6550</v>
      </c>
      <c r="G1313" s="118" t="s">
        <v>4029</v>
      </c>
      <c r="H1313" s="80"/>
      <c r="I1313" s="29" t="str">
        <f>CONCATENATE(บันทึกนำเข้าDrawing[[#This Row],[Part No]],"+",บันทึกนำเข้าDrawing[[#This Row],[Drawing No]])</f>
        <v>2B25-065-03+DR-TW-2B25-034-02-05</v>
      </c>
    </row>
    <row r="1314" spans="2:9">
      <c r="B1314" s="85">
        <v>45458</v>
      </c>
      <c r="C1314" s="72" t="s">
        <v>4153</v>
      </c>
      <c r="D1314" s="33" t="s">
        <v>6551</v>
      </c>
      <c r="E1314" s="69" t="str">
        <f>RIGHT(บันทึกนำเข้าDrawing[[#This Row],[Drawing No]],1)</f>
        <v>5</v>
      </c>
      <c r="F1314" s="68" t="s">
        <v>6552</v>
      </c>
      <c r="G1314" s="118" t="s">
        <v>4029</v>
      </c>
      <c r="H1314" s="80"/>
      <c r="I1314" s="29" t="str">
        <f>CONCATENATE(บันทึกนำเข้าDrawing[[#This Row],[Part No]],"+",บันทึกนำเข้าDrawing[[#This Row],[Drawing No]])</f>
        <v>2B25-274-01+DR-TW-2B25-034-02-05</v>
      </c>
    </row>
    <row r="1315" spans="2:9">
      <c r="B1315" s="81">
        <v>45352</v>
      </c>
      <c r="C1315" s="72" t="s">
        <v>4153</v>
      </c>
      <c r="D1315" s="33" t="s">
        <v>963</v>
      </c>
      <c r="E1315" s="69" t="str">
        <f>RIGHT(บันทึกนำเข้าDrawing[[#This Row],[Drawing No]],1)</f>
        <v>5</v>
      </c>
      <c r="F1315" s="68" t="s">
        <v>6555</v>
      </c>
      <c r="G1315" s="118" t="s">
        <v>4027</v>
      </c>
      <c r="H1315" s="80">
        <v>45465</v>
      </c>
      <c r="I1315" s="29" t="str">
        <f>CONCATENATE(บันทึกนำเข้าDrawing[[#This Row],[Part No]],"+",บันทึกนำเข้าDrawing[[#This Row],[Drawing No]])</f>
        <v>2B25-229-03+DR-TW-2B25-034-02-05</v>
      </c>
    </row>
    <row r="1316" spans="2:9">
      <c r="B1316" s="85">
        <v>45365</v>
      </c>
      <c r="C1316" s="72" t="s">
        <v>4153</v>
      </c>
      <c r="D1316" s="33" t="s">
        <v>6245</v>
      </c>
      <c r="E1316" s="69" t="str">
        <f>RIGHT(บันทึกนำเข้าDrawing[[#This Row],[Drawing No]],1)</f>
        <v>5</v>
      </c>
      <c r="F1316" s="73" t="s">
        <v>6556</v>
      </c>
      <c r="G1316" s="118" t="s">
        <v>4027</v>
      </c>
      <c r="H1316" s="80">
        <v>45478</v>
      </c>
      <c r="I1316" s="29" t="str">
        <f>CONCATENATE(บันทึกนำเข้าDrawing[[#This Row],[Part No]],"+",บันทึกนำเข้าDrawing[[#This Row],[Drawing No]])</f>
        <v>2B29-432-02+DR-TW-2B25-034-02-05</v>
      </c>
    </row>
    <row r="1317" spans="2:9">
      <c r="B1317" s="85">
        <v>45490</v>
      </c>
      <c r="C1317" s="72" t="s">
        <v>4153</v>
      </c>
      <c r="D1317" s="33" t="s">
        <v>6558</v>
      </c>
      <c r="E1317" s="69" t="str">
        <f>RIGHT(บันทึกนำเข้าDrawing[[#This Row],[Drawing No]],1)</f>
        <v>5</v>
      </c>
      <c r="F1317" s="84" t="s">
        <v>2354</v>
      </c>
      <c r="G1317" s="118" t="s">
        <v>4027</v>
      </c>
      <c r="H1317" s="80">
        <v>45490</v>
      </c>
      <c r="I1317" s="29" t="str">
        <f>CONCATENATE(บันทึกนำเข้าDrawing[[#This Row],[Part No]],"+",บันทึกนำเข้าDrawing[[#This Row],[Drawing No]])</f>
        <v>2B24-229-05+DR-TW-2B25-034-02-05</v>
      </c>
    </row>
    <row r="1318" spans="2:9">
      <c r="B1318" s="85">
        <v>45521</v>
      </c>
      <c r="C1318" s="72" t="s">
        <v>4153</v>
      </c>
      <c r="D1318" s="33" t="s">
        <v>6458</v>
      </c>
      <c r="E1318" s="69" t="str">
        <f>RIGHT(บันทึกนำเข้าDrawing[[#This Row],[Drawing No]],1)</f>
        <v>5</v>
      </c>
      <c r="F1318" s="84" t="s">
        <v>6459</v>
      </c>
      <c r="G1318" s="118" t="s">
        <v>4027</v>
      </c>
      <c r="H1318" s="80">
        <v>45538</v>
      </c>
      <c r="I1318" s="29" t="str">
        <f>CONCATENATE(บันทึกนำเข้าDrawing[[#This Row],[Part No]],"+",บันทึกนำเข้าDrawing[[#This Row],[Drawing No]])</f>
        <v>2B94-021-00+DR-TW-2B25-034-02-05</v>
      </c>
    </row>
    <row r="1319" spans="2:9">
      <c r="B1319" s="85">
        <v>45475</v>
      </c>
      <c r="C1319" s="72" t="s">
        <v>4153</v>
      </c>
      <c r="D1319" s="33" t="s">
        <v>2290</v>
      </c>
      <c r="E1319" s="69" t="str">
        <f>RIGHT(บันทึกนำเข้าDrawing[[#This Row],[Drawing No]],1)</f>
        <v>5</v>
      </c>
      <c r="F1319" s="68" t="s">
        <v>6565</v>
      </c>
      <c r="G1319" s="118" t="s">
        <v>4027</v>
      </c>
      <c r="H1319" s="80">
        <v>45479</v>
      </c>
      <c r="I1319" s="29" t="str">
        <f>CONCATENATE(บันทึกนำเข้าDrawing[[#This Row],[Part No]],"+",บันทึกนำเข้าDrawing[[#This Row],[Drawing No]])</f>
        <v>2B91-215-01+DR-TW-2B25-034-02-05</v>
      </c>
    </row>
    <row r="1320" spans="2:9">
      <c r="B1320" s="85">
        <v>43164</v>
      </c>
      <c r="C1320" s="72" t="s">
        <v>4153</v>
      </c>
      <c r="D1320" s="33" t="s">
        <v>874</v>
      </c>
      <c r="E1320" s="69" t="str">
        <f>RIGHT(บันทึกนำเข้าDrawing[[#This Row],[Drawing No]],1)</f>
        <v>5</v>
      </c>
      <c r="F1320" s="170" t="s">
        <v>6567</v>
      </c>
      <c r="G1320" s="118" t="s">
        <v>4027</v>
      </c>
      <c r="H1320" s="80">
        <v>45491</v>
      </c>
      <c r="I1320" s="29" t="str">
        <f>CONCATENATE(บันทึกนำเข้าDrawing[[#This Row],[Part No]],"+",บันทึกนำเข้าDrawing[[#This Row],[Drawing No]])</f>
        <v>2B25-149-01+DR-TW-2B25-034-02-05</v>
      </c>
    </row>
    <row r="1321" spans="2:9">
      <c r="B1321" s="85">
        <v>45481</v>
      </c>
      <c r="C1321" s="72" t="s">
        <v>4153</v>
      </c>
      <c r="D1321" s="33" t="s">
        <v>722</v>
      </c>
      <c r="E1321" s="69" t="str">
        <f>RIGHT(บันทึกนำเข้าDrawing[[#This Row],[Drawing No]],1)</f>
        <v>5</v>
      </c>
      <c r="F1321" s="11" t="s">
        <v>2817</v>
      </c>
      <c r="G1321" s="118" t="s">
        <v>4027</v>
      </c>
      <c r="H1321" s="80">
        <v>45484</v>
      </c>
      <c r="I1321" s="29" t="str">
        <f>CONCATENATE(บันทึกนำเข้าDrawing[[#This Row],[Part No]],"+",บันทึกนำเข้าDrawing[[#This Row],[Drawing No]])</f>
        <v>2B25-036-00+DR-TW-2B25-034-02-05</v>
      </c>
    </row>
    <row r="1322" spans="2:9">
      <c r="B1322" s="85">
        <v>45470</v>
      </c>
      <c r="C1322" s="72" t="s">
        <v>4153</v>
      </c>
      <c r="D1322" s="33" t="s">
        <v>6561</v>
      </c>
      <c r="E1322" s="69" t="str">
        <f>RIGHT(บันทึกนำเข้าDrawing[[#This Row],[Drawing No]],1)</f>
        <v>5</v>
      </c>
      <c r="F1322" s="68" t="s">
        <v>6285</v>
      </c>
      <c r="G1322" s="118" t="s">
        <v>4521</v>
      </c>
      <c r="H1322" s="80"/>
      <c r="I1322" s="29" t="str">
        <f>CONCATENATE(บันทึกนำเข้าDrawing[[#This Row],[Part No]],"+",บันทึกนำเข้าDrawing[[#This Row],[Drawing No]])</f>
        <v>2B69M554-01+DR-TW-2B25-034-02-05</v>
      </c>
    </row>
    <row r="1323" spans="2:9">
      <c r="B1323" s="85">
        <v>45670</v>
      </c>
      <c r="C1323" s="72" t="s">
        <v>4153</v>
      </c>
      <c r="D1323" s="2" t="s">
        <v>6867</v>
      </c>
      <c r="E1323" s="69" t="str">
        <f>RIGHT(บันทึกนำเข้าDrawing[[#This Row],[Drawing No]],1)</f>
        <v>5</v>
      </c>
      <c r="F1323" s="37" t="s">
        <v>6868</v>
      </c>
      <c r="G1323" s="118" t="s">
        <v>4521</v>
      </c>
      <c r="H1323" s="80"/>
      <c r="I1323" s="29" t="str">
        <f>CONCATENATE(บันทึกนำเข้าDrawing[[#This Row],[Part No]],"+",บันทึกนำเข้าDrawing[[#This Row],[Drawing No]])</f>
        <v>2B69M678-00+DR-TW-2B25-034-02-05</v>
      </c>
    </row>
    <row r="1324" spans="2:9">
      <c r="B1324" s="85">
        <v>45485</v>
      </c>
      <c r="C1324" s="72" t="s">
        <v>4153</v>
      </c>
      <c r="D1324" s="33" t="s">
        <v>6578</v>
      </c>
      <c r="E1324" s="69" t="str">
        <f>RIGHT(บันทึกนำเข้าDrawing[[#This Row],[Drawing No]],1)</f>
        <v>5</v>
      </c>
      <c r="F1324" s="106" t="s">
        <v>6579</v>
      </c>
      <c r="G1324" s="118" t="s">
        <v>4029</v>
      </c>
      <c r="H1324" s="80"/>
      <c r="I1324" s="29" t="str">
        <f>CONCATENATE(บันทึกนำเข้าDrawing[[#This Row],[Part No]],"+",บันทึกนำเข้าDrawing[[#This Row],[Drawing No]])</f>
        <v>2B69M518-00+DR-TW-2B25-034-02-05</v>
      </c>
    </row>
    <row r="1325" spans="2:9">
      <c r="B1325" s="85">
        <v>45670</v>
      </c>
      <c r="C1325" s="72" t="s">
        <v>4153</v>
      </c>
      <c r="D1325" s="2" t="s">
        <v>6877</v>
      </c>
      <c r="E1325" s="69" t="str">
        <f>RIGHT(บันทึกนำเข้าDrawing[[#This Row],[Drawing No]],1)</f>
        <v>5</v>
      </c>
      <c r="F1325" s="37" t="s">
        <v>6878</v>
      </c>
      <c r="G1325" s="118" t="s">
        <v>4521</v>
      </c>
      <c r="H1325" s="80"/>
      <c r="I1325" s="29" t="str">
        <f>CONCATENATE(บันทึกนำเข้าDrawing[[#This Row],[Part No]],"+",บันทึกนำเข้าDrawing[[#This Row],[Drawing No]])</f>
        <v>2B69M676-00+DR-TW-2B25-034-02-05</v>
      </c>
    </row>
    <row r="1326" spans="2:9">
      <c r="B1326" s="85">
        <v>45670</v>
      </c>
      <c r="C1326" s="72" t="s">
        <v>4153</v>
      </c>
      <c r="D1326" s="2" t="s">
        <v>6874</v>
      </c>
      <c r="E1326" s="69" t="str">
        <f>RIGHT(บันทึกนำเข้าDrawing[[#This Row],[Drawing No]],1)</f>
        <v>5</v>
      </c>
      <c r="F1326" s="37" t="s">
        <v>6875</v>
      </c>
      <c r="G1326" s="118" t="s">
        <v>4521</v>
      </c>
      <c r="H1326" s="80"/>
      <c r="I1326" s="29" t="str">
        <f>CONCATENATE(บันทึกนำเข้าDrawing[[#This Row],[Part No]],"+",บันทึกนำเข้าDrawing[[#This Row],[Drawing No]])</f>
        <v>2B69M675-00+DR-TW-2B25-034-02-05</v>
      </c>
    </row>
    <row r="1327" spans="2:9">
      <c r="B1327" s="85"/>
      <c r="C1327" s="72" t="s">
        <v>4153</v>
      </c>
      <c r="D1327" s="8" t="s">
        <v>827</v>
      </c>
      <c r="E1327" s="69" t="str">
        <f>RIGHT(บันทึกนำเข้าDrawing[[#This Row],[Drawing No]],1)</f>
        <v>5</v>
      </c>
      <c r="F1327" s="12" t="s">
        <v>2424</v>
      </c>
      <c r="G1327" s="118" t="s">
        <v>4027</v>
      </c>
      <c r="H1327" s="80">
        <v>45485</v>
      </c>
      <c r="I1327" s="29" t="str">
        <f>CONCATENATE(บันทึกนำเข้าDrawing[[#This Row],[Part No]],"+",บันทึกนำเข้าDrawing[[#This Row],[Drawing No]])</f>
        <v>2B25-106-01+DR-TW-2B25-034-02-05</v>
      </c>
    </row>
    <row r="1328" spans="2:9">
      <c r="B1328" s="81">
        <v>45436</v>
      </c>
      <c r="C1328" s="72" t="s">
        <v>4153</v>
      </c>
      <c r="D1328" s="33" t="s">
        <v>6588</v>
      </c>
      <c r="E1328" s="69" t="str">
        <f>RIGHT(บันทึกนำเข้าDrawing[[#This Row],[Drawing No]],1)</f>
        <v>5</v>
      </c>
      <c r="F1328" s="84" t="s">
        <v>6494</v>
      </c>
      <c r="G1328" s="120" t="s">
        <v>4027</v>
      </c>
      <c r="H1328" s="83">
        <v>45490</v>
      </c>
      <c r="I1328" s="29" t="str">
        <f>CONCATENATE(บันทึกนำเข้าDrawing[[#This Row],[Part No]],"+",บันทึกนำเข้าDrawing[[#This Row],[Drawing No]])</f>
        <v>2B91-207A01+DR-TW-2B25-034-02-05</v>
      </c>
    </row>
    <row r="1329" spans="2:9">
      <c r="B1329" s="85">
        <v>45490</v>
      </c>
      <c r="C1329" s="72" t="s">
        <v>4153</v>
      </c>
      <c r="D1329" s="33" t="s">
        <v>6589</v>
      </c>
      <c r="E1329" s="69" t="str">
        <f>RIGHT(บันทึกนำเข้าDrawing[[#This Row],[Drawing No]],1)</f>
        <v>5</v>
      </c>
      <c r="F1329" s="68" t="s">
        <v>6591</v>
      </c>
      <c r="G1329" s="118" t="s">
        <v>4027</v>
      </c>
      <c r="H1329" s="80">
        <v>45496</v>
      </c>
      <c r="I1329" s="29" t="str">
        <f>CONCATENATE(บันทึกนำเข้าDrawing[[#This Row],[Part No]],"+",บันทึกนำเข้าDrawing[[#This Row],[Drawing No]])</f>
        <v>2B91-179-00+DR-TW-2B25-034-02-05</v>
      </c>
    </row>
    <row r="1330" spans="2:9">
      <c r="B1330" s="85">
        <v>45485</v>
      </c>
      <c r="C1330" s="72" t="s">
        <v>4153</v>
      </c>
      <c r="D1330" s="33" t="s">
        <v>6096</v>
      </c>
      <c r="E1330" s="69" t="str">
        <f>RIGHT(บันทึกนำเข้าDrawing[[#This Row],[Drawing No]],1)</f>
        <v>5</v>
      </c>
      <c r="F1330" s="68" t="s">
        <v>5483</v>
      </c>
      <c r="G1330" s="118" t="s">
        <v>4027</v>
      </c>
      <c r="H1330" s="80">
        <v>45491</v>
      </c>
      <c r="I1330" s="29" t="str">
        <f>CONCATENATE(บันทึกนำเข้าDrawing[[#This Row],[Part No]],"+",บันทึกนำเข้าDrawing[[#This Row],[Drawing No]])</f>
        <v>2B26-523-01+DR-TW-2B25-034-02-05</v>
      </c>
    </row>
    <row r="1331" spans="2:9">
      <c r="B1331" s="85">
        <v>45485</v>
      </c>
      <c r="C1331" s="72" t="s">
        <v>4153</v>
      </c>
      <c r="D1331" s="33" t="s">
        <v>6399</v>
      </c>
      <c r="E1331" s="69" t="str">
        <f>RIGHT(บันทึกนำเข้าDrawing[[#This Row],[Drawing No]],1)</f>
        <v>5</v>
      </c>
      <c r="F1331" s="68" t="s">
        <v>5480</v>
      </c>
      <c r="G1331" s="118" t="s">
        <v>4027</v>
      </c>
      <c r="H1331" s="80">
        <v>45507</v>
      </c>
      <c r="I1331" s="29" t="str">
        <f>CONCATENATE(บันทึกนำเข้าDrawing[[#This Row],[Part No]],"+",บันทึกนำเข้าDrawing[[#This Row],[Drawing No]])</f>
        <v>2B26-522-01+DR-TW-2B25-034-02-05</v>
      </c>
    </row>
    <row r="1332" spans="2:9">
      <c r="B1332" s="85">
        <v>45485</v>
      </c>
      <c r="C1332" s="72" t="s">
        <v>4153</v>
      </c>
      <c r="D1332" s="35" t="s">
        <v>6593</v>
      </c>
      <c r="E1332" s="69" t="str">
        <f>RIGHT(บันทึกนำเข้าDrawing[[#This Row],[Drawing No]],1)</f>
        <v>5</v>
      </c>
      <c r="F1332" s="73" t="s">
        <v>4421</v>
      </c>
      <c r="G1332" s="118" t="s">
        <v>3779</v>
      </c>
      <c r="H1332" s="80"/>
      <c r="I1332" s="29" t="str">
        <f>CONCATENATE(บันทึกนำเข้าDrawing[[#This Row],[Part No]],"+",บันทึกนำเข้าDrawing[[#This Row],[Drawing No]])</f>
        <v>2B26-252-02+DR-TW-2B25-034-02-05</v>
      </c>
    </row>
    <row r="1333" spans="2:9">
      <c r="B1333" s="85">
        <v>45485</v>
      </c>
      <c r="C1333" s="72" t="s">
        <v>4153</v>
      </c>
      <c r="D1333" s="33" t="s">
        <v>6595</v>
      </c>
      <c r="E1333" s="69" t="str">
        <f>RIGHT(บันทึกนำเข้าDrawing[[#This Row],[Drawing No]],1)</f>
        <v>5</v>
      </c>
      <c r="F1333" s="68" t="s">
        <v>6596</v>
      </c>
      <c r="G1333" s="118" t="s">
        <v>4027</v>
      </c>
      <c r="H1333" s="80">
        <v>45496</v>
      </c>
      <c r="I1333" s="29" t="str">
        <f>CONCATENATE(บันทึกนำเข้าDrawing[[#This Row],[Part No]],"+",บันทึกนำเข้าDrawing[[#This Row],[Drawing No]])</f>
        <v>2B91-178-00+DR-TW-2B25-034-02-05</v>
      </c>
    </row>
    <row r="1334" spans="2:9">
      <c r="B1334" s="85">
        <v>45490</v>
      </c>
      <c r="C1334" s="72" t="s">
        <v>4153</v>
      </c>
      <c r="D1334" s="33" t="s">
        <v>6598</v>
      </c>
      <c r="E1334" s="69" t="str">
        <f>RIGHT(บันทึกนำเข้าDrawing[[#This Row],[Drawing No]],1)</f>
        <v>5</v>
      </c>
      <c r="F1334" s="84" t="s">
        <v>6475</v>
      </c>
      <c r="G1334" s="120" t="s">
        <v>4027</v>
      </c>
      <c r="H1334" s="80"/>
      <c r="I1334" s="29" t="str">
        <f>CONCATENATE(บันทึกนำเข้าDrawing[[#This Row],[Part No]],"+",บันทึกนำเข้าDrawing[[#This Row],[Drawing No]])</f>
        <v>2B25-390-00+DR-TW-2B25-034-02-05</v>
      </c>
    </row>
    <row r="1335" spans="2:9">
      <c r="B1335" s="85">
        <v>45490</v>
      </c>
      <c r="C1335" s="72" t="s">
        <v>4153</v>
      </c>
      <c r="D1335" s="33" t="s">
        <v>6542</v>
      </c>
      <c r="E1335" s="69" t="str">
        <f>RIGHT(บันทึกนำเข้าDrawing[[#This Row],[Drawing No]],1)</f>
        <v>5</v>
      </c>
      <c r="F1335" s="84" t="s">
        <v>4893</v>
      </c>
      <c r="G1335" s="118" t="s">
        <v>3779</v>
      </c>
      <c r="H1335" s="80"/>
      <c r="I1335" s="29" t="str">
        <f>CONCATENATE(บันทึกนำเข้าDrawing[[#This Row],[Part No]],"+",บันทึกนำเข้าDrawing[[#This Row],[Drawing No]])</f>
        <v>2B04B500-01+DR-TW-2B25-034-02-05</v>
      </c>
    </row>
    <row r="1336" spans="2:9">
      <c r="B1336" s="85">
        <v>45490</v>
      </c>
      <c r="C1336" s="72" t="s">
        <v>4153</v>
      </c>
      <c r="D1336" s="33" t="s">
        <v>6601</v>
      </c>
      <c r="E1336" s="69" t="str">
        <f>RIGHT(บันทึกนำเข้าDrawing[[#This Row],[Drawing No]],1)</f>
        <v>5</v>
      </c>
      <c r="F1336" s="68" t="s">
        <v>6602</v>
      </c>
      <c r="G1336" s="118" t="s">
        <v>4027</v>
      </c>
      <c r="H1336" s="80">
        <v>45668</v>
      </c>
      <c r="I1336" s="29" t="str">
        <f>CONCATENATE(บันทึกนำเข้าDrawing[[#This Row],[Part No]],"+",บันทึกนำเข้าDrawing[[#This Row],[Drawing No]])</f>
        <v>2B19H125-00+DR-TW-2B25-034-02-05</v>
      </c>
    </row>
    <row r="1337" spans="2:9">
      <c r="B1337" s="85">
        <v>45490</v>
      </c>
      <c r="C1337" s="72" t="s">
        <v>4153</v>
      </c>
      <c r="D1337" s="33" t="s">
        <v>6603</v>
      </c>
      <c r="E1337" s="69" t="str">
        <f>RIGHT(บันทึกนำเข้าDrawing[[#This Row],[Drawing No]],1)</f>
        <v>5</v>
      </c>
      <c r="F1337" s="68" t="s">
        <v>6604</v>
      </c>
      <c r="G1337" s="118" t="s">
        <v>4027</v>
      </c>
      <c r="H1337" s="80">
        <v>45505</v>
      </c>
      <c r="I1337" s="29" t="str">
        <f>CONCATENATE(บันทึกนำเข้าDrawing[[#This Row],[Part No]],"+",บันทึกนำเข้าDrawing[[#This Row],[Drawing No]])</f>
        <v>2B19H130-00+DR-TW-2B25-034-02-05</v>
      </c>
    </row>
    <row r="1338" spans="2:9">
      <c r="B1338" s="85">
        <v>45490</v>
      </c>
      <c r="C1338" s="72" t="s">
        <v>4153</v>
      </c>
      <c r="D1338" s="33" t="s">
        <v>6605</v>
      </c>
      <c r="E1338" s="69" t="str">
        <f>RIGHT(บันทึกนำเข้าDrawing[[#This Row],[Drawing No]],1)</f>
        <v>5</v>
      </c>
      <c r="F1338" s="68" t="s">
        <v>6606</v>
      </c>
      <c r="G1338" s="118" t="s">
        <v>4027</v>
      </c>
      <c r="H1338" s="83">
        <v>45668</v>
      </c>
      <c r="I1338" s="29" t="str">
        <f>CONCATENATE(บันทึกนำเข้าDrawing[[#This Row],[Part No]],"+",บันทึกนำเข้าDrawing[[#This Row],[Drawing No]])</f>
        <v>2B19H135-00+DR-TW-2B25-034-02-05</v>
      </c>
    </row>
    <row r="1339" spans="2:9">
      <c r="B1339" s="85">
        <v>45490</v>
      </c>
      <c r="C1339" s="72" t="s">
        <v>4153</v>
      </c>
      <c r="D1339" s="33" t="s">
        <v>6543</v>
      </c>
      <c r="E1339" s="69" t="str">
        <f>RIGHT(บันทึกนำเข้าDrawing[[#This Row],[Drawing No]],1)</f>
        <v>5</v>
      </c>
      <c r="F1339" s="68" t="s">
        <v>6544</v>
      </c>
      <c r="G1339" s="118" t="s">
        <v>4027</v>
      </c>
      <c r="H1339" s="80">
        <v>45490</v>
      </c>
      <c r="I1339" s="29" t="str">
        <f>CONCATENATE(บันทึกนำเข้าDrawing[[#This Row],[Part No]],"+",บันทึกนำเข้าDrawing[[#This Row],[Drawing No]])</f>
        <v>2B25-029-03+DR-TW-2B25-034-02-05</v>
      </c>
    </row>
    <row r="1340" spans="2:9">
      <c r="B1340" s="85">
        <v>45490</v>
      </c>
      <c r="C1340" s="72" t="s">
        <v>4153</v>
      </c>
      <c r="D1340" s="33" t="s">
        <v>6545</v>
      </c>
      <c r="E1340" s="69" t="str">
        <f>RIGHT(บันทึกนำเข้าDrawing[[#This Row],[Drawing No]],1)</f>
        <v>5</v>
      </c>
      <c r="F1340" s="68" t="s">
        <v>6546</v>
      </c>
      <c r="G1340" s="118" t="s">
        <v>4027</v>
      </c>
      <c r="H1340" s="80">
        <v>45490</v>
      </c>
      <c r="I1340" s="29" t="str">
        <f>CONCATENATE(บันทึกนำเข้าDrawing[[#This Row],[Part No]],"+",บันทึกนำเข้าDrawing[[#This Row],[Drawing No]])</f>
        <v>2B25-062-03+DR-TW-2B25-034-02-05</v>
      </c>
    </row>
    <row r="1341" spans="2:9">
      <c r="B1341" s="85">
        <v>45490</v>
      </c>
      <c r="C1341" s="72" t="s">
        <v>4153</v>
      </c>
      <c r="D1341" s="33" t="s">
        <v>6547</v>
      </c>
      <c r="E1341" s="69" t="str">
        <f>RIGHT(บันทึกนำเข้าDrawing[[#This Row],[Drawing No]],1)</f>
        <v>5</v>
      </c>
      <c r="F1341" s="68" t="s">
        <v>6548</v>
      </c>
      <c r="G1341" s="118" t="s">
        <v>3779</v>
      </c>
      <c r="H1341" s="80"/>
      <c r="I1341" s="29" t="str">
        <f>CONCATENATE(บันทึกนำเข้าDrawing[[#This Row],[Part No]],"+",บันทึกนำเข้าDrawing[[#This Row],[Drawing No]])</f>
        <v>2B25-064-03+DR-TW-2B25-034-02-05</v>
      </c>
    </row>
    <row r="1342" spans="2:9">
      <c r="B1342" s="85">
        <v>45490</v>
      </c>
      <c r="C1342" s="72" t="s">
        <v>4153</v>
      </c>
      <c r="D1342" s="33" t="s">
        <v>6549</v>
      </c>
      <c r="E1342" s="69" t="str">
        <f>RIGHT(บันทึกนำเข้าDrawing[[#This Row],[Drawing No]],1)</f>
        <v>5</v>
      </c>
      <c r="F1342" s="68" t="s">
        <v>6550</v>
      </c>
      <c r="G1342" s="118" t="s">
        <v>3779</v>
      </c>
      <c r="H1342" s="80"/>
      <c r="I1342" s="29" t="str">
        <f>CONCATENATE(บันทึกนำเข้าDrawing[[#This Row],[Part No]],"+",บันทึกนำเข้าDrawing[[#This Row],[Drawing No]])</f>
        <v>2B25-065-03+DR-TW-2B25-034-02-05</v>
      </c>
    </row>
    <row r="1343" spans="2:9">
      <c r="B1343" s="85">
        <v>45490</v>
      </c>
      <c r="C1343" s="72" t="s">
        <v>4153</v>
      </c>
      <c r="D1343" s="33" t="s">
        <v>6551</v>
      </c>
      <c r="E1343" s="69" t="str">
        <f>RIGHT(บันทึกนำเข้าDrawing[[#This Row],[Drawing No]],1)</f>
        <v>5</v>
      </c>
      <c r="F1343" s="68" t="s">
        <v>6552</v>
      </c>
      <c r="G1343" s="118" t="s">
        <v>3779</v>
      </c>
      <c r="H1343" s="80"/>
      <c r="I1343" s="29" t="str">
        <f>CONCATENATE(บันทึกนำเข้าDrawing[[#This Row],[Part No]],"+",บันทึกนำเข้าDrawing[[#This Row],[Drawing No]])</f>
        <v>2B25-274-01+DR-TW-2B25-034-02-05</v>
      </c>
    </row>
    <row r="1344" spans="2:9">
      <c r="B1344" s="81">
        <v>45490</v>
      </c>
      <c r="C1344" s="72" t="s">
        <v>4153</v>
      </c>
      <c r="D1344" s="33" t="s">
        <v>6673</v>
      </c>
      <c r="E1344" s="69" t="str">
        <f>RIGHT(บันทึกนำเข้าDrawing[[#This Row],[Drawing No]],1)</f>
        <v>5</v>
      </c>
      <c r="F1344" s="84" t="s">
        <v>6528</v>
      </c>
      <c r="G1344" s="120" t="s">
        <v>4027</v>
      </c>
      <c r="H1344" s="83">
        <v>45520</v>
      </c>
      <c r="I1344" s="29" t="str">
        <f>CONCATENATE(บันทึกนำเข้าDrawing[[#This Row],[Part No]],"+",บันทึกนำเข้าDrawing[[#This Row],[Drawing No]])</f>
        <v>2B26-325-00+DR-TW-2B25-034-02-05</v>
      </c>
    </row>
    <row r="1345" spans="1:9">
      <c r="B1345" s="81">
        <v>45490</v>
      </c>
      <c r="C1345" s="72" t="s">
        <v>4153</v>
      </c>
      <c r="D1345" s="33" t="s">
        <v>6612</v>
      </c>
      <c r="E1345" s="69" t="str">
        <f>RIGHT(บันทึกนำเข้าDrawing[[#This Row],[Drawing No]],1)</f>
        <v>5</v>
      </c>
      <c r="F1345" s="84" t="s">
        <v>6613</v>
      </c>
      <c r="G1345" s="120" t="s">
        <v>4029</v>
      </c>
      <c r="H1345" s="83"/>
      <c r="I1345" s="29" t="str">
        <f>CONCATENATE(บันทึกนำเข้าDrawing[[#This Row],[Part No]],"+",บันทึกนำเข้าDrawing[[#This Row],[Drawing No]])</f>
        <v>2B25-295-00+DR-TW-2B25-034-02-05</v>
      </c>
    </row>
    <row r="1346" spans="1:9">
      <c r="B1346" s="81">
        <v>45490</v>
      </c>
      <c r="C1346" s="72" t="s">
        <v>4153</v>
      </c>
      <c r="D1346" s="33" t="s">
        <v>6615</v>
      </c>
      <c r="E1346" s="69" t="str">
        <f>RIGHT(บันทึกนำเข้าDrawing[[#This Row],[Drawing No]],1)</f>
        <v>5</v>
      </c>
      <c r="F1346" s="84" t="s">
        <v>6616</v>
      </c>
      <c r="G1346" s="120" t="s">
        <v>4027</v>
      </c>
      <c r="H1346" s="83">
        <v>45531</v>
      </c>
      <c r="I1346" s="29" t="str">
        <f>CONCATENATE(บันทึกนำเข้าDrawing[[#This Row],[Part No]],"+",บันทึกนำเข้าDrawing[[#This Row],[Drawing No]])</f>
        <v>2B25-395-00+DR-TW-2B25-034-02-05</v>
      </c>
    </row>
    <row r="1347" spans="1:9">
      <c r="B1347" s="81">
        <v>45521</v>
      </c>
      <c r="C1347" s="72" t="s">
        <v>4153</v>
      </c>
      <c r="D1347" s="33" t="s">
        <v>6618</v>
      </c>
      <c r="E1347" s="69" t="str">
        <f>RIGHT(บันทึกนำเข้าDrawing[[#This Row],[Drawing No]],1)</f>
        <v>5</v>
      </c>
      <c r="F1347" s="84" t="s">
        <v>6619</v>
      </c>
      <c r="G1347" s="120" t="s">
        <v>4027</v>
      </c>
      <c r="H1347" s="83">
        <v>45523</v>
      </c>
      <c r="I1347" s="29" t="str">
        <f>CONCATENATE(บันทึกนำเข้าDrawing[[#This Row],[Part No]],"+",บันทึกนำเข้าDrawing[[#This Row],[Drawing No]])</f>
        <v>2B26-112-00+DR-TW-2B25-034-02-05</v>
      </c>
    </row>
    <row r="1348" spans="1:9">
      <c r="B1348" s="81"/>
      <c r="C1348" s="72" t="s">
        <v>4153</v>
      </c>
      <c r="D1348" s="33" t="s">
        <v>6621</v>
      </c>
      <c r="E1348" s="69" t="str">
        <f>RIGHT(บันทึกนำเข้าDrawing[[#This Row],[Drawing No]],1)</f>
        <v>5</v>
      </c>
      <c r="F1348" s="84" t="s">
        <v>6526</v>
      </c>
      <c r="G1348" s="120" t="s">
        <v>4027</v>
      </c>
      <c r="H1348" s="83">
        <v>45493</v>
      </c>
      <c r="I1348" s="29" t="str">
        <f>CONCATENATE(บันทึกนำเข้าDrawing[[#This Row],[Part No]],"+",บันทึกนำเข้าDrawing[[#This Row],[Drawing No]])</f>
        <v>2B26-365-00+DR-TW-2B25-034-02-05</v>
      </c>
    </row>
    <row r="1349" spans="1:9">
      <c r="B1349" s="81">
        <v>45527</v>
      </c>
      <c r="C1349" s="72" t="s">
        <v>4153</v>
      </c>
      <c r="D1349" s="33" t="s">
        <v>6628</v>
      </c>
      <c r="E1349" s="69" t="str">
        <f>RIGHT(บันทึกนำเข้าDrawing[[#This Row],[Drawing No]],1)</f>
        <v>5</v>
      </c>
      <c r="F1349" s="84" t="s">
        <v>6629</v>
      </c>
      <c r="G1349" s="120" t="s">
        <v>4027</v>
      </c>
      <c r="H1349" s="83">
        <v>45496</v>
      </c>
      <c r="I1349" s="29" t="str">
        <f>CONCATENATE(บันทึกนำเข้าDrawing[[#This Row],[Part No]],"+",บันทึกนำเข้าDrawing[[#This Row],[Drawing No]])</f>
        <v>2B27-186-00+DR-TW-2B25-034-02-05</v>
      </c>
    </row>
    <row r="1350" spans="1:9">
      <c r="B1350" s="81"/>
      <c r="C1350" s="72" t="s">
        <v>4153</v>
      </c>
      <c r="D1350" s="33" t="s">
        <v>6626</v>
      </c>
      <c r="E1350" s="69" t="str">
        <f>RIGHT(บันทึกนำเข้าDrawing[[#This Row],[Drawing No]],1)</f>
        <v>5</v>
      </c>
      <c r="F1350" s="84" t="s">
        <v>6470</v>
      </c>
      <c r="G1350" s="120" t="s">
        <v>4029</v>
      </c>
      <c r="H1350" s="83">
        <v>45513</v>
      </c>
      <c r="I1350" s="29" t="str">
        <f>CONCATENATE(บันทึกนำเข้าDrawing[[#This Row],[Part No]],"+",บันทึกนำเข้าDrawing[[#This Row],[Drawing No]])</f>
        <v>2B25-289-00+DR-TW-2B25-034-02-05</v>
      </c>
    </row>
    <row r="1351" spans="1:9">
      <c r="B1351" s="81">
        <v>45490</v>
      </c>
      <c r="C1351" s="72" t="s">
        <v>4153</v>
      </c>
      <c r="D1351" s="33" t="s">
        <v>6627</v>
      </c>
      <c r="E1351" s="69" t="str">
        <f>RIGHT(บันทึกนำเข้าDrawing[[#This Row],[Drawing No]],1)</f>
        <v>5</v>
      </c>
      <c r="F1351" s="84" t="s">
        <v>6472</v>
      </c>
      <c r="G1351" s="120" t="s">
        <v>4029</v>
      </c>
      <c r="H1351" s="83"/>
      <c r="I1351" s="29" t="str">
        <f>CONCATENATE(บันทึกนำเข้าDrawing[[#This Row],[Part No]],"+",บันทึกนำเข้าDrawing[[#This Row],[Drawing No]])</f>
        <v>2B25-288-00+DR-TW-2B25-034-02-05</v>
      </c>
    </row>
    <row r="1352" spans="1:9">
      <c r="A1352" s="33">
        <v>495</v>
      </c>
      <c r="B1352" s="81">
        <v>45593</v>
      </c>
      <c r="C1352" s="72" t="s">
        <v>4153</v>
      </c>
      <c r="D1352" s="33" t="s">
        <v>2298</v>
      </c>
      <c r="E1352" s="69" t="str">
        <f>RIGHT(บันทึกนำเข้าDrawing[[#This Row],[Drawing No]],1)</f>
        <v>5</v>
      </c>
      <c r="F1352" s="84" t="s">
        <v>5562</v>
      </c>
      <c r="G1352" s="120" t="s">
        <v>4027</v>
      </c>
      <c r="H1352" s="83">
        <v>45050</v>
      </c>
      <c r="I1352" s="29" t="str">
        <f>CONCATENATE(บันทึกนำเข้าDrawing[[#This Row],[Part No]],"+",บันทึกนำเข้าDrawing[[#This Row],[Drawing No]])</f>
        <v>2B94-074-01+DR-TW-2B25-034-02-05</v>
      </c>
    </row>
    <row r="1353" spans="1:9">
      <c r="B1353" s="81"/>
      <c r="C1353" s="72" t="s">
        <v>4153</v>
      </c>
      <c r="D1353" s="33" t="s">
        <v>6631</v>
      </c>
      <c r="E1353" s="69" t="str">
        <f>RIGHT(บันทึกนำเข้าDrawing[[#This Row],[Drawing No]],1)</f>
        <v>5</v>
      </c>
      <c r="F1353" s="84" t="s">
        <v>6632</v>
      </c>
      <c r="G1353" s="120" t="s">
        <v>3772</v>
      </c>
      <c r="H1353" s="83"/>
      <c r="I1353" s="29" t="str">
        <f>CONCATENATE(บันทึกนำเข้าDrawing[[#This Row],[Part No]],"+",บันทึกนำเข้าDrawing[[#This Row],[Drawing No]])</f>
        <v>2B29-463-00+DR-TW-2B25-034-02-05</v>
      </c>
    </row>
    <row r="1354" spans="1:9">
      <c r="B1354" s="81"/>
      <c r="C1354" s="72" t="s">
        <v>4153</v>
      </c>
      <c r="D1354" s="33" t="s">
        <v>6634</v>
      </c>
      <c r="E1354" s="69" t="str">
        <f>RIGHT(บันทึกนำเข้าDrawing[[#This Row],[Drawing No]],1)</f>
        <v>5</v>
      </c>
      <c r="F1354" s="84" t="s">
        <v>6635</v>
      </c>
      <c r="G1354" s="120" t="s">
        <v>4027</v>
      </c>
      <c r="H1354" s="83">
        <v>45523</v>
      </c>
      <c r="I1354" s="29" t="str">
        <f>CONCATENATE(บันทึกนำเข้าDrawing[[#This Row],[Part No]],"+",บันทึกนำเข้าDrawing[[#This Row],[Drawing No]])</f>
        <v>2B29-464-00+DR-TW-2B25-034-02-05</v>
      </c>
    </row>
    <row r="1355" spans="1:9">
      <c r="B1355" s="81"/>
      <c r="C1355" s="72" t="s">
        <v>4153</v>
      </c>
      <c r="D1355" s="33" t="s">
        <v>6637</v>
      </c>
      <c r="E1355" s="69" t="str">
        <f>RIGHT(บันทึกนำเข้าDrawing[[#This Row],[Drawing No]],1)</f>
        <v>5</v>
      </c>
      <c r="F1355" s="68" t="s">
        <v>6516</v>
      </c>
      <c r="G1355" s="120" t="s">
        <v>3772</v>
      </c>
      <c r="H1355" s="83"/>
      <c r="I1355" s="29" t="str">
        <f>CONCATENATE(บันทึกนำเข้าDrawing[[#This Row],[Part No]],"+",บันทึกนำเข้าDrawing[[#This Row],[Drawing No]])</f>
        <v>2B48-362-00+DR-TW-2B25-034-02-05</v>
      </c>
    </row>
    <row r="1356" spans="1:9">
      <c r="B1356" s="81"/>
      <c r="C1356" s="72" t="s">
        <v>4153</v>
      </c>
      <c r="D1356" s="33" t="s">
        <v>6639</v>
      </c>
      <c r="E1356" s="69" t="str">
        <f>RIGHT(บันทึกนำเข้าDrawing[[#This Row],[Drawing No]],1)</f>
        <v>5</v>
      </c>
      <c r="F1356" s="68" t="s">
        <v>6513</v>
      </c>
      <c r="G1356" s="120" t="s">
        <v>3772</v>
      </c>
      <c r="H1356" s="83"/>
      <c r="I1356" s="29" t="str">
        <f>CONCATENATE(บันทึกนำเข้าDrawing[[#This Row],[Part No]],"+",บันทึกนำเข้าDrawing[[#This Row],[Drawing No]])</f>
        <v>2B48-363-00+DR-TW-2B25-034-02-05</v>
      </c>
    </row>
    <row r="1357" spans="1:9">
      <c r="B1357" s="81">
        <v>45491</v>
      </c>
      <c r="C1357" s="72" t="s">
        <v>4153</v>
      </c>
      <c r="D1357" s="33" t="s">
        <v>6641</v>
      </c>
      <c r="E1357" s="69" t="str">
        <f>RIGHT(บันทึกนำเข้าDrawing[[#This Row],[Drawing No]],1)</f>
        <v>5</v>
      </c>
      <c r="F1357" s="68" t="s">
        <v>5424</v>
      </c>
      <c r="G1357" s="120" t="s">
        <v>4027</v>
      </c>
      <c r="H1357" s="83">
        <v>45607</v>
      </c>
      <c r="I1357" s="29" t="str">
        <f>CONCATENATE(บันทึกนำเข้าDrawing[[#This Row],[Part No]],"+",บันทึกนำเข้าDrawing[[#This Row],[Drawing No]])</f>
        <v>2B52-283A01+DR-TW-2B25-034-02-05</v>
      </c>
    </row>
    <row r="1358" spans="1:9">
      <c r="B1358" s="81">
        <v>45491</v>
      </c>
      <c r="C1358" s="72" t="s">
        <v>4153</v>
      </c>
      <c r="D1358" s="54" t="s">
        <v>2022</v>
      </c>
      <c r="E1358" s="69" t="str">
        <f>RIGHT(บันทึกนำเข้าDrawing[[#This Row],[Drawing No]],1)</f>
        <v>5</v>
      </c>
      <c r="F1358" s="55" t="s">
        <v>2714</v>
      </c>
      <c r="G1358" s="120" t="s">
        <v>4029</v>
      </c>
      <c r="H1358" s="83">
        <v>45491</v>
      </c>
      <c r="I1358" s="29" t="str">
        <f>CONCATENATE(บันทึกนำเข้าDrawing[[#This Row],[Part No]],"+",บันทึกนำเข้าDrawing[[#This Row],[Drawing No]])</f>
        <v>2B48-002-00+DR-TW-2B25-034-02-05</v>
      </c>
    </row>
    <row r="1359" spans="1:9">
      <c r="B1359" s="81">
        <v>45492</v>
      </c>
      <c r="C1359" s="72" t="s">
        <v>4153</v>
      </c>
      <c r="D1359" s="15" t="s">
        <v>6649</v>
      </c>
      <c r="E1359" s="69" t="str">
        <f>RIGHT(บันทึกนำเข้าDrawing[[#This Row],[Drawing No]],1)</f>
        <v>5</v>
      </c>
      <c r="F1359" s="36" t="s">
        <v>6646</v>
      </c>
      <c r="G1359" s="120" t="s">
        <v>3772</v>
      </c>
      <c r="H1359" s="83"/>
      <c r="I1359" s="29" t="str">
        <f>CONCATENATE(บันทึกนำเข้าDrawing[[#This Row],[Part No]],"+",บันทึกนำเข้าDrawing[[#This Row],[Drawing No]])</f>
        <v>PXC-STAND00+DR-TW-2B25-034-02-05</v>
      </c>
    </row>
    <row r="1360" spans="1:9">
      <c r="B1360" s="81">
        <v>45495</v>
      </c>
      <c r="C1360" s="72" t="s">
        <v>4153</v>
      </c>
      <c r="D1360" s="33" t="s">
        <v>6653</v>
      </c>
      <c r="E1360" s="69" t="str">
        <f>RIGHT(บันทึกนำเข้าDrawing[[#This Row],[Drawing No]],1)</f>
        <v>5</v>
      </c>
      <c r="F1360" s="84" t="s">
        <v>6654</v>
      </c>
      <c r="G1360" s="120" t="s">
        <v>4027</v>
      </c>
      <c r="H1360" s="83">
        <v>45512</v>
      </c>
      <c r="I1360" s="29" t="str">
        <f>CONCATENATE(บันทึกนำเข้าDrawing[[#This Row],[Part No]],"+",บันทึกนำเข้าDrawing[[#This Row],[Drawing No]])</f>
        <v>2B25-128-01+DR-TW-2B25-034-02-05</v>
      </c>
    </row>
    <row r="1361" spans="2:9">
      <c r="B1361" s="81">
        <v>45495</v>
      </c>
      <c r="C1361" s="72" t="s">
        <v>4153</v>
      </c>
      <c r="D1361" s="33" t="s">
        <v>6656</v>
      </c>
      <c r="E1361" s="69" t="str">
        <f>RIGHT(บันทึกนำเข้าDrawing[[#This Row],[Drawing No]],1)</f>
        <v>5</v>
      </c>
      <c r="F1361" s="84" t="s">
        <v>6657</v>
      </c>
      <c r="G1361" s="120" t="s">
        <v>4027</v>
      </c>
      <c r="H1361" s="83">
        <v>45512</v>
      </c>
      <c r="I1361" s="29" t="str">
        <f>CONCATENATE(บันทึกนำเข้าDrawing[[#This Row],[Part No]],"+",บันทึกนำเข้าDrawing[[#This Row],[Drawing No]])</f>
        <v>2B25-129-01+DR-TW-2B25-034-02-05</v>
      </c>
    </row>
    <row r="1362" spans="2:9">
      <c r="B1362" s="81">
        <v>45495</v>
      </c>
      <c r="C1362" s="72" t="s">
        <v>4153</v>
      </c>
      <c r="D1362" s="33" t="s">
        <v>6612</v>
      </c>
      <c r="E1362" s="69" t="str">
        <f>RIGHT(บันทึกนำเข้าDrawing[[#This Row],[Drawing No]],1)</f>
        <v>5</v>
      </c>
      <c r="F1362" s="84" t="s">
        <v>6659</v>
      </c>
      <c r="G1362" s="120" t="s">
        <v>4027</v>
      </c>
      <c r="H1362" s="83">
        <v>45505</v>
      </c>
      <c r="I1362" s="29" t="str">
        <f>CONCATENATE(บันทึกนำเข้าDrawing[[#This Row],[Part No]],"+",บันทึกนำเข้าDrawing[[#This Row],[Drawing No]])</f>
        <v>2B25-295-00+DR-TW-2B25-034-02-05</v>
      </c>
    </row>
    <row r="1363" spans="2:9">
      <c r="B1363" s="85">
        <v>45556</v>
      </c>
      <c r="C1363" s="72" t="s">
        <v>4153</v>
      </c>
      <c r="D1363" s="33" t="s">
        <v>6661</v>
      </c>
      <c r="E1363" s="69" t="str">
        <f>RIGHT(บันทึกนำเข้าDrawing[[#This Row],[Drawing No]],1)</f>
        <v>5</v>
      </c>
      <c r="F1363" s="68" t="s">
        <v>4772</v>
      </c>
      <c r="G1363" s="120" t="s">
        <v>4027</v>
      </c>
      <c r="H1363" s="83">
        <v>45509</v>
      </c>
      <c r="I1363" s="29" t="str">
        <f>CONCATENATE(บันทึกนำเข้าDrawing[[#This Row],[Part No]],"+",บันทึกนำเข้าDrawing[[#This Row],[Drawing No]])</f>
        <v>2B26-190-01+DR-TW-2B25-034-02-05</v>
      </c>
    </row>
    <row r="1364" spans="2:9">
      <c r="B1364" s="71">
        <v>43169</v>
      </c>
      <c r="C1364" s="72" t="s">
        <v>4153</v>
      </c>
      <c r="D1364" s="54" t="s">
        <v>2269</v>
      </c>
      <c r="E1364" s="69" t="str">
        <f>RIGHT(บันทึกนำเข้าDrawing[[#This Row],[Drawing No]],1)</f>
        <v>5</v>
      </c>
      <c r="F1364" s="221" t="s">
        <v>6667</v>
      </c>
      <c r="G1364" s="120" t="s">
        <v>4027</v>
      </c>
      <c r="H1364" s="83">
        <v>45523</v>
      </c>
      <c r="I1364" s="29" t="str">
        <f>CONCATENATE(บันทึกนำเข้าDrawing[[#This Row],[Part No]],"+",บันทึกนำเข้าDrawing[[#This Row],[Drawing No]])</f>
        <v>2B91-085-03+DR-TW-2B25-034-02-05</v>
      </c>
    </row>
    <row r="1365" spans="2:9">
      <c r="B1365" s="81">
        <v>45373</v>
      </c>
      <c r="C1365" s="72" t="s">
        <v>4153</v>
      </c>
      <c r="D1365" s="33" t="s">
        <v>6278</v>
      </c>
      <c r="E1365" s="69" t="str">
        <f>RIGHT(บันทึกนำเข้าDrawing[[#This Row],[Drawing No]],1)</f>
        <v>5</v>
      </c>
      <c r="F1365" s="84" t="s">
        <v>6279</v>
      </c>
      <c r="G1365" s="120" t="s">
        <v>4521</v>
      </c>
      <c r="H1365" s="83"/>
      <c r="I1365" s="29" t="str">
        <f>CONCATENATE(บันทึกนำเข้าDrawing[[#This Row],[Part No]],"+",บันทึกนำเข้าDrawing[[#This Row],[Drawing No]])</f>
        <v>2B69M493-00+DR-TW-2B25-034-02-05</v>
      </c>
    </row>
    <row r="1366" spans="2:9">
      <c r="B1366" s="81">
        <v>45511</v>
      </c>
      <c r="C1366" s="72" t="s">
        <v>4153</v>
      </c>
      <c r="D1366" s="33" t="s">
        <v>6466</v>
      </c>
      <c r="E1366" s="69" t="str">
        <f>RIGHT(บันทึกนำเข้าDrawing[[#This Row],[Drawing No]],1)</f>
        <v>5</v>
      </c>
      <c r="F1366" s="84" t="s">
        <v>6464</v>
      </c>
      <c r="G1366" s="120" t="s">
        <v>3779</v>
      </c>
      <c r="H1366" s="83"/>
      <c r="I1366" s="29" t="str">
        <f>CONCATENATE(บันทึกนำเข้าDrawing[[#This Row],[Part No]],"+",บันทึกนำเข้าDrawing[[#This Row],[Drawing No]])</f>
        <v>2B91-205-02+DR-TW-2B25-034-02-05</v>
      </c>
    </row>
    <row r="1367" spans="2:9">
      <c r="B1367" s="81">
        <v>45513</v>
      </c>
      <c r="C1367" s="72" t="s">
        <v>4153</v>
      </c>
      <c r="D1367" s="33" t="s">
        <v>6676</v>
      </c>
      <c r="E1367" s="69" t="str">
        <f>RIGHT(บันทึกนำเข้าDrawing[[#This Row],[Drawing No]],1)</f>
        <v>5</v>
      </c>
      <c r="F1367" s="84" t="s">
        <v>6677</v>
      </c>
      <c r="G1367" s="120" t="s">
        <v>4027</v>
      </c>
      <c r="H1367" s="83">
        <v>45514</v>
      </c>
      <c r="I1367" s="29" t="str">
        <f>CONCATENATE(บันทึกนำเข้าDrawing[[#This Row],[Part No]],"+",บันทึกนำเข้าDrawing[[#This Row],[Drawing No]])</f>
        <v>2B24-225-06+DR-TW-2B25-034-02-05</v>
      </c>
    </row>
    <row r="1368" spans="2:9">
      <c r="B1368" s="81">
        <v>45512</v>
      </c>
      <c r="C1368" s="72" t="s">
        <v>4153</v>
      </c>
      <c r="D1368" s="33" t="s">
        <v>2145</v>
      </c>
      <c r="E1368" s="69" t="str">
        <f>RIGHT(บันทึกนำเข้าDrawing[[#This Row],[Drawing No]],1)</f>
        <v>5</v>
      </c>
      <c r="F1368" s="84" t="s">
        <v>6679</v>
      </c>
      <c r="G1368" s="120" t="s">
        <v>4027</v>
      </c>
      <c r="H1368" s="83">
        <v>45520</v>
      </c>
      <c r="I1368" s="29" t="str">
        <f>CONCATENATE(บันทึกนำเข้าDrawing[[#This Row],[Part No]],"+",บันทึกนำเข้าDrawing[[#This Row],[Drawing No]])</f>
        <v>2B48-500-02+DR-TW-2B25-034-02-05</v>
      </c>
    </row>
    <row r="1369" spans="2:9">
      <c r="B1369" s="85">
        <v>44733</v>
      </c>
      <c r="C1369" s="72" t="s">
        <v>4153</v>
      </c>
      <c r="D1369" s="33" t="s">
        <v>6682</v>
      </c>
      <c r="E1369" s="69" t="str">
        <f>RIGHT(บันทึกนำเข้าDrawing[[#This Row],[Drawing No]],1)</f>
        <v>5</v>
      </c>
      <c r="F1369" s="37" t="s">
        <v>6683</v>
      </c>
      <c r="G1369" s="120" t="s">
        <v>4027</v>
      </c>
      <c r="H1369" s="83">
        <v>45523</v>
      </c>
      <c r="I1369" s="29" t="str">
        <f>CONCATENATE(บันทึกนำเข้าDrawing[[#This Row],[Part No]],"+",บันทึกนำเข้าDrawing[[#This Row],[Drawing No]])</f>
        <v>2B19-170-07+DR-TW-2B25-034-02-05</v>
      </c>
    </row>
    <row r="1370" spans="2:9">
      <c r="B1370" s="81">
        <v>45406</v>
      </c>
      <c r="C1370" s="72" t="s">
        <v>4153</v>
      </c>
      <c r="D1370" s="33" t="s">
        <v>6685</v>
      </c>
      <c r="E1370" s="69" t="str">
        <f>RIGHT(บันทึกนำเข้าDrawing[[#This Row],[Drawing No]],1)</f>
        <v>5</v>
      </c>
      <c r="F1370" s="84" t="s">
        <v>6405</v>
      </c>
      <c r="G1370" s="120" t="s">
        <v>4027</v>
      </c>
      <c r="H1370" s="83"/>
      <c r="I1370" s="29" t="str">
        <f>CONCATENATE(บันทึกนำเข้าDrawing[[#This Row],[Part No]],"+",บันทึกนำเข้าDrawing[[#This Row],[Drawing No]])</f>
        <v>2B26-330-00+DR-TW-2B25-034-02-05</v>
      </c>
    </row>
    <row r="1371" spans="2:9">
      <c r="B1371" s="81">
        <v>42886</v>
      </c>
      <c r="C1371" s="72" t="s">
        <v>4153</v>
      </c>
      <c r="D1371" s="33" t="s">
        <v>728</v>
      </c>
      <c r="E1371" s="69" t="str">
        <f>RIGHT(บันทึกนำเข้าDrawing[[#This Row],[Drawing No]],1)</f>
        <v>5</v>
      </c>
      <c r="F1371" s="84" t="s">
        <v>2959</v>
      </c>
      <c r="G1371" s="120" t="s">
        <v>4029</v>
      </c>
      <c r="H1371" s="83">
        <v>45520</v>
      </c>
      <c r="I1371" s="29" t="str">
        <f>CONCATENATE(บันทึกนำเข้าDrawing[[#This Row],[Part No]],"+",บันทึกนำเข้าDrawing[[#This Row],[Drawing No]])</f>
        <v>2B25-040-07+DR-TW-2B25-034-02-05</v>
      </c>
    </row>
    <row r="1372" spans="2:9">
      <c r="B1372" s="81">
        <v>45521</v>
      </c>
      <c r="C1372" s="72" t="s">
        <v>4153</v>
      </c>
      <c r="D1372" s="33" t="s">
        <v>6688</v>
      </c>
      <c r="E1372" s="69" t="str">
        <f>RIGHT(บันทึกนำเข้าDrawing[[#This Row],[Drawing No]],1)</f>
        <v>5</v>
      </c>
      <c r="F1372" s="84" t="s">
        <v>6526</v>
      </c>
      <c r="G1372" s="120" t="s">
        <v>4027</v>
      </c>
      <c r="H1372" s="83">
        <v>45526</v>
      </c>
      <c r="I1372" s="29" t="str">
        <f>CONCATENATE(บันทึกนำเข้าDrawing[[#This Row],[Part No]],"+",บันทึกนำเข้าDrawing[[#This Row],[Drawing No]])</f>
        <v>2B26-361-00+DR-TW-2B25-034-02-05</v>
      </c>
    </row>
    <row r="1373" spans="2:9">
      <c r="B1373" s="81">
        <v>45605</v>
      </c>
      <c r="C1373" s="72" t="s">
        <v>4153</v>
      </c>
      <c r="D1373" s="33" t="s">
        <v>6808</v>
      </c>
      <c r="E1373" s="69" t="str">
        <f>RIGHT(บันทึกนำเข้าDrawing[[#This Row],[Drawing No]],1)</f>
        <v>5</v>
      </c>
      <c r="F1373" s="84" t="s">
        <v>6809</v>
      </c>
      <c r="G1373" s="120" t="s">
        <v>4521</v>
      </c>
      <c r="H1373" s="83"/>
      <c r="I1373" s="29" t="str">
        <f>CONCATENATE(บันทึกนำเข้าDrawing[[#This Row],[Part No]],"+",บันทึกนำเข้าDrawing[[#This Row],[Drawing No]])</f>
        <v>2B69M522-01+DR-TW-2B25-034-02-05</v>
      </c>
    </row>
    <row r="1374" spans="2:9">
      <c r="B1374" s="81">
        <v>42535</v>
      </c>
      <c r="C1374" s="72" t="s">
        <v>4153</v>
      </c>
      <c r="D1374" s="33" t="s">
        <v>823</v>
      </c>
      <c r="E1374" s="69" t="str">
        <f>RIGHT(บันทึกนำเข้าDrawing[[#This Row],[Drawing No]],1)</f>
        <v>5</v>
      </c>
      <c r="F1374" s="12" t="s">
        <v>2422</v>
      </c>
      <c r="G1374" s="120" t="s">
        <v>4027</v>
      </c>
      <c r="H1374" s="83">
        <v>45524</v>
      </c>
      <c r="I1374" s="29" t="str">
        <f>CONCATENATE(บันทึกนำเข้าDrawing[[#This Row],[Part No]],"+",บันทึกนำเข้าDrawing[[#This Row],[Drawing No]])</f>
        <v>2B25-100-01+DR-TW-2B25-034-02-05</v>
      </c>
    </row>
    <row r="1375" spans="2:9">
      <c r="B1375" s="81">
        <v>45537</v>
      </c>
      <c r="C1375" s="72" t="s">
        <v>4153</v>
      </c>
      <c r="D1375" s="33" t="s">
        <v>6694</v>
      </c>
      <c r="E1375" s="69" t="str">
        <f>RIGHT(บันทึกนำเข้าDrawing[[#This Row],[Drawing No]],1)</f>
        <v>5</v>
      </c>
      <c r="F1375" s="84" t="s">
        <v>6695</v>
      </c>
      <c r="G1375" s="120" t="s">
        <v>4027</v>
      </c>
      <c r="H1375" s="83">
        <v>45531</v>
      </c>
      <c r="I1375" s="29" t="str">
        <f>CONCATENATE(บันทึกนำเข้าDrawing[[#This Row],[Part No]],"+",บันทึกนำเข้าDrawing[[#This Row],[Drawing No]])</f>
        <v>2B48-530-02+DR-TW-2B25-034-02-05</v>
      </c>
    </row>
    <row r="1376" spans="2:9">
      <c r="B1376" s="81">
        <v>45537</v>
      </c>
      <c r="C1376" s="72" t="s">
        <v>4153</v>
      </c>
      <c r="D1376" s="33" t="s">
        <v>6705</v>
      </c>
      <c r="E1376" s="69" t="str">
        <f>RIGHT(บันทึกนำเข้าDrawing[[#This Row],[Drawing No]],1)</f>
        <v>5</v>
      </c>
      <c r="F1376" s="84" t="s">
        <v>6706</v>
      </c>
      <c r="G1376" s="120" t="s">
        <v>4521</v>
      </c>
      <c r="H1376" s="83"/>
      <c r="I1376" s="29" t="str">
        <f>CONCATENATE(บันทึกนำเข้าDrawing[[#This Row],[Part No]],"+",บันทึกนำเข้าDrawing[[#This Row],[Drawing No]])</f>
        <v>2B69A075-00+DR-TW-2B25-034-02-05</v>
      </c>
    </row>
    <row r="1377" spans="2:9">
      <c r="B1377" s="71">
        <v>43169</v>
      </c>
      <c r="C1377" s="72" t="s">
        <v>4153</v>
      </c>
      <c r="D1377" s="33" t="s">
        <v>2251</v>
      </c>
      <c r="E1377" s="69" t="str">
        <f>RIGHT(บันทึกนำเข้าDrawing[[#This Row],[Drawing No]],1)</f>
        <v>5</v>
      </c>
      <c r="F1377" s="55" t="s">
        <v>6697</v>
      </c>
      <c r="G1377" s="120" t="s">
        <v>4027</v>
      </c>
      <c r="H1377" s="83">
        <v>45531</v>
      </c>
      <c r="I1377" s="29" t="str">
        <f>CONCATENATE(บันทึกนำเข้าDrawing[[#This Row],[Part No]],"+",บันทึกนำเข้าDrawing[[#This Row],[Drawing No]])</f>
        <v>2B91-027-02+DR-TW-2B25-034-02-05</v>
      </c>
    </row>
    <row r="1378" spans="2:9">
      <c r="B1378" s="71">
        <v>42634</v>
      </c>
      <c r="C1378" s="72" t="s">
        <v>4153</v>
      </c>
      <c r="D1378" s="33" t="s">
        <v>812</v>
      </c>
      <c r="E1378" s="69" t="str">
        <f>RIGHT(บันทึกนำเข้าDrawing[[#This Row],[Drawing No]],1)</f>
        <v>5</v>
      </c>
      <c r="F1378" s="10" t="s">
        <v>2900</v>
      </c>
      <c r="G1378" s="120" t="s">
        <v>3772</v>
      </c>
      <c r="H1378" s="83"/>
      <c r="I1378" s="29" t="str">
        <f>CONCATENATE(บันทึกนำเข้าDrawing[[#This Row],[Part No]],"+",บันทึกนำเข้าDrawing[[#This Row],[Drawing No]])</f>
        <v>2B25-093-01+DR-TW-2B25-034-02-05</v>
      </c>
    </row>
    <row r="1379" spans="2:9">
      <c r="B1379" s="81">
        <v>45555</v>
      </c>
      <c r="C1379" s="72" t="s">
        <v>4153</v>
      </c>
      <c r="D1379" s="33" t="s">
        <v>6702</v>
      </c>
      <c r="E1379" s="69" t="str">
        <f>RIGHT(บันทึกนำเข้าDrawing[[#This Row],[Drawing No]],1)</f>
        <v>5</v>
      </c>
      <c r="F1379" s="73" t="s">
        <v>3817</v>
      </c>
      <c r="G1379" s="120" t="s">
        <v>4027</v>
      </c>
      <c r="H1379" s="83">
        <v>45590</v>
      </c>
      <c r="I1379" s="29" t="str">
        <f>CONCATENATE(บันทึกนำเข้าDrawing[[#This Row],[Part No]],"+",บันทึกนำเข้าDrawing[[#This Row],[Drawing No]])</f>
        <v>2B26-229-04+DR-TW-2B25-034-02-05</v>
      </c>
    </row>
    <row r="1380" spans="2:9">
      <c r="B1380" s="81">
        <v>45728</v>
      </c>
      <c r="C1380" s="72" t="s">
        <v>4153</v>
      </c>
      <c r="D1380" s="33" t="s">
        <v>6951</v>
      </c>
      <c r="E1380" s="69" t="str">
        <f>RIGHT(บันทึกนำเข้าDrawing[[#This Row],[Drawing No]],1)</f>
        <v>5</v>
      </c>
      <c r="F1380" s="84" t="s">
        <v>6952</v>
      </c>
      <c r="G1380" s="120" t="s">
        <v>4521</v>
      </c>
      <c r="H1380" s="83"/>
      <c r="I1380" s="29" t="str">
        <f>CONCATENATE(บันทึกนำเข้าDrawing[[#This Row],[Part No]],"+",บันทึกนำเข้าDrawing[[#This Row],[Drawing No]])</f>
        <v>2B69A124-00+DR-TW-2B25-034-02-05</v>
      </c>
    </row>
    <row r="1381" spans="2:9">
      <c r="B1381" s="81">
        <v>45555</v>
      </c>
      <c r="C1381" s="72" t="s">
        <v>4153</v>
      </c>
      <c r="D1381" s="33" t="s">
        <v>6709</v>
      </c>
      <c r="E1381" s="69" t="str">
        <f>RIGHT(บันทึกนำเข้าDrawing[[#This Row],[Drawing No]],1)</f>
        <v>5</v>
      </c>
      <c r="F1381" s="84" t="s">
        <v>6710</v>
      </c>
      <c r="G1381" s="120" t="s">
        <v>4027</v>
      </c>
      <c r="H1381" s="83">
        <v>45573</v>
      </c>
      <c r="I1381" s="29" t="str">
        <f>CONCATENATE(บันทึกนำเข้าDrawing[[#This Row],[Part No]],"+",บันทึกนำเข้าDrawing[[#This Row],[Drawing No]])</f>
        <v>2B19C145A00+DR-TW-2B25-034-02-05</v>
      </c>
    </row>
    <row r="1382" spans="2:9">
      <c r="B1382" s="85">
        <v>44356</v>
      </c>
      <c r="C1382" s="72" t="s">
        <v>4153</v>
      </c>
      <c r="D1382" s="33" t="s">
        <v>2246</v>
      </c>
      <c r="E1382" s="69" t="str">
        <f>RIGHT(บันทึกนำเข้าDrawing[[#This Row],[Drawing No]],1)</f>
        <v>5</v>
      </c>
      <c r="F1382" s="55" t="s">
        <v>6712</v>
      </c>
      <c r="G1382" s="118" t="s">
        <v>4027</v>
      </c>
      <c r="H1382" s="80">
        <v>45545</v>
      </c>
      <c r="I1382" s="29" t="str">
        <f>CONCATENATE(บันทึกนำเข้าDrawing[[#This Row],[Part No]],"+",บันทึกนำเข้าDrawing[[#This Row],[Drawing No]])</f>
        <v>2B91-019-02+DR-TW-2B25-034-02-05</v>
      </c>
    </row>
    <row r="1383" spans="2:9">
      <c r="B1383" s="81">
        <v>45544</v>
      </c>
      <c r="C1383" s="72" t="s">
        <v>4153</v>
      </c>
      <c r="D1383" s="8" t="s">
        <v>800</v>
      </c>
      <c r="E1383" s="69" t="str">
        <f>RIGHT(บันทึกนำเข้าDrawing[[#This Row],[Drawing No]],1)</f>
        <v>5</v>
      </c>
      <c r="F1383" s="12" t="s">
        <v>2411</v>
      </c>
      <c r="G1383" s="120" t="s">
        <v>4027</v>
      </c>
      <c r="H1383" s="83">
        <v>45549</v>
      </c>
      <c r="I1383" s="29" t="str">
        <f>CONCATENATE(บันทึกนำเข้าDrawing[[#This Row],[Part No]],"+",บันทึกนำเข้าDrawing[[#This Row],[Drawing No]])</f>
        <v>2B25-086-00+DR-TW-2B25-034-02-05</v>
      </c>
    </row>
    <row r="1384" spans="2:9">
      <c r="B1384" s="81">
        <v>45433</v>
      </c>
      <c r="C1384" s="72" t="s">
        <v>4153</v>
      </c>
      <c r="D1384" s="33" t="s">
        <v>6471</v>
      </c>
      <c r="E1384" s="69" t="str">
        <f>RIGHT(บันทึกนำเข้าDrawing[[#This Row],[Drawing No]],1)</f>
        <v>5</v>
      </c>
      <c r="F1384" s="84" t="s">
        <v>6472</v>
      </c>
      <c r="G1384" s="120" t="s">
        <v>4521</v>
      </c>
      <c r="H1384" s="83"/>
      <c r="I1384" s="29" t="str">
        <f>CONCATENATE(บันทึกนำเข้าDrawing[[#This Row],[Part No]],"+",บันทึกนำเข้าDrawing[[#This Row],[Drawing No]])</f>
        <v>2B69A042-01+DR-TW-2B25-034-02-05</v>
      </c>
    </row>
    <row r="1385" spans="2:9">
      <c r="B1385" s="81">
        <v>45433</v>
      </c>
      <c r="C1385" s="72" t="s">
        <v>4153</v>
      </c>
      <c r="D1385" s="33" t="s">
        <v>6469</v>
      </c>
      <c r="E1385" s="69" t="str">
        <f>RIGHT(บันทึกนำเข้าDrawing[[#This Row],[Drawing No]],1)</f>
        <v>5</v>
      </c>
      <c r="F1385" s="84" t="s">
        <v>6470</v>
      </c>
      <c r="G1385" s="120" t="s">
        <v>4521</v>
      </c>
      <c r="H1385" s="83"/>
      <c r="I1385" s="29" t="str">
        <f>CONCATENATE(บันทึกนำเข้าDrawing[[#This Row],[Part No]],"+",บันทึกนำเข้าDrawing[[#This Row],[Drawing No]])</f>
        <v>2B69A026-01+DR-TW-2B25-034-02-05</v>
      </c>
    </row>
    <row r="1386" spans="2:9">
      <c r="B1386" s="81">
        <v>45555</v>
      </c>
      <c r="C1386" s="72" t="s">
        <v>4153</v>
      </c>
      <c r="D1386" s="33" t="s">
        <v>6722</v>
      </c>
      <c r="E1386" s="69" t="str">
        <f>RIGHT(บันทึกนำเข้าDrawing[[#This Row],[Drawing No]],1)</f>
        <v>5</v>
      </c>
      <c r="F1386" s="73" t="s">
        <v>3816</v>
      </c>
      <c r="G1386" s="120" t="s">
        <v>4027</v>
      </c>
      <c r="H1386" s="83">
        <v>45590</v>
      </c>
      <c r="I1386" s="29" t="str">
        <f>CONCATENATE(บันทึกนำเข้าDrawing[[#This Row],[Part No]],"+",บันทึกนำเข้าDrawing[[#This Row],[Drawing No]])</f>
        <v>2B26-228-03+DR-TW-2B25-034-02-05</v>
      </c>
    </row>
    <row r="1387" spans="2:9">
      <c r="B1387" s="81">
        <v>45555</v>
      </c>
      <c r="C1387" s="72" t="s">
        <v>4153</v>
      </c>
      <c r="D1387" s="33" t="s">
        <v>6723</v>
      </c>
      <c r="E1387" s="69" t="str">
        <f>RIGHT(บันทึกนำเข้าDrawing[[#This Row],[Drawing No]],1)</f>
        <v>5</v>
      </c>
      <c r="F1387" s="68" t="s">
        <v>5148</v>
      </c>
      <c r="G1387" s="120" t="s">
        <v>4029</v>
      </c>
      <c r="H1387" s="83"/>
      <c r="I1387" s="29" t="str">
        <f>CONCATENATE(บันทึกนำเข้าDrawing[[#This Row],[Part No]],"+",บันทึกนำเข้าDrawing[[#This Row],[Drawing No]])</f>
        <v>2B26-191-01+DR-TW-2B25-034-02-05</v>
      </c>
    </row>
    <row r="1388" spans="2:9">
      <c r="B1388" s="81">
        <v>45555</v>
      </c>
      <c r="C1388" s="72" t="s">
        <v>4153</v>
      </c>
      <c r="D1388" s="33" t="s">
        <v>6725</v>
      </c>
      <c r="E1388" s="69" t="str">
        <f>RIGHT(บันทึกนำเข้าDrawing[[#This Row],[Drawing No]],1)</f>
        <v>5</v>
      </c>
      <c r="F1388" s="84" t="s">
        <v>5984</v>
      </c>
      <c r="G1388" s="120" t="s">
        <v>3772</v>
      </c>
      <c r="H1388" s="83"/>
      <c r="I1388" s="29" t="str">
        <f>CONCATENATE(บันทึกนำเข้าDrawing[[#This Row],[Part No]],"+",บันทึกนำเข้าDrawing[[#This Row],[Drawing No]])</f>
        <v>2B25-421-00+DR-TW-2B25-034-02-05</v>
      </c>
    </row>
    <row r="1389" spans="2:9">
      <c r="B1389" s="85">
        <v>45562</v>
      </c>
      <c r="C1389" s="72" t="s">
        <v>4153</v>
      </c>
      <c r="D1389" s="33" t="s">
        <v>6727</v>
      </c>
      <c r="E1389" s="69" t="str">
        <f>RIGHT(บันทึกนำเข้าDrawing[[#This Row],[Drawing No]],1)</f>
        <v>5</v>
      </c>
      <c r="F1389" s="68" t="s">
        <v>5607</v>
      </c>
      <c r="G1389" s="118" t="s">
        <v>3779</v>
      </c>
      <c r="H1389" s="80"/>
      <c r="I1389" s="29" t="str">
        <f>CONCATENATE(บันทึกนำเข้าDrawing[[#This Row],[Part No]],"+",บันทึกนำเข้าDrawing[[#This Row],[Drawing No]])</f>
        <v>2B27-154-01+DR-TW-2B25-034-02-05</v>
      </c>
    </row>
    <row r="1390" spans="2:9">
      <c r="B1390" s="81">
        <v>45411</v>
      </c>
      <c r="C1390" s="72" t="s">
        <v>4153</v>
      </c>
      <c r="D1390" s="33" t="s">
        <v>6735</v>
      </c>
      <c r="E1390" s="69" t="str">
        <f>RIGHT(บันทึกนำเข้าDrawing[[#This Row],[Drawing No]],1)</f>
        <v>5</v>
      </c>
      <c r="F1390" s="84" t="s">
        <v>6421</v>
      </c>
      <c r="G1390" s="118" t="s">
        <v>4027</v>
      </c>
      <c r="H1390" s="80">
        <v>45575</v>
      </c>
      <c r="I1390" s="29" t="str">
        <f>CONCATENATE(บันทึกนำเข้าDrawing[[#This Row],[Part No]],"+",บันทึกนำเข้าDrawing[[#This Row],[Drawing No]])</f>
        <v>2B91-241A02+DR-TW-2B25-034-02-05</v>
      </c>
    </row>
    <row r="1391" spans="2:9">
      <c r="B1391" s="85">
        <v>45569</v>
      </c>
      <c r="C1391" s="72" t="s">
        <v>4153</v>
      </c>
      <c r="D1391" s="33" t="s">
        <v>6732</v>
      </c>
      <c r="E1391" s="69" t="str">
        <f>RIGHT(บันทึกนำเข้าDrawing[[#This Row],[Drawing No]],1)</f>
        <v>5</v>
      </c>
      <c r="F1391" s="84" t="s">
        <v>4368</v>
      </c>
      <c r="G1391" s="118" t="s">
        <v>4027</v>
      </c>
      <c r="H1391" s="80"/>
      <c r="I1391" s="29" t="str">
        <f>CONCATENATE(บันทึกนำเข้าDrawing[[#This Row],[Part No]],"+",บันทึกนำเข้าDrawing[[#This Row],[Drawing No]])</f>
        <v>2B04-462-02+DR-TW-2B25-034-02-05</v>
      </c>
    </row>
    <row r="1392" spans="2:9">
      <c r="B1392" s="85">
        <v>45569</v>
      </c>
      <c r="C1392" s="72" t="s">
        <v>4153</v>
      </c>
      <c r="D1392" s="54" t="s">
        <v>6733</v>
      </c>
      <c r="E1392" s="69" t="str">
        <f>RIGHT(บันทึกนำเข้าDrawing[[#This Row],[Drawing No]],1)</f>
        <v>5</v>
      </c>
      <c r="F1392" s="174" t="s">
        <v>5799</v>
      </c>
      <c r="G1392" s="118" t="s">
        <v>4027</v>
      </c>
      <c r="H1392" s="80">
        <v>45575</v>
      </c>
      <c r="I1392" s="29" t="str">
        <f>CONCATENATE(บันทึกนำเข้าDrawing[[#This Row],[Part No]],"+",บันทึกนำเข้าDrawing[[#This Row],[Drawing No]])</f>
        <v>2B29-426-00+DR-TW-2B25-034-02-05</v>
      </c>
    </row>
    <row r="1393" spans="2:9">
      <c r="B1393" s="85">
        <v>45433</v>
      </c>
      <c r="C1393" s="72" t="s">
        <v>4153</v>
      </c>
      <c r="D1393" s="33" t="s">
        <v>6474</v>
      </c>
      <c r="E1393" s="69" t="str">
        <f>RIGHT(บันทึกนำเข้าDrawing[[#This Row],[Drawing No]],1)</f>
        <v>5</v>
      </c>
      <c r="F1393" s="68" t="s">
        <v>6475</v>
      </c>
      <c r="G1393" s="118" t="s">
        <v>4521</v>
      </c>
      <c r="H1393" s="80"/>
      <c r="I1393" s="29" t="str">
        <f>CONCATENATE(บันทึกนำเข้าDrawing[[#This Row],[Part No]],"+",บันทึกนำเข้าDrawing[[#This Row],[Drawing No]])</f>
        <v>2B69A043-00+DR-TW-2B25-034-02-05</v>
      </c>
    </row>
    <row r="1394" spans="2:9">
      <c r="B1394" s="85">
        <v>45587</v>
      </c>
      <c r="C1394" s="72" t="s">
        <v>4153</v>
      </c>
      <c r="D1394" s="2" t="s">
        <v>6740</v>
      </c>
      <c r="E1394" s="69" t="str">
        <f>RIGHT(บันทึกนำเข้าDrawing[[#This Row],[Drawing No]],1)</f>
        <v>5</v>
      </c>
      <c r="F1394" s="68" t="s">
        <v>6766</v>
      </c>
      <c r="G1394" s="118" t="s">
        <v>4027</v>
      </c>
      <c r="H1394" s="80">
        <v>45575</v>
      </c>
      <c r="I1394" s="29" t="str">
        <f>CONCATENATE(บันทึกนำเข้าDrawing[[#This Row],[Part No]],"+",บันทึกนำเข้าDrawing[[#This Row],[Drawing No]])</f>
        <v>2B19B145-00+DR-TW-2B25-034-02-05</v>
      </c>
    </row>
    <row r="1395" spans="2:9">
      <c r="B1395" s="85">
        <v>45575</v>
      </c>
      <c r="C1395" s="72" t="s">
        <v>4153</v>
      </c>
      <c r="D1395" s="2" t="s">
        <v>6743</v>
      </c>
      <c r="E1395" s="69" t="str">
        <f>RIGHT(บันทึกนำเข้าDrawing[[#This Row],[Drawing No]],1)</f>
        <v>5</v>
      </c>
      <c r="F1395" s="84" t="s">
        <v>5668</v>
      </c>
      <c r="G1395" s="118" t="s">
        <v>4029</v>
      </c>
      <c r="H1395" s="80">
        <v>45581</v>
      </c>
      <c r="I1395" s="29" t="str">
        <f>CONCATENATE(บันทึกนำเข้าDrawing[[#This Row],[Part No]],"+",บันทึกนำเข้าDrawing[[#This Row],[Drawing No]])</f>
        <v>2B26-121-00+DR-TW-2B25-034-02-05</v>
      </c>
    </row>
    <row r="1396" spans="2:9">
      <c r="B1396" s="85">
        <v>43749</v>
      </c>
      <c r="C1396" s="72" t="s">
        <v>4153</v>
      </c>
      <c r="D1396" s="2" t="s">
        <v>1386</v>
      </c>
      <c r="E1396" s="69" t="str">
        <f>RIGHT(บันทึกนำเข้าDrawing[[#This Row],[Drawing No]],1)</f>
        <v>5</v>
      </c>
      <c r="F1396" s="176" t="s">
        <v>2940</v>
      </c>
      <c r="G1396" s="118" t="s">
        <v>4027</v>
      </c>
      <c r="H1396" s="80">
        <v>45575</v>
      </c>
      <c r="I1396" s="29" t="str">
        <f>CONCATENATE(บันทึกนำเข้าDrawing[[#This Row],[Part No]],"+",บันทึกนำเข้าDrawing[[#This Row],[Drawing No]])</f>
        <v>2B27-116-01+DR-TW-2B25-034-02-05</v>
      </c>
    </row>
    <row r="1397" spans="2:9">
      <c r="B1397" s="71">
        <v>42634</v>
      </c>
      <c r="C1397" s="72" t="s">
        <v>4153</v>
      </c>
      <c r="D1397" s="2" t="s">
        <v>794</v>
      </c>
      <c r="E1397" s="69" t="str">
        <f>RIGHT(บันทึกนำเข้าDrawing[[#This Row],[Drawing No]],1)</f>
        <v>5</v>
      </c>
      <c r="F1397" s="176" t="s">
        <v>2409</v>
      </c>
      <c r="G1397" s="118" t="s">
        <v>4027</v>
      </c>
      <c r="H1397" s="80">
        <v>45575</v>
      </c>
      <c r="I1397" s="29" t="str">
        <f>CONCATENATE(บันทึกนำเข้าDrawing[[#This Row],[Part No]],"+",บันทึกนำเข้าDrawing[[#This Row],[Drawing No]])</f>
        <v>2B25-083-01+DR-TW-2B25-034-02-05</v>
      </c>
    </row>
    <row r="1398" spans="2:9">
      <c r="B1398" s="85">
        <v>45577</v>
      </c>
      <c r="C1398" s="72" t="s">
        <v>4153</v>
      </c>
      <c r="D1398" s="8" t="s">
        <v>2287</v>
      </c>
      <c r="E1398" s="69" t="str">
        <f>RIGHT(บันทึกนำเข้าDrawing[[#This Row],[Drawing No]],1)</f>
        <v>5</v>
      </c>
      <c r="F1398" s="179" t="s">
        <v>3028</v>
      </c>
      <c r="G1398" s="118" t="s">
        <v>4027</v>
      </c>
      <c r="H1398" s="80">
        <v>45580</v>
      </c>
      <c r="I1398" s="29" t="str">
        <f>CONCATENATE(บันทึกนำเข้าDrawing[[#This Row],[Part No]],"+",บันทึกนำเข้าDrawing[[#This Row],[Drawing No]])</f>
        <v>2B91-190-01+DR-TW-2B25-034-02-05</v>
      </c>
    </row>
    <row r="1399" spans="2:9">
      <c r="B1399" s="85">
        <v>45570</v>
      </c>
      <c r="C1399" s="72" t="s">
        <v>4153</v>
      </c>
      <c r="D1399" s="2" t="s">
        <v>6747</v>
      </c>
      <c r="E1399" s="69" t="str">
        <f>RIGHT(บันทึกนำเข้าDrawing[[#This Row],[Drawing No]],1)</f>
        <v>5</v>
      </c>
      <c r="F1399" s="84" t="s">
        <v>5685</v>
      </c>
      <c r="G1399" s="118" t="s">
        <v>3779</v>
      </c>
      <c r="H1399" s="80"/>
      <c r="I1399" s="29" t="str">
        <f>CONCATENATE(บันทึกนำเข้าDrawing[[#This Row],[Part No]],"+",บันทึกนำเข้าDrawing[[#This Row],[Drawing No]])</f>
        <v>2B25-010-0D+DR-TW-2B25-034-02-05</v>
      </c>
    </row>
    <row r="1400" spans="2:9">
      <c r="B1400" s="85">
        <v>45570</v>
      </c>
      <c r="C1400" s="72" t="s">
        <v>4153</v>
      </c>
      <c r="D1400" s="2" t="s">
        <v>6748</v>
      </c>
      <c r="E1400" s="69" t="str">
        <f>RIGHT(บันทึกนำเข้าDrawing[[#This Row],[Drawing No]],1)</f>
        <v>5</v>
      </c>
      <c r="F1400" s="84" t="s">
        <v>6237</v>
      </c>
      <c r="G1400" s="118" t="s">
        <v>3779</v>
      </c>
      <c r="H1400" s="80"/>
      <c r="I1400" s="29" t="str">
        <f>CONCATENATE(บันทึกนำเข้าDrawing[[#This Row],[Part No]],"+",บันทึกนำเข้าDrawing[[#This Row],[Drawing No]])</f>
        <v>2B25-023-0B+DR-TW-2B25-034-02-05</v>
      </c>
    </row>
    <row r="1401" spans="2:9">
      <c r="B1401" s="85">
        <v>45569</v>
      </c>
      <c r="C1401" s="72" t="s">
        <v>4153</v>
      </c>
      <c r="D1401" s="2" t="s">
        <v>6750</v>
      </c>
      <c r="E1401" s="69" t="str">
        <f>RIGHT(บันทึกนำเข้าDrawing[[#This Row],[Drawing No]],1)</f>
        <v>5</v>
      </c>
      <c r="F1401" s="84" t="s">
        <v>6470</v>
      </c>
      <c r="G1401" s="118" t="s">
        <v>4027</v>
      </c>
      <c r="H1401" s="80">
        <v>45667</v>
      </c>
      <c r="I1401" s="29" t="str">
        <f>CONCATENATE(บันทึกนำเข้าDrawing[[#This Row],[Part No]],"+",บันทึกนำเข้าDrawing[[#This Row],[Drawing No]])</f>
        <v>2B25-289-01+DR-TW-2B25-034-02-05</v>
      </c>
    </row>
    <row r="1402" spans="2:9">
      <c r="B1402" s="85">
        <v>45569</v>
      </c>
      <c r="C1402" s="72" t="s">
        <v>4153</v>
      </c>
      <c r="D1402" s="2" t="s">
        <v>6751</v>
      </c>
      <c r="E1402" s="69" t="str">
        <f>RIGHT(บันทึกนำเข้าDrawing[[#This Row],[Drawing No]],1)</f>
        <v>5</v>
      </c>
      <c r="F1402" s="84" t="s">
        <v>6472</v>
      </c>
      <c r="G1402" s="118" t="s">
        <v>4027</v>
      </c>
      <c r="H1402" s="80">
        <v>45667</v>
      </c>
      <c r="I1402" s="29" t="str">
        <f>CONCATENATE(บันทึกนำเข้าDrawing[[#This Row],[Part No]],"+",บันทึกนำเข้าDrawing[[#This Row],[Drawing No]])</f>
        <v>2B25-288-01+DR-TW-2B25-034-02-05</v>
      </c>
    </row>
    <row r="1403" spans="2:9">
      <c r="B1403" s="85">
        <v>45569</v>
      </c>
      <c r="C1403" s="72" t="s">
        <v>4153</v>
      </c>
      <c r="D1403" s="2" t="s">
        <v>6753</v>
      </c>
      <c r="E1403" s="69" t="str">
        <f>RIGHT(บันทึกนำเข้าDrawing[[#This Row],[Drawing No]],1)</f>
        <v>5</v>
      </c>
      <c r="F1403" s="73" t="s">
        <v>2699</v>
      </c>
      <c r="G1403" s="118" t="s">
        <v>4027</v>
      </c>
      <c r="H1403" s="80">
        <v>45637</v>
      </c>
      <c r="I1403" s="29" t="str">
        <f>CONCATENATE(บันทึกนำเข้าDrawing[[#This Row],[Part No]],"+",บันทึกนำเข้าDrawing[[#This Row],[Drawing No]])</f>
        <v>2B30-021-06+DR-TW-2B25-034-02-05</v>
      </c>
    </row>
    <row r="1404" spans="2:9">
      <c r="B1404" s="85">
        <v>45728</v>
      </c>
      <c r="C1404" s="72" t="s">
        <v>4153</v>
      </c>
      <c r="D1404" s="33" t="s">
        <v>6954</v>
      </c>
      <c r="E1404" s="69" t="str">
        <f>RIGHT(บันทึกนำเข้าDrawing[[#This Row],[Drawing No]],1)</f>
        <v>5</v>
      </c>
      <c r="F1404" s="68" t="s">
        <v>6955</v>
      </c>
      <c r="G1404" s="118" t="s">
        <v>4521</v>
      </c>
      <c r="H1404" s="80"/>
      <c r="I1404" s="29" t="str">
        <f>CONCATENATE(บันทึกนำเข้าDrawing[[#This Row],[Part No]],"+",บันทึกนำเข้าDrawing[[#This Row],[Drawing No]])</f>
        <v>2B69A125-00+DR-TW-2B25-034-02-05</v>
      </c>
    </row>
    <row r="1405" spans="2:9">
      <c r="B1405" s="85">
        <v>45587</v>
      </c>
      <c r="C1405" s="72" t="s">
        <v>4153</v>
      </c>
      <c r="D1405" s="2" t="s">
        <v>6759</v>
      </c>
      <c r="E1405" s="69" t="str">
        <f>RIGHT(บันทึกนำเข้าDrawing[[#This Row],[Drawing No]],1)</f>
        <v>5</v>
      </c>
      <c r="F1405" s="79" t="s">
        <v>6760</v>
      </c>
      <c r="G1405" s="118" t="s">
        <v>4027</v>
      </c>
      <c r="H1405" s="80">
        <v>45589</v>
      </c>
      <c r="I1405" s="29" t="str">
        <f>CONCATENATE(บันทึกนำเข้าDrawing[[#This Row],[Part No]],"+",บันทึกนำเข้าDrawing[[#This Row],[Drawing No]])</f>
        <v>2B26-128-01+DR-TW-2B25-034-02-05</v>
      </c>
    </row>
    <row r="1406" spans="2:9">
      <c r="B1406" s="85">
        <v>45562</v>
      </c>
      <c r="C1406" s="72" t="s">
        <v>4153</v>
      </c>
      <c r="D1406" s="33" t="s">
        <v>6763</v>
      </c>
      <c r="E1406" s="33" t="str">
        <f>RIGHT(บันทึกนำเข้าDrawing[[#This Row],[Drawing No]],1)</f>
        <v>5</v>
      </c>
      <c r="F1406" s="73" t="s">
        <v>3191</v>
      </c>
      <c r="G1406" s="118" t="s">
        <v>4027</v>
      </c>
      <c r="H1406" s="74">
        <v>45590</v>
      </c>
      <c r="I1406" s="29" t="str">
        <f>CONCATENATE(บันทึกนำเข้าDrawing[[#This Row],[Part No]],"+",บันทึกนำเข้าDrawing[[#This Row],[Drawing No]])</f>
        <v>2B27-127-02+DR-TW-2B25-034-02-05</v>
      </c>
    </row>
    <row r="1407" spans="2:9">
      <c r="B1407" s="85">
        <v>45587</v>
      </c>
      <c r="C1407" s="72" t="s">
        <v>4153</v>
      </c>
      <c r="D1407" s="33" t="s">
        <v>4580</v>
      </c>
      <c r="E1407" s="69" t="str">
        <f>RIGHT(บันทึกนำเข้าDrawing[[#This Row],[Drawing No]],1)</f>
        <v>5</v>
      </c>
      <c r="F1407" s="68" t="s">
        <v>6767</v>
      </c>
      <c r="G1407" s="118" t="s">
        <v>3772</v>
      </c>
      <c r="H1407" s="80"/>
      <c r="I1407" s="29" t="str">
        <f>CONCATENATE(บันทึกนำเข้าDrawing[[#This Row],[Part No]],"+",บันทึกนำเข้าDrawing[[#This Row],[Drawing No]])</f>
        <v>2B19B105-00+DR-TW-2B25-034-02-05</v>
      </c>
    </row>
    <row r="1408" spans="2:9">
      <c r="B1408" s="85">
        <v>45587</v>
      </c>
      <c r="C1408" s="72" t="s">
        <v>4153</v>
      </c>
      <c r="D1408" s="33" t="s">
        <v>4436</v>
      </c>
      <c r="E1408" s="69" t="str">
        <f>RIGHT(บันทึกนำเข้าDrawing[[#This Row],[Drawing No]],1)</f>
        <v>5</v>
      </c>
      <c r="F1408" s="68" t="s">
        <v>6768</v>
      </c>
      <c r="G1408" s="118" t="s">
        <v>3779</v>
      </c>
      <c r="H1408" s="80"/>
      <c r="I1408" s="29" t="str">
        <f>CONCATENATE(บันทึกนำเข้าDrawing[[#This Row],[Part No]],"+",บันทึกนำเข้าDrawing[[#This Row],[Drawing No]])</f>
        <v>2B19B115-00+DR-TW-2B25-034-02-05</v>
      </c>
    </row>
    <row r="1409" spans="2:9">
      <c r="B1409" s="85">
        <v>45587</v>
      </c>
      <c r="C1409" s="72" t="s">
        <v>4153</v>
      </c>
      <c r="D1409" s="33" t="s">
        <v>4557</v>
      </c>
      <c r="E1409" s="69" t="str">
        <f>RIGHT(บันทึกนำเข้าDrawing[[#This Row],[Drawing No]],1)</f>
        <v>5</v>
      </c>
      <c r="F1409" s="68" t="s">
        <v>6769</v>
      </c>
      <c r="G1409" s="118" t="s">
        <v>3772</v>
      </c>
      <c r="H1409" s="80"/>
      <c r="I1409" s="29" t="str">
        <f>CONCATENATE(บันทึกนำเข้าDrawing[[#This Row],[Part No]],"+",บันทึกนำเข้าDrawing[[#This Row],[Drawing No]])</f>
        <v>2B19B120-00+DR-TW-2B25-034-02-05</v>
      </c>
    </row>
    <row r="1410" spans="2:9">
      <c r="B1410" s="85">
        <v>45587</v>
      </c>
      <c r="C1410" s="72" t="s">
        <v>4153</v>
      </c>
      <c r="D1410" s="33" t="s">
        <v>4437</v>
      </c>
      <c r="E1410" s="69" t="str">
        <f>RIGHT(บันทึกนำเข้าDrawing[[#This Row],[Drawing No]],1)</f>
        <v>5</v>
      </c>
      <c r="F1410" s="68" t="s">
        <v>6770</v>
      </c>
      <c r="G1410" s="118" t="s">
        <v>3772</v>
      </c>
      <c r="H1410" s="80"/>
      <c r="I1410" s="29" t="str">
        <f>CONCATENATE(บันทึกนำเข้าDrawing[[#This Row],[Part No]],"+",บันทึกนำเข้าDrawing[[#This Row],[Drawing No]])</f>
        <v>2B19B160-00+DR-TW-2B25-034-02-05</v>
      </c>
    </row>
    <row r="1411" spans="2:9">
      <c r="B1411" s="85">
        <v>45593</v>
      </c>
      <c r="C1411" s="72" t="s">
        <v>4153</v>
      </c>
      <c r="D1411" s="33" t="s">
        <v>5935</v>
      </c>
      <c r="E1411" s="69" t="str">
        <f>RIGHT(บันทึกนำเข้าDrawing[[#This Row],[Drawing No]],1)</f>
        <v>5</v>
      </c>
      <c r="F1411" s="68" t="s">
        <v>5942</v>
      </c>
      <c r="G1411" s="118" t="s">
        <v>3779</v>
      </c>
      <c r="H1411" s="80"/>
      <c r="I1411" s="29" t="str">
        <f>CONCATENATE(บันทึกนำเข้าDrawing[[#This Row],[Part No]],"+",บันทึกนำเข้าDrawing[[#This Row],[Drawing No]])</f>
        <v>2B40-035-00+DR-TW-2B25-034-02-05</v>
      </c>
    </row>
    <row r="1412" spans="2:9">
      <c r="B1412" s="85">
        <v>45593</v>
      </c>
      <c r="C1412" s="72" t="s">
        <v>4153</v>
      </c>
      <c r="D1412" s="33" t="s">
        <v>5936</v>
      </c>
      <c r="E1412" s="69" t="str">
        <f>RIGHT(บันทึกนำเข้าDrawing[[#This Row],[Drawing No]],1)</f>
        <v>5</v>
      </c>
      <c r="F1412" s="68" t="s">
        <v>5943</v>
      </c>
      <c r="G1412" s="118" t="s">
        <v>3779</v>
      </c>
      <c r="H1412" s="80"/>
      <c r="I1412" s="29" t="str">
        <f>CONCATENATE(บันทึกนำเข้าDrawing[[#This Row],[Part No]],"+",บันทึกนำเข้าDrawing[[#This Row],[Drawing No]])</f>
        <v>2B40-037-00+DR-TW-2B25-034-02-05</v>
      </c>
    </row>
    <row r="1413" spans="2:9">
      <c r="B1413" s="85">
        <v>45593</v>
      </c>
      <c r="C1413" s="72" t="s">
        <v>4153</v>
      </c>
      <c r="D1413" s="33" t="s">
        <v>5937</v>
      </c>
      <c r="E1413" s="69" t="str">
        <f>RIGHT(บันทึกนำเข้าDrawing[[#This Row],[Drawing No]],1)</f>
        <v>5</v>
      </c>
      <c r="F1413" s="68" t="s">
        <v>5945</v>
      </c>
      <c r="G1413" s="118" t="s">
        <v>3779</v>
      </c>
      <c r="H1413" s="80"/>
      <c r="I1413" s="29" t="str">
        <f>CONCATENATE(บันทึกนำเข้าDrawing[[#This Row],[Part No]],"+",บันทึกนำเข้าDrawing[[#This Row],[Drawing No]])</f>
        <v>2B40-036-00+DR-TW-2B25-034-02-05</v>
      </c>
    </row>
    <row r="1414" spans="2:9">
      <c r="B1414" s="85">
        <v>45593</v>
      </c>
      <c r="C1414" s="72" t="s">
        <v>4153</v>
      </c>
      <c r="D1414" s="112" t="s">
        <v>5932</v>
      </c>
      <c r="E1414" s="69" t="str">
        <f>RIGHT(บันทึกนำเข้าDrawing[[#This Row],[Drawing No]],1)</f>
        <v>5</v>
      </c>
      <c r="F1414" s="68" t="s">
        <v>5944</v>
      </c>
      <c r="G1414" s="118" t="s">
        <v>3779</v>
      </c>
      <c r="H1414" s="80"/>
      <c r="I1414" s="29" t="str">
        <f>CONCATENATE(บันทึกนำเข้าDrawing[[#This Row],[Part No]],"+",บันทึกนำเข้าDrawing[[#This Row],[Drawing No]])</f>
        <v>2B40-030-00+DR-TW-2B25-034-02-05</v>
      </c>
    </row>
    <row r="1415" spans="2:9">
      <c r="B1415" s="85">
        <v>45593</v>
      </c>
      <c r="C1415" s="72" t="s">
        <v>4153</v>
      </c>
      <c r="D1415" s="33" t="s">
        <v>5938</v>
      </c>
      <c r="E1415" s="69" t="str">
        <f>RIGHT(บันทึกนำเข้าDrawing[[#This Row],[Drawing No]],1)</f>
        <v>5</v>
      </c>
      <c r="F1415" s="68" t="s">
        <v>5946</v>
      </c>
      <c r="G1415" s="118" t="s">
        <v>3779</v>
      </c>
      <c r="H1415" s="80"/>
      <c r="I1415" s="29" t="str">
        <f>CONCATENATE(บันทึกนำเข้าDrawing[[#This Row],[Part No]],"+",บันทึกนำเข้าDrawing[[#This Row],[Drawing No]])</f>
        <v>2B40-031-00+DR-TW-2B25-034-02-05</v>
      </c>
    </row>
    <row r="1416" spans="2:9">
      <c r="B1416" s="85">
        <v>45593</v>
      </c>
      <c r="C1416" s="72" t="s">
        <v>4153</v>
      </c>
      <c r="D1416" s="33" t="s">
        <v>5939</v>
      </c>
      <c r="E1416" s="69" t="str">
        <f>RIGHT(บันทึกนำเข้าDrawing[[#This Row],[Drawing No]],1)</f>
        <v>5</v>
      </c>
      <c r="F1416" s="68" t="s">
        <v>5947</v>
      </c>
      <c r="G1416" s="118" t="s">
        <v>3779</v>
      </c>
      <c r="H1416" s="80"/>
      <c r="I1416" s="29" t="str">
        <f>CONCATENATE(บันทึกนำเข้าDrawing[[#This Row],[Part No]],"+",บันทึกนำเข้าDrawing[[#This Row],[Drawing No]])</f>
        <v>2B40-032-00+DR-TW-2B25-034-02-05</v>
      </c>
    </row>
    <row r="1417" spans="2:9">
      <c r="B1417" s="85">
        <v>45593</v>
      </c>
      <c r="C1417" s="72" t="s">
        <v>4153</v>
      </c>
      <c r="D1417" s="33" t="s">
        <v>5940</v>
      </c>
      <c r="E1417" s="69" t="str">
        <f>RIGHT(บันทึกนำเข้าDrawing[[#This Row],[Drawing No]],1)</f>
        <v>5</v>
      </c>
      <c r="F1417" s="68" t="s">
        <v>5948</v>
      </c>
      <c r="G1417" s="118" t="s">
        <v>3779</v>
      </c>
      <c r="H1417" s="80"/>
      <c r="I1417" s="29" t="str">
        <f>CONCATENATE(บันทึกนำเข้าDrawing[[#This Row],[Part No]],"+",บันทึกนำเข้าDrawing[[#This Row],[Drawing No]])</f>
        <v>2B40-033-00+DR-TW-2B25-034-02-05</v>
      </c>
    </row>
    <row r="1418" spans="2:9">
      <c r="B1418" s="85">
        <v>45593</v>
      </c>
      <c r="C1418" s="72" t="s">
        <v>4153</v>
      </c>
      <c r="D1418" s="33" t="s">
        <v>5941</v>
      </c>
      <c r="E1418" s="69" t="str">
        <f>RIGHT(บันทึกนำเข้าDrawing[[#This Row],[Drawing No]],1)</f>
        <v>5</v>
      </c>
      <c r="F1418" s="68" t="s">
        <v>5949</v>
      </c>
      <c r="G1418" s="118" t="s">
        <v>3779</v>
      </c>
      <c r="H1418" s="80"/>
      <c r="I1418" s="29" t="str">
        <f>CONCATENATE(บันทึกนำเข้าDrawing[[#This Row],[Part No]],"+",บันทึกนำเข้าDrawing[[#This Row],[Drawing No]])</f>
        <v>2B40-034-00+DR-TW-2B25-034-02-05</v>
      </c>
    </row>
    <row r="1419" spans="2:9">
      <c r="B1419" s="85">
        <v>45593</v>
      </c>
      <c r="C1419" s="72" t="s">
        <v>4153</v>
      </c>
      <c r="D1419" s="33" t="s">
        <v>6131</v>
      </c>
      <c r="E1419" s="69" t="str">
        <f>RIGHT(บันทึกนำเข้าDrawing[[#This Row],[Drawing No]],1)</f>
        <v>5</v>
      </c>
      <c r="F1419" s="84" t="s">
        <v>6132</v>
      </c>
      <c r="G1419" s="120" t="s">
        <v>3779</v>
      </c>
      <c r="H1419" s="83"/>
      <c r="I1419" s="29" t="str">
        <f>CONCATENATE(บันทึกนำเข้าDrawing[[#This Row],[Part No]],"+",บันทึกนำเข้าDrawing[[#This Row],[Drawing No]])</f>
        <v>2B40-039-00+DR-TW-2B25-034-02-05</v>
      </c>
    </row>
    <row r="1420" spans="2:9">
      <c r="B1420" s="85">
        <v>45593</v>
      </c>
      <c r="C1420" s="72" t="s">
        <v>4153</v>
      </c>
      <c r="D1420" s="33" t="s">
        <v>6773</v>
      </c>
      <c r="E1420" s="69" t="str">
        <f>RIGHT(บันทึกนำเข้าDrawing[[#This Row],[Drawing No]],1)</f>
        <v>5</v>
      </c>
      <c r="F1420" s="84" t="s">
        <v>6774</v>
      </c>
      <c r="G1420" s="120" t="s">
        <v>4027</v>
      </c>
      <c r="H1420" s="83">
        <v>45607</v>
      </c>
      <c r="I1420" s="29" t="str">
        <f>CONCATENATE(บันทึกนำเข้าDrawing[[#This Row],[Part No]],"+",บันทึกนำเข้าDrawing[[#This Row],[Drawing No]])</f>
        <v>2B40-040-00+DR-TW-2B25-034-02-05</v>
      </c>
    </row>
    <row r="1421" spans="2:9">
      <c r="B1421" s="71">
        <v>43169</v>
      </c>
      <c r="C1421" s="72" t="s">
        <v>4153</v>
      </c>
      <c r="D1421" s="33" t="s">
        <v>2270</v>
      </c>
      <c r="E1421" s="69" t="str">
        <f>RIGHT(บันทึกนำเข้าDrawing[[#This Row],[Drawing No]],1)</f>
        <v>5</v>
      </c>
      <c r="F1421" s="68" t="s">
        <v>6776</v>
      </c>
      <c r="G1421" s="118" t="s">
        <v>4027</v>
      </c>
      <c r="H1421" s="80">
        <v>45600</v>
      </c>
      <c r="I1421" s="29" t="str">
        <f>CONCATENATE(บันทึกนำเข้าDrawing[[#This Row],[Part No]],"+",บันทึกนำเข้าDrawing[[#This Row],[Drawing No]])</f>
        <v>2B91-087-02+DR-TW-2B25-034-02-05</v>
      </c>
    </row>
    <row r="1422" spans="2:9">
      <c r="B1422" s="81">
        <v>45600</v>
      </c>
      <c r="C1422" s="72" t="s">
        <v>4153</v>
      </c>
      <c r="D1422" s="33" t="s">
        <v>6778</v>
      </c>
      <c r="E1422" s="69" t="str">
        <f>RIGHT(บันทึกนำเข้าDrawing[[#This Row],[Drawing No]],1)</f>
        <v>5</v>
      </c>
      <c r="F1422" s="68" t="s">
        <v>4401</v>
      </c>
      <c r="G1422" s="120" t="s">
        <v>3779</v>
      </c>
      <c r="H1422" s="83"/>
      <c r="I1422" s="29" t="str">
        <f>CONCATENATE(บันทึกนำเข้าDrawing[[#This Row],[Part No]],"+",บันทึกนำเข้าDrawing[[#This Row],[Drawing No]])</f>
        <v>2B26-471-01+DR-TW-2B25-034-02-05</v>
      </c>
    </row>
    <row r="1423" spans="2:9">
      <c r="B1423" s="81">
        <v>45600</v>
      </c>
      <c r="C1423" s="72" t="s">
        <v>4153</v>
      </c>
      <c r="D1423" s="33" t="s">
        <v>6780</v>
      </c>
      <c r="E1423" s="69" t="str">
        <f>RIGHT(บันทึกนำเข้าDrawing[[#This Row],[Drawing No]],1)</f>
        <v>5</v>
      </c>
      <c r="F1423" s="68" t="s">
        <v>4404</v>
      </c>
      <c r="G1423" s="120" t="s">
        <v>3779</v>
      </c>
      <c r="H1423" s="83"/>
      <c r="I1423" s="29" t="str">
        <f>CONCATENATE(บันทึกนำเข้าDrawing[[#This Row],[Part No]],"+",บันทึกนำเข้าDrawing[[#This Row],[Drawing No]])</f>
        <v>2B26-470-01+DR-TW-2B25-034-02-05</v>
      </c>
    </row>
    <row r="1424" spans="2:9">
      <c r="B1424" s="81">
        <v>45600</v>
      </c>
      <c r="C1424" s="72" t="s">
        <v>4153</v>
      </c>
      <c r="D1424" s="33" t="s">
        <v>6391</v>
      </c>
      <c r="E1424" s="69" t="str">
        <f>RIGHT(บันทึกนำเข้าDrawing[[#This Row],[Drawing No]],1)</f>
        <v>5</v>
      </c>
      <c r="F1424" s="73" t="s">
        <v>1776</v>
      </c>
      <c r="G1424" s="120" t="s">
        <v>4027</v>
      </c>
      <c r="H1424" s="74">
        <v>45667</v>
      </c>
      <c r="I1424" s="231" t="str">
        <f>CONCATENATE(บันทึกนำเข้าDrawing[[#This Row],[Part No]],"+",บันทึกนำเข้าDrawing[[#This Row],[Drawing No]])</f>
        <v>2B29-427-02+DR-TW-2B25-034-02-05</v>
      </c>
    </row>
    <row r="1425" spans="2:9">
      <c r="B1425" s="81">
        <v>45600</v>
      </c>
      <c r="C1425" s="72" t="s">
        <v>4153</v>
      </c>
      <c r="D1425" s="33" t="s">
        <v>6782</v>
      </c>
      <c r="E1425" s="69" t="str">
        <f>RIGHT(บันทึกนำเข้าDrawing[[#This Row],[Drawing No]],1)</f>
        <v>5</v>
      </c>
      <c r="F1425" s="73" t="s">
        <v>5603</v>
      </c>
      <c r="G1425" s="120" t="s">
        <v>3779</v>
      </c>
      <c r="H1425" s="83"/>
      <c r="I1425" s="29" t="str">
        <f>CONCATENATE(บันทึกนำเข้าDrawing[[#This Row],[Part No]],"+",บันทึกนำเข้าDrawing[[#This Row],[Drawing No]])</f>
        <v>2B26-452-01+DR-TW-2B25-034-02-05</v>
      </c>
    </row>
    <row r="1426" spans="2:9">
      <c r="B1426" s="81">
        <v>45600</v>
      </c>
      <c r="C1426" s="72" t="s">
        <v>4153</v>
      </c>
      <c r="D1426" s="33" t="s">
        <v>6784</v>
      </c>
      <c r="E1426" s="69" t="str">
        <f>RIGHT(บันทึกนำเข้าDrawing[[#This Row],[Drawing No]],1)</f>
        <v>5</v>
      </c>
      <c r="F1426" s="68" t="s">
        <v>5596</v>
      </c>
      <c r="G1426" s="120" t="s">
        <v>3779</v>
      </c>
      <c r="H1426" s="83"/>
      <c r="I1426" s="29" t="str">
        <f>CONCATENATE(บันทึกนำเข้าDrawing[[#This Row],[Part No]],"+",บันทึกนำเข้าDrawing[[#This Row],[Drawing No]])</f>
        <v>2B26-421-01+DR-TW-2B25-034-02-05</v>
      </c>
    </row>
    <row r="1427" spans="2:9">
      <c r="B1427" s="81">
        <v>45728</v>
      </c>
      <c r="C1427" s="72" t="s">
        <v>4153</v>
      </c>
      <c r="D1427" s="33" t="s">
        <v>6972</v>
      </c>
      <c r="E1427" s="69" t="str">
        <f>RIGHT(บันทึกนำเข้าDrawing[[#This Row],[Drawing No]],1)</f>
        <v>5</v>
      </c>
      <c r="F1427" s="256" t="s">
        <v>6973</v>
      </c>
      <c r="G1427" s="120" t="s">
        <v>4521</v>
      </c>
      <c r="H1427" s="83"/>
      <c r="I1427" s="29" t="str">
        <f>CONCATENATE(บันทึกนำเข้าDrawing[[#This Row],[Part No]],"+",บันทึกนำเข้าDrawing[[#This Row],[Drawing No]])</f>
        <v>2B69A106-00+DR-TW-2B25-034-02-05</v>
      </c>
    </row>
    <row r="1428" spans="2:9">
      <c r="B1428" s="81">
        <v>45602</v>
      </c>
      <c r="C1428" s="72" t="s">
        <v>4153</v>
      </c>
      <c r="D1428" s="33" t="s">
        <v>6792</v>
      </c>
      <c r="E1428" s="69" t="str">
        <f>RIGHT(บันทึกนำเข้าDrawing[[#This Row],[Drawing No]],1)</f>
        <v>5</v>
      </c>
      <c r="F1428" s="84" t="s">
        <v>6790</v>
      </c>
      <c r="G1428" s="120" t="s">
        <v>4027</v>
      </c>
      <c r="H1428" s="83">
        <v>45668</v>
      </c>
      <c r="I1428" s="29" t="str">
        <f>CONCATENATE(บันทึกนำเข้าDrawing[[#This Row],[Part No]],"+",บันทึกนำเข้าDrawing[[#This Row],[Drawing No]])</f>
        <v>2B19I125-00+DR-TW-2B25-034-02-05</v>
      </c>
    </row>
    <row r="1429" spans="2:9">
      <c r="B1429" s="81">
        <v>45602</v>
      </c>
      <c r="C1429" s="72" t="s">
        <v>4153</v>
      </c>
      <c r="D1429" s="33" t="s">
        <v>6791</v>
      </c>
      <c r="E1429" s="69" t="str">
        <f>RIGHT(บันทึกนำเข้าDrawing[[#This Row],[Drawing No]],1)</f>
        <v>5</v>
      </c>
      <c r="F1429" s="84" t="s">
        <v>6793</v>
      </c>
      <c r="G1429" s="120" t="s">
        <v>4027</v>
      </c>
      <c r="H1429" s="83">
        <v>45668</v>
      </c>
      <c r="I1429" s="29" t="str">
        <f>CONCATENATE(บันทึกนำเข้าDrawing[[#This Row],[Part No]],"+",บันทึกนำเข้าDrawing[[#This Row],[Drawing No]])</f>
        <v>2B19I130-00+DR-TW-2B25-034-02-05</v>
      </c>
    </row>
    <row r="1430" spans="2:9">
      <c r="B1430" s="81">
        <v>45602</v>
      </c>
      <c r="C1430" s="72" t="s">
        <v>4153</v>
      </c>
      <c r="D1430" s="33" t="s">
        <v>6794</v>
      </c>
      <c r="E1430" s="69" t="str">
        <f>RIGHT(บันทึกนำเข้าDrawing[[#This Row],[Drawing No]],1)</f>
        <v>5</v>
      </c>
      <c r="F1430" s="84" t="s">
        <v>6795</v>
      </c>
      <c r="G1430" s="120" t="s">
        <v>4027</v>
      </c>
      <c r="H1430" s="83">
        <v>45668</v>
      </c>
      <c r="I1430" s="29" t="str">
        <f>CONCATENATE(บันทึกนำเข้าDrawing[[#This Row],[Part No]],"+",บันทึกนำเข้าDrawing[[#This Row],[Drawing No]])</f>
        <v>2B19I135-00+DR-TW-2B25-034-02-05</v>
      </c>
    </row>
    <row r="1431" spans="2:9">
      <c r="B1431" s="81">
        <v>45481</v>
      </c>
      <c r="C1431" s="72" t="s">
        <v>4153</v>
      </c>
      <c r="D1431" s="33" t="s">
        <v>6036</v>
      </c>
      <c r="E1431" s="69" t="str">
        <f>RIGHT(บันทึกนำเข้าDrawing[[#This Row],[Drawing No]],1)</f>
        <v>5</v>
      </c>
      <c r="F1431" s="254" t="s">
        <v>6570</v>
      </c>
      <c r="G1431" s="120" t="s">
        <v>4521</v>
      </c>
      <c r="H1431" s="83"/>
      <c r="I1431" s="29" t="str">
        <f>CONCATENATE(บันทึกนำเข้าDrawing[[#This Row],[Part No]],"+",บันทึกนำเข้าDrawing[[#This Row],[Drawing No]])</f>
        <v>2B69A067-00+DR-TW-2B25-034-02-05</v>
      </c>
    </row>
    <row r="1432" spans="2:9">
      <c r="B1432" s="81">
        <v>45670</v>
      </c>
      <c r="C1432" s="72" t="s">
        <v>4153</v>
      </c>
      <c r="D1432" s="2" t="s">
        <v>6871</v>
      </c>
      <c r="E1432" s="69" t="str">
        <f>RIGHT(บันทึกนำเข้าDrawing[[#This Row],[Drawing No]],1)</f>
        <v>5</v>
      </c>
      <c r="F1432" s="251" t="s">
        <v>6872</v>
      </c>
      <c r="G1432" s="120" t="s">
        <v>4521</v>
      </c>
      <c r="H1432" s="83"/>
      <c r="I1432" s="29" t="str">
        <f>CONCATENATE(บันทึกนำเข้าDrawing[[#This Row],[Part No]],"+",บันทึกนำเข้าDrawing[[#This Row],[Drawing No]])</f>
        <v>2B69M677-00+DR-TW-2B25-034-02-05</v>
      </c>
    </row>
    <row r="1433" spans="2:9">
      <c r="B1433" s="81">
        <v>45728</v>
      </c>
      <c r="C1433" s="72" t="s">
        <v>4153</v>
      </c>
      <c r="D1433" s="33" t="s">
        <v>6964</v>
      </c>
      <c r="E1433" s="69" t="str">
        <f>RIGHT(บันทึกนำเข้าDrawing[[#This Row],[Drawing No]],1)</f>
        <v>5</v>
      </c>
      <c r="F1433" s="84" t="s">
        <v>6965</v>
      </c>
      <c r="G1433" s="120" t="s">
        <v>4521</v>
      </c>
      <c r="H1433" s="83"/>
      <c r="I1433" s="29" t="str">
        <f>CONCATENATE(บันทึกนำเข้าDrawing[[#This Row],[Part No]],"+",บันทึกนำเข้าDrawing[[#This Row],[Drawing No]])</f>
        <v>2B69A130-00+DR-TW-2B25-034-02-05</v>
      </c>
    </row>
    <row r="1434" spans="2:9">
      <c r="B1434" s="81">
        <v>45617</v>
      </c>
      <c r="C1434" s="72" t="s">
        <v>4153</v>
      </c>
      <c r="D1434" s="33" t="s">
        <v>6812</v>
      </c>
      <c r="E1434" s="69" t="str">
        <f>RIGHT(บันทึกนำเข้าDrawing[[#This Row],[Drawing No]],1)</f>
        <v>5</v>
      </c>
      <c r="F1434" s="84" t="s">
        <v>6813</v>
      </c>
      <c r="G1434" s="120" t="s">
        <v>3772</v>
      </c>
      <c r="H1434" s="83"/>
      <c r="I1434" s="29" t="str">
        <f>CONCATENATE(บันทึกนำเข้าDrawing[[#This Row],[Part No]],"+",บันทึกนำเข้าDrawing[[#This Row],[Drawing No]])</f>
        <v>2B25-527-00+DR-TW-2B25-034-02-05</v>
      </c>
    </row>
    <row r="1435" spans="2:9">
      <c r="B1435" s="81">
        <v>45617</v>
      </c>
      <c r="C1435" s="72" t="s">
        <v>4153</v>
      </c>
      <c r="D1435" s="33" t="s">
        <v>6816</v>
      </c>
      <c r="E1435" s="69" t="str">
        <f>RIGHT(บันทึกนำเข้าDrawing[[#This Row],[Drawing No]],1)</f>
        <v>5</v>
      </c>
      <c r="F1435" s="84" t="s">
        <v>6817</v>
      </c>
      <c r="G1435" s="120" t="s">
        <v>3772</v>
      </c>
      <c r="H1435" s="83"/>
      <c r="I1435" s="29" t="str">
        <f>CONCATENATE(บันทึกนำเข้าDrawing[[#This Row],[Part No]],"+",บันทึกนำเข้าDrawing[[#This Row],[Drawing No]])</f>
        <v>2B26-019-00+DR-TW-2B25-034-02-05</v>
      </c>
    </row>
    <row r="1436" spans="2:9">
      <c r="B1436" s="81">
        <v>45433</v>
      </c>
      <c r="C1436" s="72" t="s">
        <v>4153</v>
      </c>
      <c r="D1436" s="33" t="s">
        <v>6498</v>
      </c>
      <c r="E1436" s="69" t="str">
        <f>RIGHT(บันทึกนำเข้าDrawing[[#This Row],[Drawing No]],1)</f>
        <v>5</v>
      </c>
      <c r="F1436" s="68" t="s">
        <v>6499</v>
      </c>
      <c r="G1436" s="120" t="s">
        <v>4521</v>
      </c>
      <c r="H1436" s="83"/>
      <c r="I1436" s="29" t="str">
        <f>CONCATENATE(บันทึกนำเข้าDrawing[[#This Row],[Part No]],"+",บันทึกนำเข้าDrawing[[#This Row],[Drawing No]])</f>
        <v>2B69A057-00+DR-TW-2B25-034-02-05</v>
      </c>
    </row>
    <row r="1437" spans="2:9">
      <c r="B1437" s="81">
        <v>45433</v>
      </c>
      <c r="C1437" s="72" t="s">
        <v>4153</v>
      </c>
      <c r="D1437" s="33" t="s">
        <v>6501</v>
      </c>
      <c r="E1437" s="69" t="str">
        <f>RIGHT(บันทึกนำเข้าDrawing[[#This Row],[Drawing No]],1)</f>
        <v>5</v>
      </c>
      <c r="F1437" s="84" t="s">
        <v>6502</v>
      </c>
      <c r="G1437" s="120" t="s">
        <v>4521</v>
      </c>
      <c r="H1437" s="83"/>
      <c r="I1437" s="29" t="str">
        <f>CONCATENATE(บันทึกนำเข้าDrawing[[#This Row],[Part No]],"+",บันทึกนำเข้าDrawing[[#This Row],[Drawing No]])</f>
        <v>2B69A056-00+DR-TW-2B25-034-02-05</v>
      </c>
    </row>
    <row r="1438" spans="2:9">
      <c r="B1438" s="81">
        <v>45545</v>
      </c>
      <c r="C1438" s="72" t="s">
        <v>4153</v>
      </c>
      <c r="D1438" s="33" t="s">
        <v>6716</v>
      </c>
      <c r="E1438" s="69" t="str">
        <f>RIGHT(บันทึกนำเข้าDrawing[[#This Row],[Drawing No]],1)</f>
        <v>5</v>
      </c>
      <c r="F1438" s="84" t="s">
        <v>6717</v>
      </c>
      <c r="G1438" s="120" t="s">
        <v>4521</v>
      </c>
      <c r="H1438" s="83"/>
      <c r="I1438" s="29" t="str">
        <f>CONCATENATE(บันทึกนำเข้าDrawing[[#This Row],[Part No]],"+",บันทึกนำเข้าDrawing[[#This Row],[Drawing No]])</f>
        <v>2B69A084-00+DR-TW-2B25-034-02-05</v>
      </c>
    </row>
    <row r="1439" spans="2:9">
      <c r="B1439" s="81">
        <v>45629</v>
      </c>
      <c r="C1439" s="72" t="s">
        <v>4153</v>
      </c>
      <c r="D1439" s="33" t="s">
        <v>6829</v>
      </c>
      <c r="E1439" s="69" t="str">
        <f>RIGHT(บันทึกนำเข้าDrawing[[#This Row],[Drawing No]],1)</f>
        <v>5</v>
      </c>
      <c r="F1439" s="84" t="s">
        <v>5016</v>
      </c>
      <c r="G1439" s="120" t="s">
        <v>3779</v>
      </c>
      <c r="H1439" s="83"/>
      <c r="I1439" s="29" t="str">
        <f>CONCATENATE(บันทึกนำเข้าDrawing[[#This Row],[Part No]],"+",บันทึกนำเข้าDrawing[[#This Row],[Drawing No]])</f>
        <v>2B26-201-05+DR-TW-2B25-034-02-05</v>
      </c>
    </row>
    <row r="1440" spans="2:9">
      <c r="B1440" s="81">
        <v>45631</v>
      </c>
      <c r="C1440" s="72" t="s">
        <v>4153</v>
      </c>
      <c r="D1440" s="33" t="s">
        <v>6832</v>
      </c>
      <c r="E1440" s="69" t="str">
        <f>RIGHT(บันทึกนำเข้าDrawing[[#This Row],[Drawing No]],1)</f>
        <v>5</v>
      </c>
      <c r="F1440" s="84" t="s">
        <v>6833</v>
      </c>
      <c r="G1440" s="120" t="s">
        <v>3779</v>
      </c>
      <c r="H1440" s="83"/>
      <c r="I1440" s="29" t="str">
        <f>CONCATENATE(บันทึกนำเข้าDrawing[[#This Row],[Part No]],"+",บันทึกนำเข้าDrawing[[#This Row],[Drawing No]])</f>
        <v>2B26-279-03+DR-TW-2B25-034-02-05</v>
      </c>
    </row>
    <row r="1441" spans="2:9">
      <c r="B1441" s="81">
        <v>45629</v>
      </c>
      <c r="C1441" s="72" t="s">
        <v>4153</v>
      </c>
      <c r="D1441" s="33" t="s">
        <v>6835</v>
      </c>
      <c r="E1441" s="69" t="str">
        <f>RIGHT(บันทึกนำเข้าDrawing[[#This Row],[Drawing No]],1)</f>
        <v>5</v>
      </c>
      <c r="F1441" s="84" t="s">
        <v>5963</v>
      </c>
      <c r="G1441" s="120" t="s">
        <v>3779</v>
      </c>
      <c r="H1441" s="83"/>
      <c r="I1441" s="29" t="str">
        <f>CONCATENATE(บันทึกนำเข้าDrawing[[#This Row],[Part No]],"+",บันทึกนำเข้าDrawing[[#This Row],[Drawing No]])</f>
        <v>2B26-144-01+DR-TW-2B25-034-02-05</v>
      </c>
    </row>
    <row r="1442" spans="2:9">
      <c r="B1442" s="81">
        <v>45629</v>
      </c>
      <c r="C1442" s="72" t="s">
        <v>4153</v>
      </c>
      <c r="D1442" s="33" t="s">
        <v>6836</v>
      </c>
      <c r="E1442" s="69" t="str">
        <f>RIGHT(บันทึกนำเข้าDrawing[[#This Row],[Drawing No]],1)</f>
        <v>5</v>
      </c>
      <c r="F1442" s="84" t="s">
        <v>5978</v>
      </c>
      <c r="G1442" s="120" t="s">
        <v>3779</v>
      </c>
      <c r="H1442" s="83"/>
      <c r="I1442" s="29" t="str">
        <f>CONCATENATE(บันทึกนำเข้าDrawing[[#This Row],[Part No]],"+",บันทึกนำเข้าDrawing[[#This Row],[Drawing No]])</f>
        <v>2B26-143-01+DR-TW-2B25-034-02-05</v>
      </c>
    </row>
    <row r="1443" spans="2:9">
      <c r="B1443" s="81">
        <v>45729</v>
      </c>
      <c r="C1443" s="72" t="s">
        <v>4153</v>
      </c>
      <c r="D1443" s="33" t="s">
        <v>7073</v>
      </c>
      <c r="E1443" s="69" t="str">
        <f>RIGHT(บันทึกนำเข้าDrawing[[#This Row],[Drawing No]],1)</f>
        <v>5</v>
      </c>
      <c r="F1443" s="84" t="s">
        <v>7075</v>
      </c>
      <c r="G1443" s="120" t="s">
        <v>4521</v>
      </c>
      <c r="H1443" s="83"/>
      <c r="I1443" s="29" t="str">
        <f>CONCATENATE(บันทึกนำเข้าDrawing[[#This Row],[Part No]],"+",บันทึกนำเข้าDrawing[[#This Row],[Drawing No]])</f>
        <v>2B69A138-01+DR-TW-2B25-034-02-05</v>
      </c>
    </row>
    <row r="1444" spans="2:9">
      <c r="B1444" s="85">
        <v>45433</v>
      </c>
      <c r="C1444" s="72" t="s">
        <v>4153</v>
      </c>
      <c r="D1444" s="33" t="s">
        <v>6515</v>
      </c>
      <c r="E1444" s="69" t="str">
        <f>RIGHT(บันทึกนำเข้าDrawing[[#This Row],[Drawing No]],1)</f>
        <v>5</v>
      </c>
      <c r="F1444" s="68" t="s">
        <v>6516</v>
      </c>
      <c r="G1444" s="120" t="s">
        <v>4521</v>
      </c>
      <c r="H1444" s="80"/>
      <c r="I1444" s="29" t="str">
        <f>CONCATENATE(บันทึกนำเข้าDrawing[[#This Row],[Part No]],"+",บันทึกนำเข้าDrawing[[#This Row],[Drawing No]])</f>
        <v>2B69A059-00+DR-TW-2B25-034-02-05</v>
      </c>
    </row>
    <row r="1445" spans="2:9">
      <c r="B1445" s="85">
        <v>43748</v>
      </c>
      <c r="C1445" s="72" t="s">
        <v>4153</v>
      </c>
      <c r="D1445" s="54" t="s">
        <v>2264</v>
      </c>
      <c r="E1445" s="69" t="str">
        <f>RIGHT(บันทึกนำเข้าDrawing[[#This Row],[Drawing No]],1)</f>
        <v>5</v>
      </c>
      <c r="F1445" s="244" t="s">
        <v>2780</v>
      </c>
      <c r="G1445" s="118" t="s">
        <v>4027</v>
      </c>
      <c r="H1445" s="80">
        <v>45644</v>
      </c>
      <c r="I1445" s="29" t="str">
        <f>CONCATENATE(บันทึกนำเข้าDrawing[[#This Row],[Part No]],"+",บันทึกนำเข้าDrawing[[#This Row],[Drawing No]])</f>
        <v>2B91-077-00-R+DR-TW-2B25-034-02-05</v>
      </c>
    </row>
    <row r="1446" spans="2:9">
      <c r="B1446" s="85">
        <v>45433</v>
      </c>
      <c r="C1446" s="72" t="s">
        <v>4153</v>
      </c>
      <c r="D1446" s="33" t="s">
        <v>6512</v>
      </c>
      <c r="E1446" s="69" t="str">
        <f>RIGHT(บันทึกนำเข้าDrawing[[#This Row],[Drawing No]],1)</f>
        <v>5</v>
      </c>
      <c r="F1446" s="68" t="s">
        <v>6513</v>
      </c>
      <c r="G1446" s="118" t="s">
        <v>4521</v>
      </c>
      <c r="H1446" s="80"/>
      <c r="I1446" s="29" t="str">
        <f>CONCATENATE(บันทึกนำเข้าDrawing[[#This Row],[Part No]],"+",บันทึกนำเข้าDrawing[[#This Row],[Drawing No]])</f>
        <v>2B69A060-00+DR-TW-2B25-034-02-05</v>
      </c>
    </row>
    <row r="1447" spans="2:9">
      <c r="B1447" s="85">
        <v>45324</v>
      </c>
      <c r="C1447" s="72" t="s">
        <v>4153</v>
      </c>
      <c r="D1447" s="33" t="s">
        <v>6058</v>
      </c>
      <c r="E1447" s="69" t="str">
        <f>RIGHT(บันทึกนำเข้าDrawing[[#This Row],[Drawing No]],1)</f>
        <v>5</v>
      </c>
      <c r="F1447" s="37" t="s">
        <v>6059</v>
      </c>
      <c r="G1447" s="118" t="s">
        <v>4521</v>
      </c>
      <c r="H1447" s="80"/>
      <c r="I1447" s="29" t="str">
        <f>CONCATENATE(บันทึกนำเข้าDrawing[[#This Row],[Part No]],"+",บันทึกนำเข้าDrawing[[#This Row],[Drawing No]])</f>
        <v>2B69A048-00+DR-TW-2B25-034-02-05</v>
      </c>
    </row>
    <row r="1448" spans="2:9">
      <c r="B1448" s="85">
        <v>45324</v>
      </c>
      <c r="C1448" s="72" t="s">
        <v>4153</v>
      </c>
      <c r="D1448" s="33" t="s">
        <v>6056</v>
      </c>
      <c r="E1448" s="69" t="str">
        <f>RIGHT(บันทึกนำเข้าDrawing[[#This Row],[Drawing No]],1)</f>
        <v>5</v>
      </c>
      <c r="F1448" s="37" t="s">
        <v>6057</v>
      </c>
      <c r="G1448" s="118" t="s">
        <v>4521</v>
      </c>
      <c r="H1448" s="80"/>
      <c r="I1448" s="29" t="str">
        <f>CONCATENATE(บันทึกนำเข้าDrawing[[#This Row],[Part No]],"+",บันทึกนำเข้าDrawing[[#This Row],[Drawing No]])</f>
        <v>2B69A047-00+DR-TW-2B25-034-02-05</v>
      </c>
    </row>
    <row r="1449" spans="2:9">
      <c r="B1449" s="85">
        <v>45324</v>
      </c>
      <c r="C1449" s="72" t="s">
        <v>4153</v>
      </c>
      <c r="D1449" s="33" t="s">
        <v>6054</v>
      </c>
      <c r="E1449" s="69" t="str">
        <f>RIGHT(บันทึกนำเข้าDrawing[[#This Row],[Drawing No]],1)</f>
        <v>5</v>
      </c>
      <c r="F1449" s="37" t="s">
        <v>6055</v>
      </c>
      <c r="G1449" s="118" t="s">
        <v>4521</v>
      </c>
      <c r="H1449" s="80"/>
      <c r="I1449" s="29" t="str">
        <f>CONCATENATE(บันทึกนำเข้าDrawing[[#This Row],[Part No]],"+",บันทึกนำเข้าDrawing[[#This Row],[Drawing No]])</f>
        <v>2B69A046-00+DR-TW-2B25-034-02-05</v>
      </c>
    </row>
    <row r="1450" spans="2:9">
      <c r="B1450" s="85">
        <v>45324</v>
      </c>
      <c r="C1450" s="72" t="s">
        <v>4153</v>
      </c>
      <c r="D1450" s="33" t="s">
        <v>6060</v>
      </c>
      <c r="E1450" s="69" t="str">
        <f>RIGHT(บันทึกนำเข้าDrawing[[#This Row],[Drawing No]],1)</f>
        <v>5</v>
      </c>
      <c r="F1450" s="37" t="s">
        <v>6061</v>
      </c>
      <c r="G1450" s="118" t="s">
        <v>4521</v>
      </c>
      <c r="H1450" s="80"/>
      <c r="I1450" s="29" t="str">
        <f>CONCATENATE(บันทึกนำเข้าDrawing[[#This Row],[Part No]],"+",บันทึกนำเข้าDrawing[[#This Row],[Drawing No]])</f>
        <v>2B69A050-00+DR-TW-2B25-034-02-05</v>
      </c>
    </row>
    <row r="1451" spans="2:9">
      <c r="B1451" s="85">
        <v>45705</v>
      </c>
      <c r="C1451" s="72" t="s">
        <v>4153</v>
      </c>
      <c r="D1451" s="33" t="s">
        <v>6905</v>
      </c>
      <c r="E1451" s="69" t="str">
        <f>RIGHT(บันทึกนำเข้าDrawing[[#This Row],[Drawing No]],1)</f>
        <v>5</v>
      </c>
      <c r="F1451" s="68" t="s">
        <v>5320</v>
      </c>
      <c r="G1451" s="118" t="s">
        <v>3779</v>
      </c>
      <c r="H1451" s="80"/>
      <c r="I1451" s="29" t="str">
        <f>CONCATENATE(บันทึกนำเข้าDrawing[[#This Row],[Part No]],"+",บันทึกนำเข้าDrawing[[#This Row],[Drawing No]])</f>
        <v>2B94-054-01+DR-TW-2B25-034-02-05</v>
      </c>
    </row>
    <row r="1452" spans="2:9">
      <c r="B1452" s="85">
        <v>45705</v>
      </c>
      <c r="C1452" s="72" t="s">
        <v>4153</v>
      </c>
      <c r="D1452" s="33" t="s">
        <v>6907</v>
      </c>
      <c r="E1452" s="69" t="str">
        <f>RIGHT(บันทึกนำเข้าDrawing[[#This Row],[Drawing No]],1)</f>
        <v>5</v>
      </c>
      <c r="F1452" s="37" t="s">
        <v>3215</v>
      </c>
      <c r="G1452" s="118" t="s">
        <v>3779</v>
      </c>
      <c r="H1452" s="80"/>
      <c r="I1452" s="29" t="str">
        <f>CONCATENATE(บันทึกนำเข้าDrawing[[#This Row],[Part No]],"+",บันทึกนำเข้าDrawing[[#This Row],[Drawing No]])</f>
        <v>2B94-055-02+DR-TW-2B25-034-02-05</v>
      </c>
    </row>
    <row r="1453" spans="2:9">
      <c r="B1453" s="85">
        <v>45324</v>
      </c>
      <c r="C1453" s="72" t="s">
        <v>4153</v>
      </c>
      <c r="D1453" s="33" t="s">
        <v>6062</v>
      </c>
      <c r="E1453" s="69" t="str">
        <f>RIGHT(บันทึกนำเข้าDrawing[[#This Row],[Drawing No]],1)</f>
        <v>5</v>
      </c>
      <c r="F1453" s="37" t="s">
        <v>6063</v>
      </c>
      <c r="G1453" s="118" t="s">
        <v>4521</v>
      </c>
      <c r="H1453" s="80"/>
      <c r="I1453" s="29" t="str">
        <f>CONCATENATE(บันทึกนำเข้าDrawing[[#This Row],[Part No]],"+",บันทึกนำเข้าDrawing[[#This Row],[Drawing No]])</f>
        <v>2B69A051-00+DR-TW-2B25-034-02-05</v>
      </c>
    </row>
    <row r="1454" spans="2:9">
      <c r="B1454" s="85">
        <v>45324</v>
      </c>
      <c r="C1454" s="72" t="s">
        <v>4153</v>
      </c>
      <c r="D1454" s="33" t="s">
        <v>6064</v>
      </c>
      <c r="E1454" s="69" t="str">
        <f>RIGHT(บันทึกนำเข้าDrawing[[#This Row],[Drawing No]],1)</f>
        <v>5</v>
      </c>
      <c r="F1454" s="37" t="s">
        <v>6065</v>
      </c>
      <c r="G1454" s="118" t="s">
        <v>4521</v>
      </c>
      <c r="H1454" s="80"/>
      <c r="I1454" s="29" t="str">
        <f>CONCATENATE(บันทึกนำเข้าDrawing[[#This Row],[Part No]],"+",บันทึกนำเข้าDrawing[[#This Row],[Drawing No]])</f>
        <v>2B69A052-00+DR-TW-2B25-034-02-05</v>
      </c>
    </row>
    <row r="1455" spans="2:9">
      <c r="B1455" s="85">
        <v>45681</v>
      </c>
      <c r="C1455" s="72" t="s">
        <v>4153</v>
      </c>
      <c r="D1455" s="2" t="s">
        <v>6880</v>
      </c>
      <c r="E1455" s="69" t="str">
        <f>RIGHT(บันทึกนำเข้าDrawing[[#This Row],[Drawing No]],1)</f>
        <v>5</v>
      </c>
      <c r="F1455" s="84" t="s">
        <v>5668</v>
      </c>
      <c r="G1455" s="118" t="s">
        <v>4027</v>
      </c>
      <c r="H1455" s="80">
        <v>45720</v>
      </c>
      <c r="I1455" s="29" t="str">
        <f>CONCATENATE(บันทึกนำเข้าDrawing[[#This Row],[Part No]],"+",บันทึกนำเข้าDrawing[[#This Row],[Drawing No]])</f>
        <v>2B26-121-01+DR-TW-2B25-034-02-05</v>
      </c>
    </row>
    <row r="1456" spans="2:9">
      <c r="B1456" s="85">
        <v>45688</v>
      </c>
      <c r="C1456" s="72" t="s">
        <v>4153</v>
      </c>
      <c r="D1456" s="2" t="s">
        <v>6882</v>
      </c>
      <c r="E1456" s="69" t="str">
        <f>RIGHT(บันทึกนำเข้าDrawing[[#This Row],[Drawing No]],1)</f>
        <v>5</v>
      </c>
      <c r="F1456" s="68" t="s">
        <v>6883</v>
      </c>
      <c r="G1456" s="118" t="s">
        <v>4027</v>
      </c>
      <c r="H1456" s="80"/>
      <c r="I1456" s="29" t="str">
        <f>CONCATENATE(บันทึกนำเข้าDrawing[[#This Row],[Part No]],"+",บันทึกนำเข้าDrawing[[#This Row],[Drawing No]])</f>
        <v>2B29-233-00+DR-TW-2B25-034-02-05</v>
      </c>
    </row>
    <row r="1457" spans="2:9">
      <c r="B1457" s="85">
        <v>45670</v>
      </c>
      <c r="C1457" s="72" t="s">
        <v>4153</v>
      </c>
      <c r="D1457" s="2" t="s">
        <v>6885</v>
      </c>
      <c r="E1457" s="69" t="str">
        <f>RIGHT(บันทึกนำเข้าDrawing[[#This Row],[Drawing No]],1)</f>
        <v>5</v>
      </c>
      <c r="F1457" s="84" t="s">
        <v>3931</v>
      </c>
      <c r="G1457" s="118" t="s">
        <v>3779</v>
      </c>
      <c r="H1457" s="80"/>
      <c r="I1457" s="29" t="str">
        <f>CONCATENATE(บันทึกนำเข้าDrawing[[#This Row],[Part No]],"+",บันทึกนำเข้าDrawing[[#This Row],[Drawing No]])</f>
        <v>2B26-283-01+DR-TW-2B25-034-02-05</v>
      </c>
    </row>
    <row r="1458" spans="2:9">
      <c r="B1458" s="85">
        <v>45670</v>
      </c>
      <c r="C1458" s="72" t="s">
        <v>4153</v>
      </c>
      <c r="D1458" s="33" t="s">
        <v>6887</v>
      </c>
      <c r="E1458" s="69" t="str">
        <f>RIGHT(บันทึกนำเข้าDrawing[[#This Row],[Drawing No]],1)</f>
        <v>5</v>
      </c>
      <c r="F1458" s="84" t="s">
        <v>2474</v>
      </c>
      <c r="G1458" s="118" t="s">
        <v>3779</v>
      </c>
      <c r="H1458" s="80"/>
      <c r="I1458" s="29" t="str">
        <f>CONCATENATE(บันทึกนำเข้าDrawing[[#This Row],[Part No]],"+",บันทึกนำเข้าDrawing[[#This Row],[Drawing No]])</f>
        <v>2B25-181-03+DR-TW-2B25-034-02-05</v>
      </c>
    </row>
    <row r="1459" spans="2:9">
      <c r="B1459" s="85">
        <v>45670</v>
      </c>
      <c r="C1459" s="72" t="s">
        <v>4153</v>
      </c>
      <c r="D1459" s="33" t="s">
        <v>6888</v>
      </c>
      <c r="E1459" s="69" t="str">
        <f>RIGHT(บันทึกนำเข้าDrawing[[#This Row],[Drawing No]],1)</f>
        <v>5</v>
      </c>
      <c r="F1459" s="84" t="s">
        <v>2382</v>
      </c>
      <c r="G1459" s="118" t="s">
        <v>3779</v>
      </c>
      <c r="H1459" s="80"/>
      <c r="I1459" s="29" t="str">
        <f>CONCATENATE(บันทึกนำเข้าDrawing[[#This Row],[Part No]],"+",บันทึกนำเข้าDrawing[[#This Row],[Drawing No]])</f>
        <v>2B25-041-08+DR-TW-2B25-034-02-05</v>
      </c>
    </row>
    <row r="1460" spans="2:9">
      <c r="B1460" s="85">
        <v>45670</v>
      </c>
      <c r="C1460" s="72" t="s">
        <v>4153</v>
      </c>
      <c r="D1460" s="33" t="s">
        <v>6889</v>
      </c>
      <c r="E1460" s="69" t="str">
        <f>RIGHT(บันทึกนำเข้าDrawing[[#This Row],[Drawing No]],1)</f>
        <v>5</v>
      </c>
      <c r="F1460" s="84" t="s">
        <v>2959</v>
      </c>
      <c r="G1460" s="118" t="s">
        <v>3779</v>
      </c>
      <c r="H1460" s="80"/>
      <c r="I1460" s="29" t="str">
        <f>CONCATENATE(บันทึกนำเข้าDrawing[[#This Row],[Part No]],"+",บันทึกนำเข้าDrawing[[#This Row],[Drawing No]])</f>
        <v>2B25-040-08+DR-TW-2B25-034-02-05</v>
      </c>
    </row>
    <row r="1461" spans="2:9">
      <c r="B1461" s="85">
        <v>45726</v>
      </c>
      <c r="C1461" s="72" t="s">
        <v>4153</v>
      </c>
      <c r="D1461" s="33" t="s">
        <v>630</v>
      </c>
      <c r="E1461" s="69" t="str">
        <f>RIGHT(บันทึกนำเข้าDrawing[[#This Row],[Drawing No]],1)</f>
        <v>5</v>
      </c>
      <c r="F1461" s="84" t="s">
        <v>6801</v>
      </c>
      <c r="G1461" s="118" t="s">
        <v>3772</v>
      </c>
      <c r="H1461" s="80"/>
      <c r="I1461" s="29" t="str">
        <f>CONCATENATE(บันทึกนำเข้าDrawing[[#This Row],[Part No]],"+",บันทึกนำเข้าDrawing[[#This Row],[Drawing No]])</f>
        <v>2B24-226-00+DR-TW-2B25-034-02-05</v>
      </c>
    </row>
    <row r="1462" spans="2:9">
      <c r="B1462" s="85">
        <v>45681</v>
      </c>
      <c r="C1462" s="72" t="s">
        <v>4153</v>
      </c>
      <c r="D1462" s="33" t="s">
        <v>6891</v>
      </c>
      <c r="E1462" s="69" t="str">
        <f>RIGHT(บันทึกนำเข้าDrawing[[#This Row],[Drawing No]],1)</f>
        <v>5</v>
      </c>
      <c r="F1462" s="68" t="s">
        <v>6892</v>
      </c>
      <c r="G1462" s="118" t="s">
        <v>4027</v>
      </c>
      <c r="H1462" s="80">
        <v>45747</v>
      </c>
      <c r="I1462" s="29" t="str">
        <f>CONCATENATE(บันทึกนำเข้าDrawing[[#This Row],[Part No]],"+",บันทึกนำเข้าDrawing[[#This Row],[Drawing No]])</f>
        <v>2B25-335-00+DR-TW-2B25-034-02-05</v>
      </c>
    </row>
    <row r="1463" spans="2:9">
      <c r="B1463" s="85">
        <v>45681</v>
      </c>
      <c r="C1463" s="72" t="s">
        <v>4153</v>
      </c>
      <c r="D1463" s="33" t="s">
        <v>6894</v>
      </c>
      <c r="E1463" s="69" t="str">
        <f>RIGHT(บันทึกนำเข้าDrawing[[#This Row],[Drawing No]],1)</f>
        <v>5</v>
      </c>
      <c r="F1463" s="55" t="s">
        <v>6895</v>
      </c>
      <c r="G1463" s="118" t="s">
        <v>3779</v>
      </c>
      <c r="H1463" s="80"/>
      <c r="I1463" s="29" t="str">
        <f>CONCATENATE(บันทึกนำเข้าDrawing[[#This Row],[Part No]],"+",บันทึกนำเข้าDrawing[[#This Row],[Drawing No]])</f>
        <v>2B48-002-01+DR-TW-2B25-034-02-05</v>
      </c>
    </row>
    <row r="1464" spans="2:9">
      <c r="B1464" s="85">
        <v>45705</v>
      </c>
      <c r="C1464" s="72" t="s">
        <v>4153</v>
      </c>
      <c r="D1464" s="33" t="s">
        <v>2027</v>
      </c>
      <c r="E1464" s="69" t="str">
        <f>RIGHT(บันทึกนำเข้าDrawing[[#This Row],[Drawing No]],1)</f>
        <v>5</v>
      </c>
      <c r="F1464" s="55" t="s">
        <v>6897</v>
      </c>
      <c r="G1464" s="118" t="s">
        <v>3772</v>
      </c>
      <c r="H1464" s="80"/>
      <c r="I1464" s="29" t="str">
        <f>CONCATENATE(บันทึกนำเข้าDrawing[[#This Row],[Part No]],"+",บันทึกนำเข้าDrawing[[#This Row],[Drawing No]])</f>
        <v>2B48-006-00+DR-TW-2B25-034-02-05</v>
      </c>
    </row>
    <row r="1465" spans="2:9">
      <c r="B1465" s="85">
        <v>45688</v>
      </c>
      <c r="C1465" s="72" t="s">
        <v>4153</v>
      </c>
      <c r="D1465" s="33" t="s">
        <v>6723</v>
      </c>
      <c r="E1465" s="69" t="str">
        <f>RIGHT(บันทึกนำเข้าDrawing[[#This Row],[Drawing No]],1)</f>
        <v>5</v>
      </c>
      <c r="F1465" s="68" t="s">
        <v>5148</v>
      </c>
      <c r="G1465" s="118" t="s">
        <v>3779</v>
      </c>
      <c r="H1465" s="80"/>
      <c r="I1465" s="29" t="str">
        <f>CONCATENATE(บันทึกนำเข้าDrawing[[#This Row],[Part No]],"+",บันทึกนำเข้าDrawing[[#This Row],[Drawing No]])</f>
        <v>2B26-191-01+DR-TW-2B25-034-02-05</v>
      </c>
    </row>
    <row r="1466" spans="2:9">
      <c r="B1466" s="85">
        <v>45702</v>
      </c>
      <c r="C1466" s="72" t="s">
        <v>4153</v>
      </c>
      <c r="D1466" s="33" t="s">
        <v>6900</v>
      </c>
      <c r="E1466" s="69" t="str">
        <f>RIGHT(บันทึกนำเข้าDrawing[[#This Row],[Drawing No]],1)</f>
        <v>5</v>
      </c>
      <c r="F1466" s="68" t="s">
        <v>6901</v>
      </c>
      <c r="G1466" s="118" t="s">
        <v>4027</v>
      </c>
      <c r="H1466" s="80"/>
      <c r="I1466" s="29" t="str">
        <f>CONCATENATE(บันทึกนำเข้าDrawing[[#This Row],[Part No]],"+",บันทึกนำเข้าDrawing[[#This Row],[Drawing No]])</f>
        <v>2B19J155-00+DR-TW-2B25-034-02-05</v>
      </c>
    </row>
    <row r="1467" spans="2:9">
      <c r="B1467" s="85">
        <v>45705</v>
      </c>
      <c r="C1467" s="72" t="s">
        <v>4153</v>
      </c>
      <c r="D1467" s="33" t="s">
        <v>6910</v>
      </c>
      <c r="E1467" s="69" t="str">
        <f>RIGHT(บันทึกนำเข้าDrawing[[#This Row],[Drawing No]],1)</f>
        <v>5</v>
      </c>
      <c r="F1467" s="251" t="s">
        <v>6911</v>
      </c>
      <c r="G1467" s="120" t="s">
        <v>3779</v>
      </c>
      <c r="H1467" s="80"/>
      <c r="I1467" s="29" t="str">
        <f>CONCATENATE(บันทึกนำเข้าDrawing[[#This Row],[Part No]],"+",บันทึกนำเข้าDrawing[[#This Row],[Drawing No]])</f>
        <v>2B94-092-03+DR-TW-2B25-034-02-05</v>
      </c>
    </row>
    <row r="1468" spans="2:9">
      <c r="B1468" s="85">
        <v>45705</v>
      </c>
      <c r="C1468" s="72" t="s">
        <v>4153</v>
      </c>
      <c r="D1468" s="33" t="s">
        <v>6913</v>
      </c>
      <c r="E1468" s="69" t="str">
        <f>RIGHT(บันทึกนำเข้าDrawing[[#This Row],[Drawing No]],1)</f>
        <v>5</v>
      </c>
      <c r="F1468" s="68" t="s">
        <v>4788</v>
      </c>
      <c r="G1468" s="118" t="s">
        <v>3779</v>
      </c>
      <c r="H1468" s="80"/>
      <c r="I1468" s="29" t="str">
        <f>CONCATENATE(บันทึกนำเข้าDrawing[[#This Row],[Part No]],"+",บันทึกนำเข้าDrawing[[#This Row],[Drawing No]])</f>
        <v>2B94-051-01+DR-TW-2B25-034-02-05</v>
      </c>
    </row>
    <row r="1469" spans="2:9">
      <c r="B1469" s="85">
        <v>45705</v>
      </c>
      <c r="C1469" s="72" t="s">
        <v>4153</v>
      </c>
      <c r="D1469" s="33" t="s">
        <v>6915</v>
      </c>
      <c r="E1469" s="69" t="str">
        <f>RIGHT(บันทึกนำเข้าDrawing[[#This Row],[Drawing No]],1)</f>
        <v>5</v>
      </c>
      <c r="F1469" s="68" t="s">
        <v>6424</v>
      </c>
      <c r="G1469" s="118" t="s">
        <v>3779</v>
      </c>
      <c r="H1469" s="80"/>
      <c r="I1469" s="29" t="str">
        <f>CONCATENATE(บันทึกนำเข้าDrawing[[#This Row],[Part No]],"+",บันทึกนำเข้าDrawing[[#This Row],[Drawing No]])</f>
        <v>2B94-031-01+DR-TW-2B25-034-02-05</v>
      </c>
    </row>
    <row r="1470" spans="2:9">
      <c r="B1470" s="85">
        <v>45726</v>
      </c>
      <c r="C1470" s="72" t="s">
        <v>4153</v>
      </c>
      <c r="D1470" s="33" t="s">
        <v>6919</v>
      </c>
      <c r="E1470" s="69" t="str">
        <f>RIGHT(บันทึกนำเข้าDrawing[[#This Row],[Drawing No]],1)</f>
        <v>5</v>
      </c>
      <c r="F1470" s="68" t="s">
        <v>6916</v>
      </c>
      <c r="G1470" s="118" t="s">
        <v>3772</v>
      </c>
      <c r="H1470" s="80"/>
      <c r="I1470" s="29" t="str">
        <f>CONCATENATE(บันทึกนำเข้าDrawing[[#This Row],[Part No]],"+",บันทึกนำเข้าDrawing[[#This Row],[Drawing No]])</f>
        <v>2B94-170-00+DR-TW-2B25-034-02-05</v>
      </c>
    </row>
    <row r="1471" spans="2:9">
      <c r="B1471" s="85">
        <v>45602</v>
      </c>
      <c r="C1471" s="72" t="s">
        <v>4153</v>
      </c>
      <c r="D1471" s="33" t="s">
        <v>6788</v>
      </c>
      <c r="E1471" s="69" t="str">
        <f>RIGHT(บันทึกนำเข้าDrawing[[#This Row],[Drawing No]],1)</f>
        <v>5</v>
      </c>
      <c r="F1471" s="84" t="s">
        <v>1776</v>
      </c>
      <c r="G1471" s="120" t="s">
        <v>4521</v>
      </c>
      <c r="H1471" s="80"/>
      <c r="I1471" s="29" t="str">
        <f>CONCATENATE(บันทึกนำเข้าDrawing[[#This Row],[Part No]],"+",บันทึกนำเข้าDrawing[[#This Row],[Drawing No]])</f>
        <v>2B69M644-00+DR-TW-2B25-034-02-05</v>
      </c>
    </row>
    <row r="1472" spans="2:9">
      <c r="B1472" s="85"/>
      <c r="C1472" s="72" t="s">
        <v>4153</v>
      </c>
      <c r="D1472" s="33" t="s">
        <v>6623</v>
      </c>
      <c r="E1472" s="69" t="str">
        <f>RIGHT(บันทึกนำเข้าDrawing[[#This Row],[Drawing No]],1)</f>
        <v>5</v>
      </c>
      <c r="F1472" s="68" t="s">
        <v>6624</v>
      </c>
      <c r="G1472" s="118" t="s">
        <v>4027</v>
      </c>
      <c r="H1472" s="80">
        <v>45505</v>
      </c>
      <c r="I1472" s="29" t="str">
        <f>CONCATENATE(บันทึกนำเข้าDrawing[[#This Row],[Part No]],"+",บันทึกนำเข้าDrawing[[#This Row],[Drawing No]])</f>
        <v>2B27-059-00+DR-TW-2B25-034-02-05</v>
      </c>
    </row>
    <row r="1473" spans="2:9">
      <c r="B1473" s="85">
        <v>45728</v>
      </c>
      <c r="C1473" s="72" t="s">
        <v>4153</v>
      </c>
      <c r="D1473" s="33" t="s">
        <v>6967</v>
      </c>
      <c r="E1473" s="69" t="str">
        <f>RIGHT(บันทึกนำเข้าDrawing[[#This Row],[Drawing No]],1)</f>
        <v>5</v>
      </c>
      <c r="F1473" s="68" t="s">
        <v>6968</v>
      </c>
      <c r="G1473" s="118" t="s">
        <v>4521</v>
      </c>
      <c r="H1473" s="80"/>
      <c r="I1473" s="29" t="str">
        <f>CONCATENATE(บันทึกนำเข้าDrawing[[#This Row],[Part No]],"+",บันทึกนำเข้าDrawing[[#This Row],[Drawing No]])</f>
        <v>2B69A131-00+DR-TW-2B25-034-02-05</v>
      </c>
    </row>
    <row r="1474" spans="2:9">
      <c r="B1474" s="85">
        <v>45324</v>
      </c>
      <c r="C1474" s="72" t="s">
        <v>4153</v>
      </c>
      <c r="D1474" s="33" t="s">
        <v>6038</v>
      </c>
      <c r="E1474" s="69" t="str">
        <f>RIGHT(บันทึกนำเข้าDrawing[[#This Row],[Drawing No]],1)</f>
        <v>5</v>
      </c>
      <c r="F1474" s="68" t="s">
        <v>6039</v>
      </c>
      <c r="G1474" s="118" t="s">
        <v>4521</v>
      </c>
      <c r="H1474" s="80"/>
      <c r="I1474" s="29" t="str">
        <f>CONCATENATE(บันทึกนำเข้าDrawing[[#This Row],[Part No]],"+",บันทึกนำเข้าDrawing[[#This Row],[Drawing No]])</f>
        <v>2B69A038-00+DR-TW-2B25-034-02-05</v>
      </c>
    </row>
    <row r="1475" spans="2:9">
      <c r="B1475" s="85">
        <v>45324</v>
      </c>
      <c r="C1475" s="72" t="s">
        <v>4153</v>
      </c>
      <c r="D1475" s="33" t="s">
        <v>6066</v>
      </c>
      <c r="E1475" s="69" t="str">
        <f>RIGHT(บันทึกนำเข้าDrawing[[#This Row],[Drawing No]],1)</f>
        <v>5</v>
      </c>
      <c r="F1475" s="68" t="s">
        <v>6040</v>
      </c>
      <c r="G1475" s="118" t="s">
        <v>4521</v>
      </c>
      <c r="H1475" s="80"/>
      <c r="I1475" s="29" t="str">
        <f>CONCATENATE(บันทึกนำเข้าDrawing[[#This Row],[Part No]],"+",บันทึกนำเข้าDrawing[[#This Row],[Drawing No]])</f>
        <v>2B69A037-00+DR-TW-2B25-034-02-05</v>
      </c>
    </row>
    <row r="1476" spans="2:9">
      <c r="B1476" s="85">
        <v>45605</v>
      </c>
      <c r="C1476" s="72" t="s">
        <v>4153</v>
      </c>
      <c r="D1476" s="33" t="s">
        <v>6803</v>
      </c>
      <c r="E1476" s="69" t="str">
        <f>RIGHT(บันทึกนำเข้าDrawing[[#This Row],[Drawing No]],1)</f>
        <v>5</v>
      </c>
      <c r="F1476" s="68" t="s">
        <v>6804</v>
      </c>
      <c r="G1476" s="118" t="s">
        <v>4521</v>
      </c>
      <c r="H1476" s="80"/>
      <c r="I1476" s="29" t="str">
        <f>CONCATENATE(บันทึกนำเข้าDrawing[[#This Row],[Part No]],"+",บันทึกนำเข้าDrawing[[#This Row],[Drawing No]])</f>
        <v>2B69M476-01+DR-TW-2B25-034-02-05</v>
      </c>
    </row>
    <row r="1477" spans="2:9">
      <c r="B1477" s="85">
        <v>45722</v>
      </c>
      <c r="C1477" s="72" t="s">
        <v>4153</v>
      </c>
      <c r="D1477" s="33" t="s">
        <v>6933</v>
      </c>
      <c r="E1477" s="69" t="str">
        <f>RIGHT(บันทึกนำเข้าDrawing[[#This Row],[Drawing No]],1)</f>
        <v>5</v>
      </c>
      <c r="F1477" s="68" t="s">
        <v>6925</v>
      </c>
      <c r="G1477" s="118" t="s">
        <v>3772</v>
      </c>
      <c r="H1477" s="80"/>
      <c r="I1477" s="29" t="str">
        <f>CONCATENATE(บันทึกนำเข้าDrawing[[#This Row],[Part No]],"+",บันทึกนำเข้าDrawing[[#This Row],[Drawing No]])</f>
        <v>2B26-440-00+DR-TW-2B25-034-02-05</v>
      </c>
    </row>
    <row r="1478" spans="2:9">
      <c r="B1478" s="85">
        <v>45702</v>
      </c>
      <c r="C1478" s="72" t="s">
        <v>4153</v>
      </c>
      <c r="D1478" s="33" t="s">
        <v>6934</v>
      </c>
      <c r="E1478" s="69" t="str">
        <f>RIGHT(บันทึกนำเข้าDrawing[[#This Row],[Drawing No]],1)</f>
        <v>5</v>
      </c>
      <c r="F1478" s="68" t="s">
        <v>6935</v>
      </c>
      <c r="G1478" s="118" t="s">
        <v>3772</v>
      </c>
      <c r="H1478" s="80"/>
      <c r="I1478" s="29" t="str">
        <f>CONCATENATE(บันทึกนำเข้าDrawing[[#This Row],[Part No]],"+",บันทึกนำเข้าDrawing[[#This Row],[Drawing No]])</f>
        <v>2B19J120-00+DR-TW-2B25-034-02-05</v>
      </c>
    </row>
    <row r="1479" spans="2:9">
      <c r="B1479" s="85">
        <v>45702</v>
      </c>
      <c r="C1479" s="72" t="s">
        <v>4153</v>
      </c>
      <c r="D1479" s="33" t="s">
        <v>6936</v>
      </c>
      <c r="E1479" s="69" t="str">
        <f>RIGHT(บันทึกนำเข้าDrawing[[#This Row],[Drawing No]],1)</f>
        <v>5</v>
      </c>
      <c r="F1479" s="68" t="s">
        <v>6937</v>
      </c>
      <c r="G1479" s="118" t="s">
        <v>3772</v>
      </c>
      <c r="H1479" s="80"/>
      <c r="I1479" s="29" t="str">
        <f>CONCATENATE(บันทึกนำเข้าDrawing[[#This Row],[Part No]],"+",บันทึกนำเข้าDrawing[[#This Row],[Drawing No]])</f>
        <v>2B19J130-00+DR-TW-2B25-034-02-05</v>
      </c>
    </row>
    <row r="1480" spans="2:9">
      <c r="B1480" s="85">
        <v>45702</v>
      </c>
      <c r="C1480" s="72" t="s">
        <v>4153</v>
      </c>
      <c r="D1480" s="33" t="s">
        <v>6938</v>
      </c>
      <c r="E1480" s="69" t="str">
        <f>RIGHT(บันทึกนำเข้าDrawing[[#This Row],[Drawing No]],1)</f>
        <v>5</v>
      </c>
      <c r="F1480" s="68" t="s">
        <v>6939</v>
      </c>
      <c r="G1480" s="118" t="s">
        <v>3772</v>
      </c>
      <c r="H1480" s="80"/>
      <c r="I1480" s="29" t="str">
        <f>CONCATENATE(บันทึกนำเข้าDrawing[[#This Row],[Part No]],"+",บันทึกนำเข้าDrawing[[#This Row],[Drawing No]])</f>
        <v>2B19J145-00+DR-TW-2B25-034-02-05</v>
      </c>
    </row>
    <row r="1481" spans="2:9">
      <c r="B1481" s="85">
        <v>45702</v>
      </c>
      <c r="C1481" s="72" t="s">
        <v>4153</v>
      </c>
      <c r="D1481" s="33" t="s">
        <v>6940</v>
      </c>
      <c r="E1481" s="69" t="str">
        <f>RIGHT(บันทึกนำเข้าDrawing[[#This Row],[Drawing No]],1)</f>
        <v>5</v>
      </c>
      <c r="F1481" s="68" t="s">
        <v>6941</v>
      </c>
      <c r="G1481" s="118" t="s">
        <v>3772</v>
      </c>
      <c r="H1481" s="80"/>
      <c r="I1481" s="29" t="str">
        <f>CONCATENATE(บันทึกนำเข้าDrawing[[#This Row],[Part No]],"+",บันทึกนำเข้าDrawing[[#This Row],[Drawing No]])</f>
        <v>2B19J150-00+DR-TW-2B25-034-02-05</v>
      </c>
    </row>
    <row r="1482" spans="2:9">
      <c r="B1482" s="85">
        <v>45387</v>
      </c>
      <c r="C1482" s="72" t="s">
        <v>4153</v>
      </c>
      <c r="D1482" s="33" t="s">
        <v>6387</v>
      </c>
      <c r="E1482" s="69" t="str">
        <f>RIGHT(บันทึกนำเข้าDrawing[[#This Row],[Drawing No]],1)</f>
        <v>5</v>
      </c>
      <c r="F1482" s="68" t="s">
        <v>6388</v>
      </c>
      <c r="G1482" s="118" t="s">
        <v>4521</v>
      </c>
      <c r="H1482" s="80"/>
      <c r="I1482" s="29" t="str">
        <f>CONCATENATE(บันทึกนำเข้าDrawing[[#This Row],[Part No]],"+",บันทึกนำเข้าDrawing[[#This Row],[Drawing No]])</f>
        <v>2B69M548-00+DR-TW-2B25-034-02-05</v>
      </c>
    </row>
    <row r="1483" spans="2:9">
      <c r="B1483" s="85">
        <v>45728</v>
      </c>
      <c r="C1483" s="72" t="s">
        <v>4153</v>
      </c>
      <c r="D1483" s="33" t="s">
        <v>6962</v>
      </c>
      <c r="E1483" s="69" t="str">
        <f>RIGHT(บันทึกนำเข้าDrawing[[#This Row],[Drawing No]],1)</f>
        <v>5</v>
      </c>
      <c r="F1483" s="68" t="s">
        <v>6963</v>
      </c>
      <c r="G1483" s="118" t="s">
        <v>4521</v>
      </c>
      <c r="H1483" s="80"/>
      <c r="I1483" s="29" t="str">
        <f>CONCATENATE(บันทึกนำเข้าDrawing[[#This Row],[Part No]],"+",บันทึกนำเข้าDrawing[[#This Row],[Drawing No]])</f>
        <v>2B69A129-00+DR-TW-2B25-034-02-05</v>
      </c>
    </row>
    <row r="1484" spans="2:9">
      <c r="B1484" s="85">
        <v>45352</v>
      </c>
      <c r="C1484" s="72" t="s">
        <v>4153</v>
      </c>
      <c r="D1484" s="33" t="s">
        <v>6221</v>
      </c>
      <c r="E1484" s="69" t="str">
        <f>RIGHT(บันทึกนำเข้าDrawing[[#This Row],[Drawing No]],1)</f>
        <v>5</v>
      </c>
      <c r="F1484" s="68" t="s">
        <v>6222</v>
      </c>
      <c r="G1484" s="118" t="s">
        <v>4521</v>
      </c>
      <c r="H1484" s="80"/>
      <c r="I1484" s="29" t="str">
        <f>CONCATENATE(บันทึกนำเข้าDrawing[[#This Row],[Part No]],"+",บันทึกนำเข้าDrawing[[#This Row],[Drawing No]])</f>
        <v>2B69M536-00+DR-TW-2B25-034-02-05</v>
      </c>
    </row>
    <row r="1485" spans="2:9">
      <c r="B1485" s="85">
        <v>45380</v>
      </c>
      <c r="C1485" s="72" t="s">
        <v>4153</v>
      </c>
      <c r="D1485" s="33" t="s">
        <v>6338</v>
      </c>
      <c r="E1485" s="69" t="str">
        <f>RIGHT(บันทึกนำเข้าDrawing[[#This Row],[Drawing No]],1)</f>
        <v>5</v>
      </c>
      <c r="F1485" s="68" t="s">
        <v>6339</v>
      </c>
      <c r="G1485" s="118" t="s">
        <v>4521</v>
      </c>
      <c r="H1485" s="80"/>
      <c r="I1485" s="29" t="str">
        <f>CONCATENATE(บันทึกนำเข้าDrawing[[#This Row],[Part No]],"+",บันทึกนำเข้าDrawing[[#This Row],[Drawing No]])</f>
        <v>2B69M557-00+DR-TW-2B25-034-02-05</v>
      </c>
    </row>
    <row r="1486" spans="2:9">
      <c r="B1486" s="85">
        <v>45442</v>
      </c>
      <c r="C1486" s="72" t="s">
        <v>4153</v>
      </c>
      <c r="D1486" s="33" t="s">
        <v>6525</v>
      </c>
      <c r="E1486" s="69" t="str">
        <f>RIGHT(บันทึกนำเข้าDrawing[[#This Row],[Drawing No]],1)</f>
        <v>5</v>
      </c>
      <c r="F1486" s="68" t="s">
        <v>6526</v>
      </c>
      <c r="G1486" s="118" t="s">
        <v>4521</v>
      </c>
      <c r="H1486" s="80"/>
      <c r="I1486" s="29" t="str">
        <f>CONCATENATE(บันทึกนำเข้าDrawing[[#This Row],[Part No]],"+",บันทึกนำเข้าDrawing[[#This Row],[Drawing No]])</f>
        <v>2B69A039-01+DR-TW-2B25-034-02-05</v>
      </c>
    </row>
    <row r="1487" spans="2:9">
      <c r="B1487" s="85">
        <v>45728</v>
      </c>
      <c r="C1487" s="72" t="s">
        <v>7050</v>
      </c>
      <c r="D1487" s="33" t="s">
        <v>6956</v>
      </c>
      <c r="E1487" s="69" t="str">
        <f>RIGHT(บันทึกนำเข้าDrawing[[#This Row],[Drawing No]],1)</f>
        <v>0</v>
      </c>
      <c r="F1487" s="68" t="s">
        <v>6957</v>
      </c>
      <c r="G1487" s="118" t="s">
        <v>4521</v>
      </c>
      <c r="H1487" s="80"/>
      <c r="I1487" s="29" t="str">
        <f>CONCATENATE(บันทึกนำเข้าDrawing[[#This Row],[Part No]],"+",บันทึกนำเข้าDrawing[[#This Row],[Drawing No]])</f>
        <v>2B69A127-00+DR-TW-2B69A127-00-00</v>
      </c>
    </row>
    <row r="1488" spans="2:9">
      <c r="B1488" s="85"/>
      <c r="C1488" s="72" t="s">
        <v>4153</v>
      </c>
      <c r="D1488" s="33" t="s">
        <v>6628</v>
      </c>
      <c r="E1488" s="69" t="str">
        <f>RIGHT(บันทึกนำเข้าDrawing[[#This Row],[Drawing No]],1)</f>
        <v>5</v>
      </c>
      <c r="F1488" s="68" t="s">
        <v>6629</v>
      </c>
      <c r="G1488" s="118" t="s">
        <v>4029</v>
      </c>
      <c r="H1488" s="80">
        <v>45496</v>
      </c>
      <c r="I1488" s="29" t="str">
        <f>CONCATENATE(บันทึกนำเข้าDrawing[[#This Row],[Part No]],"+",บันทึกนำเข้าDrawing[[#This Row],[Drawing No]])</f>
        <v>2B27-186-00+DR-TW-2B25-034-02-05</v>
      </c>
    </row>
    <row r="1489" spans="2:9">
      <c r="B1489" s="85">
        <v>45633</v>
      </c>
      <c r="C1489" s="72" t="s">
        <v>4153</v>
      </c>
      <c r="D1489" s="33" t="s">
        <v>6841</v>
      </c>
      <c r="E1489" s="69" t="str">
        <f>RIGHT(บันทึกนำเข้าDrawing[[#This Row],[Drawing No]],1)</f>
        <v>5</v>
      </c>
      <c r="F1489" s="68" t="s">
        <v>6843</v>
      </c>
      <c r="G1489" s="118" t="s">
        <v>4521</v>
      </c>
      <c r="H1489" s="80"/>
      <c r="I1489" s="29" t="str">
        <f>CONCATENATE(บันทึกนำเข้าDrawing[[#This Row],[Part No]],"+",บันทึกนำเข้าDrawing[[#This Row],[Drawing No]])</f>
        <v>2B69M653-00-8+DR-TW-2B25-034-02-05</v>
      </c>
    </row>
    <row r="1490" spans="2:9">
      <c r="B1490" s="85">
        <v>45442</v>
      </c>
      <c r="C1490" s="72" t="s">
        <v>4153</v>
      </c>
      <c r="D1490" s="33" t="s">
        <v>6527</v>
      </c>
      <c r="E1490" s="69" t="str">
        <f>RIGHT(บันทึกนำเข้าDrawing[[#This Row],[Drawing No]],1)</f>
        <v>5</v>
      </c>
      <c r="F1490" s="22" t="s">
        <v>6528</v>
      </c>
      <c r="G1490" s="118" t="s">
        <v>4521</v>
      </c>
      <c r="H1490" s="80"/>
      <c r="I1490" s="29" t="str">
        <f>CONCATENATE(บันทึกนำเข้าDrawing[[#This Row],[Part No]],"+",บันทึกนำเข้าDrawing[[#This Row],[Drawing No]])</f>
        <v>2B69A053-00+DR-TW-2B25-034-02-05</v>
      </c>
    </row>
    <row r="1491" spans="2:9">
      <c r="B1491" s="85">
        <v>45728</v>
      </c>
      <c r="C1491" s="72" t="s">
        <v>4153</v>
      </c>
      <c r="D1491" s="33" t="s">
        <v>6959</v>
      </c>
      <c r="E1491" s="69" t="str">
        <f>RIGHT(บันทึกนำเข้าDrawing[[#This Row],[Drawing No]],1)</f>
        <v>5</v>
      </c>
      <c r="F1491" s="68" t="s">
        <v>6960</v>
      </c>
      <c r="G1491" s="118" t="s">
        <v>4521</v>
      </c>
      <c r="H1491" s="80"/>
      <c r="I1491" s="29" t="str">
        <f>CONCATENATE(บันทึกนำเข้าDrawing[[#This Row],[Part No]],"+",บันทึกนำเข้าDrawing[[#This Row],[Drawing No]])</f>
        <v>2B69A128-00+DR-TW-2B25-034-02-05</v>
      </c>
    </row>
    <row r="1492" spans="2:9">
      <c r="B1492" s="85">
        <v>45728</v>
      </c>
      <c r="C1492" s="72" t="s">
        <v>4153</v>
      </c>
      <c r="D1492" s="33" t="s">
        <v>6979</v>
      </c>
      <c r="E1492" s="69" t="str">
        <f>RIGHT(บันทึกนำเข้าDrawing[[#This Row],[Drawing No]],1)</f>
        <v>5</v>
      </c>
      <c r="F1492" s="68" t="s">
        <v>6980</v>
      </c>
      <c r="G1492" s="118" t="s">
        <v>4521</v>
      </c>
      <c r="H1492" s="80"/>
      <c r="I1492" s="29" t="str">
        <f>CONCATENATE(บันทึกนำเข้าDrawing[[#This Row],[Part No]],"+",บันทึกนำเข้าDrawing[[#This Row],[Drawing No]])</f>
        <v>2B69A132-00+DR-TW-2B25-034-02-05</v>
      </c>
    </row>
    <row r="1493" spans="2:9">
      <c r="B1493" s="85">
        <v>45738</v>
      </c>
      <c r="C1493" s="72" t="s">
        <v>4153</v>
      </c>
      <c r="D1493" s="33" t="s">
        <v>6984</v>
      </c>
      <c r="E1493" s="69" t="str">
        <f>RIGHT(บันทึกนำเข้าDrawing[[#This Row],[Drawing No]],1)</f>
        <v>5</v>
      </c>
      <c r="F1493" s="68" t="s">
        <v>6985</v>
      </c>
      <c r="G1493" s="118" t="s">
        <v>4521</v>
      </c>
      <c r="H1493" s="80"/>
      <c r="I1493" s="29" t="str">
        <f>CONCATENATE(บันทึกนำเข้าDrawing[[#This Row],[Part No]],"+",บันทึกนำเข้าDrawing[[#This Row],[Drawing No]])</f>
        <v>2B69A141-00+DR-TW-2B25-034-02-05</v>
      </c>
    </row>
    <row r="1494" spans="2:9">
      <c r="B1494" s="85">
        <v>45726</v>
      </c>
      <c r="C1494" s="72" t="s">
        <v>4153</v>
      </c>
      <c r="D1494" s="33" t="s">
        <v>6990</v>
      </c>
      <c r="E1494" s="69" t="str">
        <f>RIGHT(บันทึกนำเข้าDrawing[[#This Row],[Drawing No]],1)</f>
        <v>5</v>
      </c>
      <c r="F1494" s="68" t="s">
        <v>6928</v>
      </c>
      <c r="G1494" s="118" t="s">
        <v>3772</v>
      </c>
      <c r="H1494" s="80"/>
      <c r="I1494" s="29" t="str">
        <f>CONCATENATE(บันทึกนำเข้าDrawing[[#This Row],[Part No]],"+",บันทึกนำเข้าDrawing[[#This Row],[Drawing No]])</f>
        <v>2B26-441-00+DR-TW-2B25-034-02-05</v>
      </c>
    </row>
    <row r="1495" spans="2:9">
      <c r="B1495" s="85">
        <v>45726</v>
      </c>
      <c r="C1495" s="72" t="s">
        <v>4153</v>
      </c>
      <c r="D1495" s="33" t="s">
        <v>6992</v>
      </c>
      <c r="E1495" s="69" t="str">
        <f>RIGHT(บันทึกนำเข้าDrawing[[#This Row],[Drawing No]],1)</f>
        <v>5</v>
      </c>
      <c r="F1495" s="68" t="s">
        <v>6931</v>
      </c>
      <c r="G1495" s="118" t="s">
        <v>3772</v>
      </c>
      <c r="H1495" s="80"/>
      <c r="I1495" s="29" t="str">
        <f>CONCATENATE(บันทึกนำเข้าDrawing[[#This Row],[Part No]],"+",บันทึกนำเข้าDrawing[[#This Row],[Drawing No]])</f>
        <v>2B26-442-00+DR-TW-2B25-034-02-05</v>
      </c>
    </row>
    <row r="1496" spans="2:9">
      <c r="B1496" s="85">
        <v>45728</v>
      </c>
      <c r="C1496" s="72" t="s">
        <v>4153</v>
      </c>
      <c r="D1496" s="33" t="s">
        <v>6994</v>
      </c>
      <c r="E1496" s="69" t="str">
        <f>RIGHT(บันทึกนำเข้าDrawing[[#This Row],[Drawing No]],1)</f>
        <v>5</v>
      </c>
      <c r="F1496" s="68" t="s">
        <v>6995</v>
      </c>
      <c r="G1496" s="118" t="s">
        <v>3772</v>
      </c>
      <c r="H1496" s="80"/>
      <c r="I1496" s="29" t="str">
        <f>CONCATENATE(บันทึกนำเข้าDrawing[[#This Row],[Part No]],"+",บันทึกนำเข้าDrawing[[#This Row],[Drawing No]])</f>
        <v>2B27-087-00+DR-TW-2B25-034-02-05</v>
      </c>
    </row>
    <row r="1497" spans="2:9">
      <c r="B1497" s="85">
        <v>45728</v>
      </c>
      <c r="C1497" s="72" t="s">
        <v>4153</v>
      </c>
      <c r="D1497" s="33" t="s">
        <v>6997</v>
      </c>
      <c r="E1497" s="69" t="str">
        <f>RIGHT(บันทึกนำเข้าDrawing[[#This Row],[Drawing No]],1)</f>
        <v>5</v>
      </c>
      <c r="F1497" s="68" t="s">
        <v>6998</v>
      </c>
      <c r="G1497" s="118" t="s">
        <v>3772</v>
      </c>
      <c r="H1497" s="80"/>
      <c r="I1497" s="29" t="str">
        <f>CONCATENATE(บันทึกนำเข้าDrawing[[#This Row],[Part No]],"+",บันทึกนำเข้าDrawing[[#This Row],[Drawing No]])</f>
        <v>2B27-155-00+DR-TW-2B25-034-02-05</v>
      </c>
    </row>
    <row r="1498" spans="2:9">
      <c r="B1498" s="85">
        <v>45728</v>
      </c>
      <c r="C1498" s="72" t="s">
        <v>4153</v>
      </c>
      <c r="D1498" s="33" t="s">
        <v>7000</v>
      </c>
      <c r="E1498" s="69" t="str">
        <f>RIGHT(บันทึกนำเข้าDrawing[[#This Row],[Drawing No]],1)</f>
        <v>5</v>
      </c>
      <c r="F1498" s="68" t="s">
        <v>6868</v>
      </c>
      <c r="G1498" s="118" t="s">
        <v>3772</v>
      </c>
      <c r="H1498" s="80"/>
      <c r="I1498" s="29" t="str">
        <f>CONCATENATE(บันทึกนำเข้าDrawing[[#This Row],[Part No]],"+",บันทึกนำเข้าDrawing[[#This Row],[Drawing No]])</f>
        <v>2B94-060-00+DR-TW-2B25-034-02-05</v>
      </c>
    </row>
    <row r="1499" spans="2:9">
      <c r="B1499" s="85">
        <v>45728</v>
      </c>
      <c r="C1499" s="72" t="s">
        <v>4153</v>
      </c>
      <c r="D1499" s="33" t="s">
        <v>7002</v>
      </c>
      <c r="E1499" s="69" t="str">
        <f>RIGHT(บันทึกนำเข้าDrawing[[#This Row],[Drawing No]],1)</f>
        <v>5</v>
      </c>
      <c r="F1499" s="68" t="s">
        <v>7003</v>
      </c>
      <c r="G1499" s="118" t="s">
        <v>3772</v>
      </c>
      <c r="H1499" s="80"/>
      <c r="I1499" s="29" t="str">
        <f>CONCATENATE(บันทึกนำเข้าDrawing[[#This Row],[Part No]],"+",บันทึกนำเข้าDrawing[[#This Row],[Drawing No]])</f>
        <v>2B94-070-00+DR-TW-2B25-034-02-05</v>
      </c>
    </row>
    <row r="1500" spans="2:9">
      <c r="B1500" s="85">
        <v>45734</v>
      </c>
      <c r="C1500" s="72" t="s">
        <v>4153</v>
      </c>
      <c r="D1500" s="33" t="s">
        <v>7005</v>
      </c>
      <c r="E1500" s="69" t="str">
        <f>RIGHT(บันทึกนำเข้าDrawing[[#This Row],[Drawing No]],1)</f>
        <v>5</v>
      </c>
      <c r="F1500" s="68" t="s">
        <v>7006</v>
      </c>
      <c r="G1500" s="118" t="s">
        <v>4521</v>
      </c>
      <c r="H1500" s="80"/>
      <c r="I1500" s="29" t="str">
        <f>CONCATENATE(บันทึกนำเข้าDrawing[[#This Row],[Part No]],"+",บันทึกนำเข้าDrawing[[#This Row],[Drawing No]])</f>
        <v>2B69A140-00+DR-TW-2B25-034-02-05</v>
      </c>
    </row>
    <row r="1501" spans="2:9">
      <c r="B1501" s="85">
        <v>45734</v>
      </c>
      <c r="C1501" s="72" t="s">
        <v>4153</v>
      </c>
      <c r="D1501" s="33" t="s">
        <v>6964</v>
      </c>
      <c r="E1501" s="69" t="str">
        <f>RIGHT(บันทึกนำเข้าDrawing[[#This Row],[Drawing No]],1)</f>
        <v>5</v>
      </c>
      <c r="F1501" s="68" t="s">
        <v>7008</v>
      </c>
      <c r="G1501" s="118" t="s">
        <v>4521</v>
      </c>
      <c r="H1501" s="80"/>
      <c r="I1501" s="29" t="str">
        <f>CONCATENATE(บันทึกนำเข้าDrawing[[#This Row],[Part No]],"+",บันทึกนำเข้าDrawing[[#This Row],[Drawing No]])</f>
        <v>2B69A130-00+DR-TW-2B25-034-02-05</v>
      </c>
    </row>
    <row r="1502" spans="2:9">
      <c r="B1502" s="85">
        <v>45734</v>
      </c>
      <c r="C1502" s="72" t="s">
        <v>4153</v>
      </c>
      <c r="D1502" s="33" t="s">
        <v>7010</v>
      </c>
      <c r="E1502" s="69" t="str">
        <f>RIGHT(บันทึกนำเข้าDrawing[[#This Row],[Drawing No]],1)</f>
        <v>5</v>
      </c>
      <c r="F1502" s="68" t="s">
        <v>7011</v>
      </c>
      <c r="G1502" s="118" t="s">
        <v>3772</v>
      </c>
      <c r="H1502" s="80"/>
      <c r="I1502" s="29" t="str">
        <f>CONCATENATE(บันทึกนำเข้าDrawing[[#This Row],[Part No]],"+",บันทึกนำเข้าDrawing[[#This Row],[Drawing No]])</f>
        <v>2B25-422-00+DR-TW-2B25-034-02-05</v>
      </c>
    </row>
    <row r="1503" spans="2:9">
      <c r="B1503" s="85">
        <v>45734</v>
      </c>
      <c r="C1503" s="72" t="s">
        <v>4153</v>
      </c>
      <c r="D1503" s="33" t="s">
        <v>7013</v>
      </c>
      <c r="E1503" s="69" t="str">
        <f>RIGHT(บันทึกนำเข้าDrawing[[#This Row],[Drawing No]],1)</f>
        <v>5</v>
      </c>
      <c r="F1503" s="68" t="s">
        <v>7014</v>
      </c>
      <c r="G1503" s="118" t="s">
        <v>4027</v>
      </c>
      <c r="H1503" s="80"/>
      <c r="I1503" s="29" t="str">
        <f>CONCATENATE(บันทึกนำเข้าDrawing[[#This Row],[Part No]],"+",บันทึกนำเข้าDrawing[[#This Row],[Drawing No]])</f>
        <v>2B25-307-00+DR-TW-2B25-034-02-05</v>
      </c>
    </row>
    <row r="1504" spans="2:9">
      <c r="B1504" s="85">
        <v>45729</v>
      </c>
      <c r="C1504" s="72" t="s">
        <v>4153</v>
      </c>
      <c r="D1504" s="33" t="s">
        <v>7016</v>
      </c>
      <c r="E1504" s="69" t="str">
        <f>RIGHT(บันทึกนำเข้าDrawing[[#This Row],[Drawing No]],1)</f>
        <v>5</v>
      </c>
      <c r="F1504" s="68" t="s">
        <v>7017</v>
      </c>
      <c r="G1504" s="118" t="s">
        <v>4521</v>
      </c>
      <c r="H1504" s="80"/>
      <c r="I1504" s="29" t="str">
        <f>CONCATENATE(บันทึกนำเข้าDrawing[[#This Row],[Part No]],"+",บันทึกนำเข้าDrawing[[#This Row],[Drawing No]])</f>
        <v>2B69A142-00+DR-TW-2B25-034-02-05</v>
      </c>
    </row>
    <row r="1505" spans="2:9">
      <c r="B1505" s="85">
        <v>45748</v>
      </c>
      <c r="C1505" s="72" t="s">
        <v>4153</v>
      </c>
      <c r="D1505" s="33" t="s">
        <v>7024</v>
      </c>
      <c r="E1505" s="69" t="str">
        <f>RIGHT(บันทึกนำเข้าDrawing[[#This Row],[Drawing No]],1)</f>
        <v>5</v>
      </c>
      <c r="F1505" s="68" t="s">
        <v>7025</v>
      </c>
      <c r="G1505" s="118" t="s">
        <v>4521</v>
      </c>
      <c r="H1505" s="80"/>
      <c r="I1505" s="29" t="str">
        <f>CONCATENATE(บันทึกนำเข้าDrawing[[#This Row],[Part No]],"+",บันทึกนำเข้าDrawing[[#This Row],[Drawing No]])</f>
        <v>2B69M714-00+DR-TW-2B25-034-02-05</v>
      </c>
    </row>
    <row r="1506" spans="2:9">
      <c r="B1506" s="85">
        <v>45766</v>
      </c>
      <c r="C1506" s="72" t="s">
        <v>4153</v>
      </c>
      <c r="D1506" s="33" t="s">
        <v>2136</v>
      </c>
      <c r="E1506" s="69" t="str">
        <f>RIGHT(บันทึกนำเข้าDrawing[[#This Row],[Drawing No]],1)</f>
        <v>5</v>
      </c>
      <c r="F1506" s="68" t="s">
        <v>2734</v>
      </c>
      <c r="G1506" s="118" t="s">
        <v>3779</v>
      </c>
      <c r="H1506" s="80"/>
      <c r="I1506" s="29" t="str">
        <f>CONCATENATE(บันทึกนำเข้าDrawing[[#This Row],[Part No]],"+",บันทึกนำเข้าDrawing[[#This Row],[Drawing No]])</f>
        <v>2B48-211-00+DR-TW-2B25-034-02-05</v>
      </c>
    </row>
    <row r="1507" spans="2:9">
      <c r="B1507" s="85">
        <v>45771</v>
      </c>
      <c r="C1507" s="72" t="s">
        <v>4153</v>
      </c>
      <c r="D1507" s="33" t="s">
        <v>7028</v>
      </c>
      <c r="E1507" s="69" t="str">
        <f>RIGHT(บันทึกนำเข้าDrawing[[#This Row],[Drawing No]],1)</f>
        <v>5</v>
      </c>
      <c r="F1507" s="68" t="s">
        <v>6980</v>
      </c>
      <c r="G1507" s="118" t="s">
        <v>4521</v>
      </c>
      <c r="H1507" s="80"/>
      <c r="I1507" s="29" t="str">
        <f>CONCATENATE(บันทึกนำเข้าDrawing[[#This Row],[Part No]],"+",บันทึกนำเข้าDrawing[[#This Row],[Drawing No]])</f>
        <v>2B69A132-01+DR-TW-2B25-034-02-05</v>
      </c>
    </row>
    <row r="1508" spans="2:9">
      <c r="B1508" s="85">
        <v>45771</v>
      </c>
      <c r="C1508" s="72" t="s">
        <v>4153</v>
      </c>
      <c r="D1508" s="33" t="s">
        <v>7042</v>
      </c>
      <c r="E1508" s="69" t="str">
        <f>RIGHT(บันทึกนำเข้าDrawing[[#This Row],[Drawing No]],1)</f>
        <v>5</v>
      </c>
      <c r="F1508" s="68" t="s">
        <v>7017</v>
      </c>
      <c r="G1508" s="118" t="s">
        <v>4521</v>
      </c>
      <c r="H1508" s="80"/>
      <c r="I1508" s="29" t="str">
        <f>CONCATENATE(บันทึกนำเข้าDrawing[[#This Row],[Part No]],"+",บันทึกนำเข้าDrawing[[#This Row],[Drawing No]])</f>
        <v>2B69A142-01+DR-TW-2B25-034-02-05</v>
      </c>
    </row>
    <row r="1509" spans="2:9">
      <c r="B1509" s="85">
        <v>45779</v>
      </c>
      <c r="C1509" s="72" t="s">
        <v>4153</v>
      </c>
      <c r="D1509" s="33" t="s">
        <v>7044</v>
      </c>
      <c r="E1509" s="69" t="str">
        <f>RIGHT(บันทึกนำเข้าDrawing[[#This Row],[Drawing No]],1)</f>
        <v>5</v>
      </c>
      <c r="F1509" s="68" t="s">
        <v>7045</v>
      </c>
      <c r="G1509" s="118" t="s">
        <v>3779</v>
      </c>
      <c r="H1509" s="80"/>
      <c r="I1509" s="29" t="str">
        <f>CONCATENATE(บันทึกนำเข้าDrawing[[#This Row],[Part No]],"+",บันทึกนำเข้าDrawing[[#This Row],[Drawing No]])</f>
        <v>2B25-079-02+DR-TW-2B25-034-02-05</v>
      </c>
    </row>
    <row r="1510" spans="2:9">
      <c r="B1510" s="85">
        <v>45780</v>
      </c>
      <c r="C1510" s="72" t="s">
        <v>7049</v>
      </c>
      <c r="D1510" s="33" t="s">
        <v>7051</v>
      </c>
      <c r="E1510" s="69" t="str">
        <f>RIGHT(บันทึกนำเข้าDrawing[[#This Row],[Drawing No]],1)</f>
        <v>0</v>
      </c>
      <c r="F1510" s="68" t="s">
        <v>6957</v>
      </c>
      <c r="G1510" s="118" t="s">
        <v>4521</v>
      </c>
      <c r="H1510" s="80"/>
      <c r="I1510" s="29" t="str">
        <f>CONCATENATE(บันทึกนำเข้าDrawing[[#This Row],[Part No]],"+",บันทึกนำเข้าDrawing[[#This Row],[Drawing No]])</f>
        <v>2B69A127-01+DR-TW-2B69A127-01-00</v>
      </c>
    </row>
    <row r="1511" spans="2:9">
      <c r="B1511" s="85">
        <v>45748</v>
      </c>
      <c r="C1511" s="72" t="s">
        <v>7053</v>
      </c>
      <c r="D1511" s="33" t="s">
        <v>7054</v>
      </c>
      <c r="E1511" s="69" t="str">
        <f>RIGHT(บันทึกนำเข้าDrawing[[#This Row],[Drawing No]],1)</f>
        <v>0</v>
      </c>
      <c r="F1511" s="73" t="s">
        <v>4742</v>
      </c>
      <c r="G1511" s="118" t="s">
        <v>3772</v>
      </c>
      <c r="H1511" s="80"/>
      <c r="I1511" s="29" t="str">
        <f>CONCATENATE(บันทึกนำเข้าDrawing[[#This Row],[Part No]],"+",บันทึกนำเข้าDrawing[[#This Row],[Drawing No]])</f>
        <v>2B24B090-03+DR-TW-2B24B090-03-00</v>
      </c>
    </row>
    <row r="1512" spans="2:9">
      <c r="B1512" s="85">
        <v>45786</v>
      </c>
      <c r="C1512" s="72" t="s">
        <v>7057</v>
      </c>
      <c r="D1512" s="33" t="s">
        <v>819</v>
      </c>
      <c r="E1512" s="69" t="str">
        <f>RIGHT(บันทึกนำเข้าDrawing[[#This Row],[Drawing No]],1)</f>
        <v>0</v>
      </c>
      <c r="F1512" s="68" t="s">
        <v>2418</v>
      </c>
      <c r="G1512" s="118" t="s">
        <v>3779</v>
      </c>
      <c r="H1512" s="80"/>
      <c r="I1512" s="29" t="str">
        <f>CONCATENATE(บันทึกนำเข้าDrawing[[#This Row],[Part No]],"+",บันทึกนำเข้าDrawing[[#This Row],[Drawing No]])</f>
        <v>2B25-097-01+DR-TW-2B25-095-02-00</v>
      </c>
    </row>
    <row r="1513" spans="2:9">
      <c r="B1513" s="85">
        <v>45786</v>
      </c>
      <c r="C1513" s="72" t="s">
        <v>7058</v>
      </c>
      <c r="D1513" s="33" t="s">
        <v>7059</v>
      </c>
      <c r="E1513" s="69" t="str">
        <f>RIGHT(บันทึกนำเข้าDrawing[[#This Row],[Drawing No]],1)</f>
        <v>0</v>
      </c>
      <c r="F1513" s="68" t="s">
        <v>7060</v>
      </c>
      <c r="G1513" s="118" t="s">
        <v>4521</v>
      </c>
      <c r="H1513" s="80"/>
      <c r="I1513" s="29" t="str">
        <f>CONCATENATE(บันทึกนำเข้าDrawing[[#This Row],[Part No]],"+",บันทึกนำเข้าDrawing[[#This Row],[Drawing No]])</f>
        <v>2B69M712-00+DR-TW-2B69M712-00-00</v>
      </c>
    </row>
    <row r="1514" spans="2:9">
      <c r="B1514" s="85">
        <v>45786</v>
      </c>
      <c r="C1514" s="72" t="s">
        <v>7061</v>
      </c>
      <c r="D1514" s="33" t="s">
        <v>7062</v>
      </c>
      <c r="E1514" s="69" t="str">
        <f>RIGHT(บันทึกนำเข้าDrawing[[#This Row],[Drawing No]],1)</f>
        <v>0</v>
      </c>
      <c r="F1514" s="68" t="s">
        <v>7063</v>
      </c>
      <c r="G1514" s="118" t="s">
        <v>4521</v>
      </c>
      <c r="H1514" s="80"/>
      <c r="I1514" s="29" t="str">
        <f>CONCATENATE(บันทึกนำเข้าDrawing[[#This Row],[Part No]],"+",บันทึกนำเข้าDrawing[[#This Row],[Drawing No]])</f>
        <v>2B69M711-00+DR-TW-2B69M711-00-00</v>
      </c>
    </row>
    <row r="1515" spans="2:9">
      <c r="B1515" s="85">
        <v>45786</v>
      </c>
      <c r="C1515" s="72" t="s">
        <v>7064</v>
      </c>
      <c r="D1515" s="33" t="s">
        <v>7065</v>
      </c>
      <c r="E1515" s="69" t="str">
        <f>RIGHT(บันทึกนำเข้าDrawing[[#This Row],[Drawing No]],1)</f>
        <v>0</v>
      </c>
      <c r="F1515" s="68" t="s">
        <v>7066</v>
      </c>
      <c r="G1515" s="118" t="s">
        <v>4521</v>
      </c>
      <c r="H1515" s="80"/>
      <c r="I1515" s="29" t="str">
        <f>CONCATENATE(บันทึกนำเข้าDrawing[[#This Row],[Part No]],"+",บันทึกนำเข้าDrawing[[#This Row],[Drawing No]])</f>
        <v>2B69M710-00+DR-TW-2B69M710-00-00</v>
      </c>
    </row>
    <row r="1516" spans="2:9">
      <c r="B1516" s="85">
        <v>45786</v>
      </c>
      <c r="C1516" s="72" t="s">
        <v>7067</v>
      </c>
      <c r="D1516" s="33" t="s">
        <v>7068</v>
      </c>
      <c r="E1516" s="69" t="str">
        <f>RIGHT(บันทึกนำเข้าDrawing[[#This Row],[Drawing No]],1)</f>
        <v>0</v>
      </c>
      <c r="F1516" s="68" t="s">
        <v>7069</v>
      </c>
      <c r="G1516" s="118" t="s">
        <v>4521</v>
      </c>
      <c r="H1516" s="80"/>
      <c r="I1516" s="29" t="str">
        <f>CONCATENATE(บันทึกนำเข้าDrawing[[#This Row],[Part No]],"+",บันทึกนำเข้าDrawing[[#This Row],[Drawing No]])</f>
        <v>2B69M010-00+DR-TW-2B69M010-00-00</v>
      </c>
    </row>
    <row r="1517" spans="2:9">
      <c r="B1517" s="85">
        <v>45786</v>
      </c>
      <c r="C1517" s="72" t="s">
        <v>7070</v>
      </c>
      <c r="D1517" s="33" t="s">
        <v>7071</v>
      </c>
      <c r="E1517" s="69" t="str">
        <f>RIGHT(บันทึกนำเข้าDrawing[[#This Row],[Drawing No]],1)</f>
        <v>0</v>
      </c>
      <c r="F1517" s="68" t="s">
        <v>7072</v>
      </c>
      <c r="G1517" s="118" t="s">
        <v>4521</v>
      </c>
      <c r="H1517" s="80"/>
      <c r="I1517" s="29" t="str">
        <f>CONCATENATE(บันทึกนำเข้าDrawing[[#This Row],[Part No]],"+",บันทึกนำเข้าDrawing[[#This Row],[Drawing No]])</f>
        <v>2B69M002-00+DR-TW-2B69M002-00-00</v>
      </c>
    </row>
    <row r="1518" spans="2:9">
      <c r="B1518" s="85"/>
      <c r="C1518" s="72" t="s">
        <v>7074</v>
      </c>
      <c r="D1518" s="33" t="s">
        <v>6976</v>
      </c>
      <c r="E1518" s="69" t="str">
        <f>RIGHT(บันทึกนำเข้าDrawing[[#This Row],[Drawing No]],1)</f>
        <v>0</v>
      </c>
      <c r="F1518" s="84" t="s">
        <v>7075</v>
      </c>
      <c r="G1518" s="118" t="s">
        <v>4521</v>
      </c>
      <c r="H1518" s="80"/>
      <c r="I1518" s="29" t="str">
        <f>CONCATENATE(บันทึกนำเข้าDrawing[[#This Row],[Part No]],"+",บันทึกนำเข้าDrawing[[#This Row],[Drawing No]])</f>
        <v>2B69A138-00+DR-TW-2B69A138-01-00</v>
      </c>
    </row>
    <row r="1519" spans="2:9">
      <c r="B1519" s="85">
        <v>45790</v>
      </c>
      <c r="C1519" s="72" t="s">
        <v>7077</v>
      </c>
      <c r="D1519" s="33" t="s">
        <v>7078</v>
      </c>
      <c r="E1519" s="69" t="str">
        <f>RIGHT(บันทึกนำเข้าDrawing[[#This Row],[Drawing No]],1)</f>
        <v>8</v>
      </c>
      <c r="F1519" s="68" t="s">
        <v>7076</v>
      </c>
      <c r="G1519" s="118" t="s">
        <v>3779</v>
      </c>
      <c r="H1519" s="80"/>
      <c r="I1519" s="29" t="str">
        <f>CONCATENATE(บันทึกนำเข้าDrawing[[#This Row],[Part No]],"+",บันทึกนำเข้าDrawing[[#This Row],[Drawing No]])</f>
        <v>2B88-006-00+DR-TW-2B88-001-00-08</v>
      </c>
    </row>
    <row r="1525" spans="3:8">
      <c r="C1525" s="33" t="s">
        <v>4244</v>
      </c>
    </row>
    <row r="1527" spans="3:8">
      <c r="H1527" s="29"/>
    </row>
    <row r="1534" spans="3:8">
      <c r="F1534" s="29" t="s">
        <v>4244</v>
      </c>
    </row>
  </sheetData>
  <phoneticPr fontId="1" type="noConversion"/>
  <conditionalFormatting sqref="C374:C375 C321 C2:C285 C310 C314 C316 C342 C410:C414 C490:C502">
    <cfRule type="duplicateValues" dxfId="355" priority="724"/>
  </conditionalFormatting>
  <conditionalFormatting sqref="C449:C452">
    <cfRule type="duplicateValues" dxfId="354" priority="396"/>
  </conditionalFormatting>
  <conditionalFormatting sqref="C504:C583">
    <cfRule type="duplicateValues" dxfId="353" priority="807"/>
  </conditionalFormatting>
  <conditionalFormatting sqref="C543:C583">
    <cfRule type="duplicateValues" dxfId="352" priority="811"/>
  </conditionalFormatting>
  <conditionalFormatting sqref="C584:C627">
    <cfRule type="duplicateValues" dxfId="351" priority="830"/>
  </conditionalFormatting>
  <conditionalFormatting sqref="C587:C627">
    <cfRule type="duplicateValues" dxfId="350" priority="832"/>
  </conditionalFormatting>
  <conditionalFormatting sqref="C588:C627">
    <cfRule type="duplicateValues" dxfId="349" priority="834"/>
  </conditionalFormatting>
  <conditionalFormatting sqref="C589:C627">
    <cfRule type="duplicateValues" dxfId="348" priority="836"/>
  </conditionalFormatting>
  <conditionalFormatting sqref="C592">
    <cfRule type="duplicateValues" dxfId="347" priority="377"/>
  </conditionalFormatting>
  <conditionalFormatting sqref="C592:C627">
    <cfRule type="duplicateValues" dxfId="346" priority="840"/>
  </conditionalFormatting>
  <conditionalFormatting sqref="C613:C627">
    <cfRule type="duplicateValues" dxfId="345" priority="375"/>
  </conditionalFormatting>
  <conditionalFormatting sqref="C616:C627">
    <cfRule type="duplicateValues" dxfId="344" priority="374"/>
  </conditionalFormatting>
  <conditionalFormatting sqref="C635:C701">
    <cfRule type="duplicateValues" dxfId="343" priority="922"/>
  </conditionalFormatting>
  <conditionalFormatting sqref="C637:C701">
    <cfRule type="duplicateValues" dxfId="342" priority="924"/>
  </conditionalFormatting>
  <conditionalFormatting sqref="C654:C701">
    <cfRule type="duplicateValues" dxfId="341" priority="926"/>
  </conditionalFormatting>
  <conditionalFormatting sqref="C755">
    <cfRule type="duplicateValues" dxfId="340" priority="366"/>
  </conditionalFormatting>
  <conditionalFormatting sqref="C763">
    <cfRule type="duplicateValues" dxfId="339" priority="364"/>
  </conditionalFormatting>
  <conditionalFormatting sqref="C768:C769">
    <cfRule type="duplicateValues" dxfId="338" priority="358"/>
    <cfRule type="duplicateValues" dxfId="337" priority="360"/>
    <cfRule type="duplicateValues" dxfId="336" priority="362"/>
    <cfRule type="duplicateValues" dxfId="335" priority="363"/>
    <cfRule type="duplicateValues" dxfId="334" priority="361"/>
    <cfRule type="duplicateValues" dxfId="333" priority="359"/>
  </conditionalFormatting>
  <conditionalFormatting sqref="C774">
    <cfRule type="duplicateValues" dxfId="332" priority="355"/>
  </conditionalFormatting>
  <conditionalFormatting sqref="C775">
    <cfRule type="duplicateValues" dxfId="331" priority="354"/>
  </conditionalFormatting>
  <conditionalFormatting sqref="C776:C777">
    <cfRule type="duplicateValues" dxfId="330" priority="351"/>
    <cfRule type="duplicateValues" dxfId="329" priority="352"/>
    <cfRule type="duplicateValues" dxfId="328" priority="350"/>
  </conditionalFormatting>
  <conditionalFormatting sqref="C800:C829">
    <cfRule type="duplicateValues" dxfId="327" priority="349"/>
    <cfRule type="duplicateValues" dxfId="326" priority="347"/>
    <cfRule type="duplicateValues" dxfId="325" priority="345"/>
  </conditionalFormatting>
  <conditionalFormatting sqref="C844">
    <cfRule type="duplicateValues" dxfId="324" priority="344"/>
  </conditionalFormatting>
  <conditionalFormatting sqref="C845">
    <cfRule type="duplicateValues" dxfId="323" priority="342"/>
  </conditionalFormatting>
  <conditionalFormatting sqref="C853">
    <cfRule type="duplicateValues" dxfId="322" priority="340"/>
  </conditionalFormatting>
  <conditionalFormatting sqref="C856">
    <cfRule type="duplicateValues" dxfId="321" priority="338"/>
  </conditionalFormatting>
  <conditionalFormatting sqref="C869">
    <cfRule type="duplicateValues" dxfId="320" priority="333"/>
    <cfRule type="duplicateValues" dxfId="319" priority="337"/>
    <cfRule type="duplicateValues" dxfId="318" priority="336"/>
    <cfRule type="duplicateValues" dxfId="317" priority="335"/>
    <cfRule type="duplicateValues" dxfId="316" priority="334"/>
  </conditionalFormatting>
  <conditionalFormatting sqref="C870">
    <cfRule type="duplicateValues" dxfId="315" priority="327"/>
    <cfRule type="duplicateValues" dxfId="314" priority="328"/>
    <cfRule type="duplicateValues" dxfId="313" priority="329"/>
    <cfRule type="duplicateValues" dxfId="312" priority="330"/>
    <cfRule type="duplicateValues" dxfId="311" priority="326"/>
  </conditionalFormatting>
  <conditionalFormatting sqref="C871">
    <cfRule type="duplicateValues" dxfId="310" priority="321"/>
    <cfRule type="duplicateValues" dxfId="309" priority="322"/>
    <cfRule type="duplicateValues" dxfId="308" priority="323"/>
    <cfRule type="duplicateValues" dxfId="307" priority="320"/>
    <cfRule type="duplicateValues" dxfId="306" priority="319"/>
  </conditionalFormatting>
  <conditionalFormatting sqref="C873">
    <cfRule type="duplicateValues" dxfId="305" priority="316"/>
  </conditionalFormatting>
  <conditionalFormatting sqref="C875:C879">
    <cfRule type="duplicateValues" dxfId="304" priority="313"/>
    <cfRule type="duplicateValues" dxfId="303" priority="314"/>
  </conditionalFormatting>
  <conditionalFormatting sqref="C883">
    <cfRule type="duplicateValues" dxfId="302" priority="312"/>
  </conditionalFormatting>
  <conditionalFormatting sqref="C888:C903">
    <cfRule type="duplicateValues" dxfId="301" priority="311"/>
  </conditionalFormatting>
  <conditionalFormatting sqref="C890:C903">
    <cfRule type="duplicateValues" dxfId="300" priority="307"/>
    <cfRule type="duplicateValues" dxfId="299" priority="306"/>
    <cfRule type="duplicateValues" dxfId="298" priority="305"/>
    <cfRule type="duplicateValues" dxfId="297" priority="304"/>
    <cfRule type="duplicateValues" dxfId="296" priority="309"/>
    <cfRule type="duplicateValues" dxfId="295" priority="308"/>
  </conditionalFormatting>
  <conditionalFormatting sqref="C895:C903">
    <cfRule type="duplicateValues" dxfId="294" priority="299"/>
    <cfRule type="duplicateValues" dxfId="293" priority="302"/>
    <cfRule type="duplicateValues" dxfId="292" priority="301"/>
    <cfRule type="duplicateValues" dxfId="291" priority="300"/>
    <cfRule type="duplicateValues" dxfId="290" priority="303"/>
  </conditionalFormatting>
  <conditionalFormatting sqref="C911:C914">
    <cfRule type="duplicateValues" dxfId="289" priority="285"/>
    <cfRule type="duplicateValues" dxfId="288" priority="286"/>
    <cfRule type="duplicateValues" dxfId="287" priority="295"/>
    <cfRule type="duplicateValues" dxfId="286" priority="287"/>
    <cfRule type="duplicateValues" dxfId="285" priority="288"/>
    <cfRule type="duplicateValues" dxfId="284" priority="289"/>
    <cfRule type="duplicateValues" dxfId="283" priority="290"/>
    <cfRule type="duplicateValues" dxfId="282" priority="291"/>
    <cfRule type="duplicateValues" dxfId="281" priority="292"/>
    <cfRule type="duplicateValues" dxfId="280" priority="293"/>
    <cfRule type="duplicateValues" dxfId="279" priority="294"/>
    <cfRule type="duplicateValues" dxfId="278" priority="296"/>
  </conditionalFormatting>
  <conditionalFormatting sqref="C915">
    <cfRule type="duplicateValues" dxfId="277" priority="276"/>
    <cfRule type="duplicateValues" dxfId="276" priority="275"/>
    <cfRule type="duplicateValues" dxfId="275" priority="277"/>
    <cfRule type="duplicateValues" dxfId="274" priority="274"/>
    <cfRule type="duplicateValues" dxfId="273" priority="272"/>
    <cfRule type="duplicateValues" dxfId="272" priority="273"/>
    <cfRule type="duplicateValues" dxfId="271" priority="284"/>
    <cfRule type="duplicateValues" dxfId="270" priority="282"/>
    <cfRule type="duplicateValues" dxfId="269" priority="281"/>
    <cfRule type="duplicateValues" dxfId="268" priority="280"/>
    <cfRule type="duplicateValues" dxfId="267" priority="279"/>
    <cfRule type="duplicateValues" dxfId="266" priority="278"/>
  </conditionalFormatting>
  <conditionalFormatting sqref="C916:C918">
    <cfRule type="duplicateValues" dxfId="265" priority="264"/>
    <cfRule type="duplicateValues" dxfId="264" priority="263"/>
    <cfRule type="duplicateValues" dxfId="263" priority="261"/>
    <cfRule type="duplicateValues" dxfId="262" priority="260"/>
    <cfRule type="duplicateValues" dxfId="261" priority="271"/>
    <cfRule type="duplicateValues" dxfId="260" priority="269"/>
    <cfRule type="duplicateValues" dxfId="259" priority="268"/>
    <cfRule type="duplicateValues" dxfId="258" priority="262"/>
    <cfRule type="duplicateValues" dxfId="257" priority="266"/>
    <cfRule type="duplicateValues" dxfId="256" priority="265"/>
    <cfRule type="duplicateValues" dxfId="255" priority="259"/>
    <cfRule type="duplicateValues" dxfId="254" priority="267"/>
  </conditionalFormatting>
  <conditionalFormatting sqref="C919:C949">
    <cfRule type="duplicateValues" dxfId="253" priority="257"/>
    <cfRule type="duplicateValues" dxfId="252" priority="255"/>
    <cfRule type="duplicateValues" dxfId="251" priority="253"/>
  </conditionalFormatting>
  <conditionalFormatting sqref="C950:C951">
    <cfRule type="duplicateValues" dxfId="250" priority="252"/>
  </conditionalFormatting>
  <conditionalFormatting sqref="C952:C954">
    <cfRule type="duplicateValues" dxfId="249" priority="245"/>
    <cfRule type="duplicateValues" dxfId="248" priority="244"/>
    <cfRule type="duplicateValues" dxfId="247" priority="243"/>
    <cfRule type="duplicateValues" dxfId="246" priority="250"/>
    <cfRule type="duplicateValues" dxfId="245" priority="249"/>
    <cfRule type="duplicateValues" dxfId="244" priority="248"/>
    <cfRule type="duplicateValues" dxfId="243" priority="241"/>
    <cfRule type="duplicateValues" dxfId="242" priority="240"/>
    <cfRule type="duplicateValues" dxfId="241" priority="242"/>
    <cfRule type="duplicateValues" dxfId="240" priority="239"/>
    <cfRule type="duplicateValues" dxfId="239" priority="247"/>
    <cfRule type="duplicateValues" dxfId="238" priority="246"/>
  </conditionalFormatting>
  <conditionalFormatting sqref="C957:C958">
    <cfRule type="duplicateValues" dxfId="237" priority="218"/>
    <cfRule type="duplicateValues" dxfId="236" priority="219"/>
    <cfRule type="duplicateValues" dxfId="235" priority="220"/>
  </conditionalFormatting>
  <conditionalFormatting sqref="C959">
    <cfRule type="duplicateValues" dxfId="234" priority="214"/>
    <cfRule type="duplicateValues" dxfId="233" priority="213"/>
    <cfRule type="duplicateValues" dxfId="232" priority="212"/>
    <cfRule type="duplicateValues" dxfId="231" priority="210"/>
    <cfRule type="duplicateValues" dxfId="230" priority="209"/>
    <cfRule type="duplicateValues" dxfId="229" priority="208"/>
    <cfRule type="duplicateValues" dxfId="228" priority="207"/>
    <cfRule type="duplicateValues" dxfId="227" priority="206"/>
    <cfRule type="duplicateValues" dxfId="226" priority="205"/>
    <cfRule type="duplicateValues" dxfId="225" priority="204"/>
    <cfRule type="duplicateValues" dxfId="224" priority="211"/>
    <cfRule type="duplicateValues" dxfId="223" priority="215"/>
  </conditionalFormatting>
  <conditionalFormatting sqref="C967:C973">
    <cfRule type="duplicateValues" dxfId="222" priority="187"/>
    <cfRule type="duplicateValues" dxfId="221" priority="188"/>
    <cfRule type="duplicateValues" dxfId="220" priority="190"/>
    <cfRule type="duplicateValues" dxfId="219" priority="191"/>
    <cfRule type="duplicateValues" dxfId="218" priority="192"/>
    <cfRule type="duplicateValues" dxfId="217" priority="193"/>
    <cfRule type="duplicateValues" dxfId="216" priority="194"/>
    <cfRule type="duplicateValues" dxfId="215" priority="195"/>
    <cfRule type="duplicateValues" dxfId="214" priority="196"/>
    <cfRule type="duplicateValues" dxfId="213" priority="197"/>
    <cfRule type="duplicateValues" dxfId="212" priority="198"/>
    <cfRule type="duplicateValues" dxfId="211" priority="189"/>
  </conditionalFormatting>
  <conditionalFormatting sqref="C975">
    <cfRule type="duplicateValues" dxfId="210" priority="185"/>
    <cfRule type="duplicateValues" dxfId="209" priority="181"/>
    <cfRule type="duplicateValues" dxfId="208" priority="179"/>
    <cfRule type="duplicateValues" dxfId="207" priority="180"/>
    <cfRule type="duplicateValues" dxfId="206" priority="182"/>
    <cfRule type="duplicateValues" dxfId="205" priority="183"/>
    <cfRule type="duplicateValues" dxfId="204" priority="184"/>
  </conditionalFormatting>
  <conditionalFormatting sqref="C983:C986">
    <cfRule type="duplicateValues" dxfId="203" priority="172"/>
    <cfRule type="duplicateValues" dxfId="202" priority="173"/>
  </conditionalFormatting>
  <conditionalFormatting sqref="C1029:C1060">
    <cfRule type="duplicateValues" dxfId="201" priority="167"/>
    <cfRule type="duplicateValues" dxfId="200" priority="169"/>
    <cfRule type="duplicateValues" dxfId="199" priority="171"/>
  </conditionalFormatting>
  <conditionalFormatting sqref="C1062">
    <cfRule type="duplicateValues" dxfId="198" priority="166"/>
  </conditionalFormatting>
  <conditionalFormatting sqref="C1063">
    <cfRule type="duplicateValues" dxfId="197" priority="162"/>
  </conditionalFormatting>
  <conditionalFormatting sqref="C1064">
    <cfRule type="duplicateValues" dxfId="196" priority="160"/>
  </conditionalFormatting>
  <conditionalFormatting sqref="C1069">
    <cfRule type="duplicateValues" dxfId="195" priority="157"/>
  </conditionalFormatting>
  <conditionalFormatting sqref="C1072">
    <cfRule type="duplicateValues" dxfId="194" priority="156"/>
  </conditionalFormatting>
  <conditionalFormatting sqref="C1073:C1085">
    <cfRule type="duplicateValues" dxfId="193" priority="155"/>
  </conditionalFormatting>
  <conditionalFormatting sqref="C1087">
    <cfRule type="duplicateValues" dxfId="192" priority="153"/>
  </conditionalFormatting>
  <conditionalFormatting sqref="C1088">
    <cfRule type="duplicateValues" dxfId="191" priority="151"/>
  </conditionalFormatting>
  <conditionalFormatting sqref="C1090">
    <cfRule type="duplicateValues" dxfId="190" priority="150"/>
  </conditionalFormatting>
  <conditionalFormatting sqref="C1091">
    <cfRule type="duplicateValues" dxfId="189" priority="145"/>
    <cfRule type="duplicateValues" dxfId="188" priority="149"/>
    <cfRule type="duplicateValues" dxfId="187" priority="147"/>
  </conditionalFormatting>
  <conditionalFormatting sqref="C1100">
    <cfRule type="duplicateValues" dxfId="186" priority="144"/>
  </conditionalFormatting>
  <conditionalFormatting sqref="C1101">
    <cfRule type="duplicateValues" dxfId="185" priority="142"/>
  </conditionalFormatting>
  <conditionalFormatting sqref="C1103">
    <cfRule type="duplicateValues" dxfId="184" priority="140"/>
  </conditionalFormatting>
  <conditionalFormatting sqref="C1105">
    <cfRule type="duplicateValues" dxfId="183" priority="138"/>
  </conditionalFormatting>
  <conditionalFormatting sqref="C1106">
    <cfRule type="duplicateValues" dxfId="182" priority="136"/>
  </conditionalFormatting>
  <conditionalFormatting sqref="C1107">
    <cfRule type="duplicateValues" dxfId="181" priority="133"/>
  </conditionalFormatting>
  <conditionalFormatting sqref="C1129:C1130">
    <cfRule type="duplicateValues" dxfId="180" priority="128"/>
    <cfRule type="duplicateValues" dxfId="179" priority="130"/>
    <cfRule type="duplicateValues" dxfId="178" priority="132"/>
  </conditionalFormatting>
  <conditionalFormatting sqref="C1131">
    <cfRule type="duplicateValues" dxfId="177" priority="127"/>
  </conditionalFormatting>
  <conditionalFormatting sqref="C1147">
    <cfRule type="duplicateValues" dxfId="176" priority="126"/>
  </conditionalFormatting>
  <conditionalFormatting sqref="C1148">
    <cfRule type="duplicateValues" dxfId="175" priority="124"/>
  </conditionalFormatting>
  <conditionalFormatting sqref="C1153:C1154">
    <cfRule type="duplicateValues" dxfId="174" priority="120"/>
    <cfRule type="duplicateValues" dxfId="173" priority="122"/>
    <cfRule type="duplicateValues" dxfId="172" priority="118"/>
  </conditionalFormatting>
  <conditionalFormatting sqref="C1155">
    <cfRule type="duplicateValues" dxfId="171" priority="113"/>
    <cfRule type="duplicateValues" dxfId="170" priority="115"/>
    <cfRule type="duplicateValues" dxfId="169" priority="117"/>
  </conditionalFormatting>
  <conditionalFormatting sqref="C1161">
    <cfRule type="duplicateValues" dxfId="168" priority="111"/>
  </conditionalFormatting>
  <conditionalFormatting sqref="C1162">
    <cfRule type="duplicateValues" dxfId="167" priority="110"/>
  </conditionalFormatting>
  <conditionalFormatting sqref="C1163">
    <cfRule type="duplicateValues" dxfId="166" priority="107"/>
  </conditionalFormatting>
  <conditionalFormatting sqref="C1165">
    <cfRule type="duplicateValues" dxfId="165" priority="106"/>
  </conditionalFormatting>
  <conditionalFormatting sqref="C1169">
    <cfRule type="duplicateValues" dxfId="164" priority="104"/>
  </conditionalFormatting>
  <conditionalFormatting sqref="C1170">
    <cfRule type="duplicateValues" dxfId="163" priority="103"/>
  </conditionalFormatting>
  <conditionalFormatting sqref="C1171">
    <cfRule type="duplicateValues" dxfId="162" priority="100"/>
  </conditionalFormatting>
  <conditionalFormatting sqref="C1173">
    <cfRule type="duplicateValues" dxfId="161" priority="99"/>
  </conditionalFormatting>
  <conditionalFormatting sqref="C1174">
    <cfRule type="duplicateValues" dxfId="160" priority="97"/>
  </conditionalFormatting>
  <conditionalFormatting sqref="C1178">
    <cfRule type="duplicateValues" dxfId="159" priority="95"/>
  </conditionalFormatting>
  <conditionalFormatting sqref="C1207:C1218">
    <cfRule type="duplicateValues" dxfId="158" priority="94"/>
  </conditionalFormatting>
  <conditionalFormatting sqref="C1219:C1220">
    <cfRule type="duplicateValues" dxfId="157" priority="92"/>
  </conditionalFormatting>
  <conditionalFormatting sqref="C1226">
    <cfRule type="duplicateValues" dxfId="156" priority="86"/>
  </conditionalFormatting>
  <conditionalFormatting sqref="C1235">
    <cfRule type="duplicateValues" dxfId="155" priority="82"/>
  </conditionalFormatting>
  <conditionalFormatting sqref="C1239">
    <cfRule type="duplicateValues" dxfId="154" priority="80"/>
  </conditionalFormatting>
  <conditionalFormatting sqref="C1241:C1254">
    <cfRule type="duplicateValues" dxfId="153" priority="78"/>
  </conditionalFormatting>
  <conditionalFormatting sqref="C1275">
    <cfRule type="duplicateValues" dxfId="152" priority="76"/>
  </conditionalFormatting>
  <conditionalFormatting sqref="C1279">
    <cfRule type="duplicateValues" dxfId="151" priority="74"/>
  </conditionalFormatting>
  <conditionalFormatting sqref="C1301">
    <cfRule type="duplicateValues" dxfId="150" priority="73"/>
  </conditionalFormatting>
  <conditionalFormatting sqref="D374:D375 D321:D322 D2:D285 D292 D300 D310 D312:D314 D316 D326">
    <cfRule type="duplicateValues" dxfId="149" priority="660"/>
  </conditionalFormatting>
  <conditionalFormatting sqref="D511">
    <cfRule type="duplicateValues" dxfId="148" priority="389"/>
  </conditionalFormatting>
  <conditionalFormatting sqref="D512">
    <cfRule type="duplicateValues" dxfId="147" priority="388"/>
  </conditionalFormatting>
  <conditionalFormatting sqref="D513">
    <cfRule type="duplicateValues" dxfId="146" priority="387"/>
  </conditionalFormatting>
  <conditionalFormatting sqref="D514">
    <cfRule type="duplicateValues" dxfId="145" priority="386"/>
  </conditionalFormatting>
  <conditionalFormatting sqref="D515:D583 D1468:D1470">
    <cfRule type="duplicateValues" dxfId="144" priority="809"/>
  </conditionalFormatting>
  <conditionalFormatting sqref="D584:D624">
    <cfRule type="duplicateValues" dxfId="143" priority="828"/>
  </conditionalFormatting>
  <conditionalFormatting sqref="D589:D624">
    <cfRule type="duplicateValues" dxfId="142" priority="838"/>
  </conditionalFormatting>
  <conditionalFormatting sqref="D635:D701">
    <cfRule type="duplicateValues" dxfId="141" priority="923"/>
  </conditionalFormatting>
  <conditionalFormatting sqref="D637:D701">
    <cfRule type="duplicateValues" dxfId="140" priority="925"/>
  </conditionalFormatting>
  <conditionalFormatting sqref="D708">
    <cfRule type="duplicateValues" dxfId="139" priority="368"/>
    <cfRule type="duplicateValues" dxfId="138" priority="367"/>
  </conditionalFormatting>
  <conditionalFormatting sqref="D755">
    <cfRule type="duplicateValues" dxfId="137" priority="365"/>
  </conditionalFormatting>
  <conditionalFormatting sqref="D768">
    <cfRule type="duplicateValues" dxfId="136" priority="357"/>
    <cfRule type="duplicateValues" dxfId="135" priority="356"/>
  </conditionalFormatting>
  <conditionalFormatting sqref="D775">
    <cfRule type="duplicateValues" dxfId="134" priority="353"/>
  </conditionalFormatting>
  <conditionalFormatting sqref="D800:D829">
    <cfRule type="duplicateValues" dxfId="133" priority="348"/>
    <cfRule type="duplicateValues" dxfId="132" priority="346"/>
  </conditionalFormatting>
  <conditionalFormatting sqref="D844">
    <cfRule type="duplicateValues" dxfId="131" priority="343"/>
  </conditionalFormatting>
  <conditionalFormatting sqref="D845">
    <cfRule type="duplicateValues" dxfId="130" priority="341"/>
  </conditionalFormatting>
  <conditionalFormatting sqref="D853">
    <cfRule type="duplicateValues" dxfId="129" priority="339"/>
  </conditionalFormatting>
  <conditionalFormatting sqref="D869">
    <cfRule type="duplicateValues" dxfId="128" priority="332"/>
    <cfRule type="duplicateValues" dxfId="127" priority="331"/>
  </conditionalFormatting>
  <conditionalFormatting sqref="D870">
    <cfRule type="duplicateValues" dxfId="126" priority="324"/>
    <cfRule type="duplicateValues" dxfId="125" priority="325"/>
  </conditionalFormatting>
  <conditionalFormatting sqref="D871">
    <cfRule type="duplicateValues" dxfId="124" priority="318"/>
    <cfRule type="duplicateValues" dxfId="123" priority="317"/>
  </conditionalFormatting>
  <conditionalFormatting sqref="D873">
    <cfRule type="duplicateValues" dxfId="122" priority="315"/>
  </conditionalFormatting>
  <conditionalFormatting sqref="D888:D903">
    <cfRule type="duplicateValues" dxfId="121" priority="310"/>
  </conditionalFormatting>
  <conditionalFormatting sqref="D904:D914">
    <cfRule type="duplicateValues" dxfId="120" priority="297"/>
    <cfRule type="duplicateValues" dxfId="119" priority="298"/>
  </conditionalFormatting>
  <conditionalFormatting sqref="D915">
    <cfRule type="duplicateValues" dxfId="118" priority="283"/>
  </conditionalFormatting>
  <conditionalFormatting sqref="D916:D918">
    <cfRule type="duplicateValues" dxfId="117" priority="270"/>
  </conditionalFormatting>
  <conditionalFormatting sqref="D917:D918">
    <cfRule type="duplicateValues" dxfId="116" priority="258"/>
  </conditionalFormatting>
  <conditionalFormatting sqref="D919:D949">
    <cfRule type="duplicateValues" dxfId="115" priority="256"/>
    <cfRule type="duplicateValues" dxfId="114" priority="254"/>
  </conditionalFormatting>
  <conditionalFormatting sqref="D950">
    <cfRule type="duplicateValues" dxfId="113" priority="251"/>
  </conditionalFormatting>
  <conditionalFormatting sqref="D952">
    <cfRule type="duplicateValues" dxfId="112" priority="238"/>
  </conditionalFormatting>
  <conditionalFormatting sqref="D953">
    <cfRule type="duplicateValues" dxfId="111" priority="237"/>
  </conditionalFormatting>
  <conditionalFormatting sqref="D954">
    <cfRule type="duplicateValues" dxfId="110" priority="235"/>
    <cfRule type="duplicateValues" dxfId="109" priority="236"/>
  </conditionalFormatting>
  <conditionalFormatting sqref="D958">
    <cfRule type="duplicateValues" dxfId="108" priority="217"/>
    <cfRule type="duplicateValues" dxfId="107" priority="216"/>
  </conditionalFormatting>
  <conditionalFormatting sqref="D959">
    <cfRule type="duplicateValues" dxfId="106" priority="203"/>
  </conditionalFormatting>
  <conditionalFormatting sqref="D960">
    <cfRule type="duplicateValues" dxfId="105" priority="201"/>
    <cfRule type="duplicateValues" dxfId="104" priority="202"/>
  </conditionalFormatting>
  <conditionalFormatting sqref="D964">
    <cfRule type="duplicateValues" dxfId="103" priority="200"/>
    <cfRule type="duplicateValues" dxfId="102" priority="199"/>
  </conditionalFormatting>
  <conditionalFormatting sqref="D967:D973">
    <cfRule type="duplicateValues" dxfId="101" priority="186"/>
  </conditionalFormatting>
  <conditionalFormatting sqref="D975">
    <cfRule type="duplicateValues" dxfId="100" priority="178"/>
  </conditionalFormatting>
  <conditionalFormatting sqref="D976">
    <cfRule type="duplicateValues" dxfId="99" priority="177"/>
    <cfRule type="duplicateValues" dxfId="98" priority="176"/>
  </conditionalFormatting>
  <conditionalFormatting sqref="D980">
    <cfRule type="duplicateValues" dxfId="97" priority="174"/>
    <cfRule type="duplicateValues" dxfId="96" priority="175"/>
  </conditionalFormatting>
  <conditionalFormatting sqref="D1029:D1060">
    <cfRule type="duplicateValues" dxfId="95" priority="170"/>
    <cfRule type="duplicateValues" dxfId="94" priority="168"/>
  </conditionalFormatting>
  <conditionalFormatting sqref="D1062">
    <cfRule type="duplicateValues" dxfId="93" priority="165"/>
  </conditionalFormatting>
  <conditionalFormatting sqref="D1063">
    <cfRule type="duplicateValues" dxfId="92" priority="161"/>
  </conditionalFormatting>
  <conditionalFormatting sqref="D1064">
    <cfRule type="duplicateValues" dxfId="91" priority="159"/>
  </conditionalFormatting>
  <conditionalFormatting sqref="D1069">
    <cfRule type="duplicateValues" dxfId="90" priority="158"/>
  </conditionalFormatting>
  <conditionalFormatting sqref="D1073:D1075">
    <cfRule type="duplicateValues" dxfId="89" priority="154"/>
  </conditionalFormatting>
  <conditionalFormatting sqref="D1087">
    <cfRule type="duplicateValues" dxfId="88" priority="152"/>
  </conditionalFormatting>
  <conditionalFormatting sqref="D1091">
    <cfRule type="duplicateValues" dxfId="87" priority="148"/>
    <cfRule type="duplicateValues" dxfId="86" priority="146"/>
  </conditionalFormatting>
  <conditionalFormatting sqref="D1100">
    <cfRule type="duplicateValues" dxfId="85" priority="143"/>
  </conditionalFormatting>
  <conditionalFormatting sqref="D1101">
    <cfRule type="duplicateValues" dxfId="84" priority="141"/>
  </conditionalFormatting>
  <conditionalFormatting sqref="D1103">
    <cfRule type="duplicateValues" dxfId="83" priority="139"/>
  </conditionalFormatting>
  <conditionalFormatting sqref="D1105">
    <cfRule type="duplicateValues" dxfId="82" priority="137"/>
  </conditionalFormatting>
  <conditionalFormatting sqref="D1106">
    <cfRule type="duplicateValues" dxfId="81" priority="135"/>
  </conditionalFormatting>
  <conditionalFormatting sqref="D1107">
    <cfRule type="duplicateValues" dxfId="80" priority="134"/>
  </conditionalFormatting>
  <conditionalFormatting sqref="D1129:D1130">
    <cfRule type="duplicateValues" dxfId="79" priority="131"/>
    <cfRule type="duplicateValues" dxfId="78" priority="129"/>
  </conditionalFormatting>
  <conditionalFormatting sqref="D1147">
    <cfRule type="duplicateValues" dxfId="77" priority="125"/>
  </conditionalFormatting>
  <conditionalFormatting sqref="D1148">
    <cfRule type="duplicateValues" dxfId="76" priority="123"/>
  </conditionalFormatting>
  <conditionalFormatting sqref="D1153:D1154">
    <cfRule type="duplicateValues" dxfId="75" priority="121"/>
    <cfRule type="duplicateValues" dxfId="74" priority="119"/>
  </conditionalFormatting>
  <conditionalFormatting sqref="D1155">
    <cfRule type="duplicateValues" dxfId="73" priority="114"/>
    <cfRule type="duplicateValues" dxfId="72" priority="116"/>
  </conditionalFormatting>
  <conditionalFormatting sqref="D1161">
    <cfRule type="duplicateValues" dxfId="71" priority="112"/>
  </conditionalFormatting>
  <conditionalFormatting sqref="D1162">
    <cfRule type="duplicateValues" dxfId="70" priority="109"/>
  </conditionalFormatting>
  <conditionalFormatting sqref="D1163">
    <cfRule type="duplicateValues" dxfId="69" priority="108"/>
  </conditionalFormatting>
  <conditionalFormatting sqref="D1165">
    <cfRule type="duplicateValues" dxfId="68" priority="105"/>
  </conditionalFormatting>
  <conditionalFormatting sqref="D1170">
    <cfRule type="duplicateValues" dxfId="67" priority="102"/>
  </conditionalFormatting>
  <conditionalFormatting sqref="D1171">
    <cfRule type="duplicateValues" dxfId="66" priority="101"/>
  </conditionalFormatting>
  <conditionalFormatting sqref="D1173">
    <cfRule type="duplicateValues" dxfId="65" priority="98"/>
  </conditionalFormatting>
  <conditionalFormatting sqref="D1174">
    <cfRule type="duplicateValues" dxfId="64" priority="96"/>
  </conditionalFormatting>
  <conditionalFormatting sqref="D1207:D1218">
    <cfRule type="duplicateValues" dxfId="63" priority="93"/>
  </conditionalFormatting>
  <conditionalFormatting sqref="D1219:D1220">
    <cfRule type="duplicateValues" dxfId="62" priority="91"/>
  </conditionalFormatting>
  <conditionalFormatting sqref="D1221">
    <cfRule type="duplicateValues" dxfId="61" priority="90"/>
  </conditionalFormatting>
  <conditionalFormatting sqref="D1223">
    <cfRule type="duplicateValues" dxfId="60" priority="89"/>
  </conditionalFormatting>
  <conditionalFormatting sqref="D1224">
    <cfRule type="duplicateValues" dxfId="59" priority="88"/>
  </conditionalFormatting>
  <conditionalFormatting sqref="D1225">
    <cfRule type="duplicateValues" dxfId="58" priority="87"/>
  </conditionalFormatting>
  <conditionalFormatting sqref="D1226">
    <cfRule type="duplicateValues" dxfId="57" priority="85"/>
  </conditionalFormatting>
  <conditionalFormatting sqref="D1227:D1229">
    <cfRule type="duplicateValues" dxfId="56" priority="84"/>
  </conditionalFormatting>
  <conditionalFormatting sqref="D1230">
    <cfRule type="duplicateValues" dxfId="55" priority="83"/>
  </conditionalFormatting>
  <conditionalFormatting sqref="D1235">
    <cfRule type="duplicateValues" dxfId="54" priority="81"/>
  </conditionalFormatting>
  <conditionalFormatting sqref="D1239">
    <cfRule type="duplicateValues" dxfId="53" priority="79"/>
  </conditionalFormatting>
  <conditionalFormatting sqref="D1241:D1254">
    <cfRule type="duplicateValues" dxfId="52" priority="77"/>
  </conditionalFormatting>
  <conditionalFormatting sqref="D1279">
    <cfRule type="duplicateValues" dxfId="51" priority="75"/>
  </conditionalFormatting>
  <conditionalFormatting sqref="D1301">
    <cfRule type="duplicateValues" dxfId="50" priority="72"/>
  </conditionalFormatting>
  <conditionalFormatting sqref="D1308">
    <cfRule type="duplicateValues" dxfId="49" priority="67"/>
    <cfRule type="duplicateValues" dxfId="48" priority="69"/>
  </conditionalFormatting>
  <conditionalFormatting sqref="D1327">
    <cfRule type="duplicateValues" dxfId="47" priority="64"/>
  </conditionalFormatting>
  <conditionalFormatting sqref="D1330">
    <cfRule type="duplicateValues" dxfId="46" priority="59"/>
    <cfRule type="duplicateValues" dxfId="45" priority="61"/>
  </conditionalFormatting>
  <conditionalFormatting sqref="D1331">
    <cfRule type="duplicateValues" dxfId="44" priority="54"/>
    <cfRule type="duplicateValues" dxfId="43" priority="56"/>
  </conditionalFormatting>
  <conditionalFormatting sqref="D1358">
    <cfRule type="duplicateValues" dxfId="42" priority="52"/>
  </conditionalFormatting>
  <conditionalFormatting sqref="D1359">
    <cfRule type="duplicateValues" dxfId="41" priority="49"/>
  </conditionalFormatting>
  <conditionalFormatting sqref="D1363">
    <cfRule type="duplicateValues" dxfId="40" priority="47"/>
  </conditionalFormatting>
  <conditionalFormatting sqref="D1364">
    <cfRule type="duplicateValues" dxfId="39" priority="44"/>
  </conditionalFormatting>
  <conditionalFormatting sqref="D1369">
    <cfRule type="duplicateValues" dxfId="38" priority="41"/>
  </conditionalFormatting>
  <conditionalFormatting sqref="D1383">
    <cfRule type="duplicateValues" dxfId="37" priority="36"/>
  </conditionalFormatting>
  <conditionalFormatting sqref="D1392:D1397">
    <cfRule type="duplicateValues" dxfId="36" priority="1081"/>
  </conditionalFormatting>
  <conditionalFormatting sqref="D1398:D1405">
    <cfRule type="duplicateValues" dxfId="35" priority="25"/>
  </conditionalFormatting>
  <conditionalFormatting sqref="D1406:D1410">
    <cfRule type="duplicateValues" dxfId="34" priority="1108"/>
  </conditionalFormatting>
  <conditionalFormatting sqref="D1445:D1454">
    <cfRule type="duplicateValues" dxfId="33" priority="1115"/>
  </conditionalFormatting>
  <conditionalFormatting sqref="D1455:D1457">
    <cfRule type="duplicateValues" dxfId="32" priority="12"/>
  </conditionalFormatting>
  <conditionalFormatting sqref="D1458:D1459">
    <cfRule type="duplicateValues" dxfId="31" priority="9"/>
  </conditionalFormatting>
  <conditionalFormatting sqref="D1460:D1464">
    <cfRule type="duplicateValues" dxfId="30" priority="8"/>
  </conditionalFormatting>
  <conditionalFormatting sqref="D1465:D1466">
    <cfRule type="duplicateValues" dxfId="29" priority="6"/>
  </conditionalFormatting>
  <conditionalFormatting sqref="D1467">
    <cfRule type="duplicateValues" dxfId="28" priority="5"/>
  </conditionalFormatting>
  <conditionalFormatting sqref="G1:G1519">
    <cfRule type="cellIs" dxfId="27" priority="426" operator="equal">
      <formula>"งานใหม่"</formula>
    </cfRule>
  </conditionalFormatting>
  <conditionalFormatting sqref="G2:G1519">
    <cfRule type="cellIs" dxfId="26" priority="427" operator="equal">
      <formula>"ยกเลิก"</formula>
    </cfRule>
    <cfRule type="cellIs" dxfId="25" priority="424" operator="equal">
      <formula>"งานตัวอย่าง"</formula>
    </cfRule>
    <cfRule type="cellIs" dxfId="24" priority="423" operator="equal">
      <formula>"งาน REV"</formula>
    </cfRule>
    <cfRule type="cellIs" dxfId="23" priority="422" operator="equal">
      <formula>"OK"</formula>
    </cfRule>
  </conditionalFormatting>
  <conditionalFormatting sqref="I1528:I1048576 J1079 C1164:D1164 C1:D1160 C1166:D1234 C1236:D1238 C1240:D1260 D1261 C1262:D1303 D1328:D1357 D1360:D1363 D1365:D1382 D1384:D1391 H1527 D1406:D1444 I1:I1526 C1520:D1048576 D1304:D1326 C1304:C1519 D1468:D1519">
    <cfRule type="duplicateValues" dxfId="22" priority="928"/>
  </conditionalFormatting>
  <dataValidations count="1">
    <dataValidation type="list" allowBlank="1" showInputMessage="1" showErrorMessage="1" sqref="G2:G1519" xr:uid="{38AE1F06-94C9-44C3-9C43-17837B4B9FE2}">
      <formula1>"งานใหม่,งาน REV,งานตัวอย่าง,OK,ยกเลิก"</formula1>
    </dataValidation>
  </dataValidations>
  <pageMargins left="0.7" right="0.7" top="0.75" bottom="0.75" header="0.3" footer="0.3"/>
  <pageSetup paperSize="9" scale="54" fitToHeight="0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3B28-5929-4E31-977B-4DC29F2BFAAB}">
  <dimension ref="A1:F150"/>
  <sheetViews>
    <sheetView zoomScale="85" zoomScaleNormal="85" zoomScaleSheetLayoutView="100" workbookViewId="0">
      <selection activeCell="B54" sqref="B54"/>
    </sheetView>
  </sheetViews>
  <sheetFormatPr defaultRowHeight="14.4"/>
  <cols>
    <col min="1" max="1" width="19.44140625" customWidth="1"/>
    <col min="2" max="2" width="21.109375" style="4" customWidth="1"/>
    <col min="3" max="3" width="87" style="4" bestFit="1" customWidth="1"/>
    <col min="4" max="4" width="55.33203125" style="4" bestFit="1" customWidth="1"/>
    <col min="5" max="5" width="17.33203125" style="2" bestFit="1" customWidth="1"/>
    <col min="6" max="6" width="14.33203125" style="2" bestFit="1" customWidth="1"/>
    <col min="10" max="10" width="9.5546875" customWidth="1"/>
  </cols>
  <sheetData>
    <row r="1" spans="1:6" ht="30">
      <c r="A1" s="123" t="s">
        <v>6231</v>
      </c>
      <c r="B1" s="123" t="s">
        <v>3300</v>
      </c>
      <c r="C1" s="124" t="s">
        <v>3345</v>
      </c>
      <c r="D1" s="125" t="s">
        <v>3346</v>
      </c>
      <c r="E1" s="124" t="s">
        <v>3347</v>
      </c>
      <c r="F1" s="126" t="s">
        <v>3348</v>
      </c>
    </row>
    <row r="2" spans="1:6" ht="34.200000000000003">
      <c r="A2" s="127">
        <v>83591</v>
      </c>
      <c r="B2" s="127">
        <v>83591</v>
      </c>
      <c r="C2" s="128" t="s">
        <v>3349</v>
      </c>
      <c r="D2" s="129">
        <v>1000</v>
      </c>
      <c r="E2" s="130" t="s">
        <v>3350</v>
      </c>
      <c r="F2" s="131" t="s">
        <v>3350</v>
      </c>
    </row>
    <row r="3" spans="1:6" ht="34.200000000000003">
      <c r="A3" s="127" t="s">
        <v>3351</v>
      </c>
      <c r="B3" s="127" t="s">
        <v>3351</v>
      </c>
      <c r="C3" s="128" t="s">
        <v>3352</v>
      </c>
      <c r="D3" s="132">
        <v>2010</v>
      </c>
      <c r="E3" s="133" t="s">
        <v>3353</v>
      </c>
      <c r="F3" s="134">
        <v>19.93</v>
      </c>
    </row>
    <row r="4" spans="1:6" ht="34.200000000000003">
      <c r="A4" s="127" t="s">
        <v>3354</v>
      </c>
      <c r="B4" s="127" t="s">
        <v>3354</v>
      </c>
      <c r="C4" s="128" t="s">
        <v>3355</v>
      </c>
      <c r="D4" s="129">
        <v>2010</v>
      </c>
      <c r="E4" s="133" t="s">
        <v>3356</v>
      </c>
      <c r="F4" s="134">
        <v>19.3</v>
      </c>
    </row>
    <row r="5" spans="1:6" ht="34.200000000000003">
      <c r="A5" s="127" t="s">
        <v>3357</v>
      </c>
      <c r="B5" s="127" t="s">
        <v>3357</v>
      </c>
      <c r="C5" s="128" t="s">
        <v>3358</v>
      </c>
      <c r="D5" s="129">
        <v>3000</v>
      </c>
      <c r="E5" s="133" t="s">
        <v>3353</v>
      </c>
      <c r="F5" s="134">
        <v>14.3</v>
      </c>
    </row>
    <row r="6" spans="1:6" ht="34.200000000000003">
      <c r="A6" s="127" t="s">
        <v>3359</v>
      </c>
      <c r="B6" s="127" t="s">
        <v>3359</v>
      </c>
      <c r="C6" s="128" t="s">
        <v>3360</v>
      </c>
      <c r="D6" s="129">
        <v>2500</v>
      </c>
      <c r="E6" s="133" t="s">
        <v>3361</v>
      </c>
      <c r="F6" s="134">
        <v>1.7</v>
      </c>
    </row>
    <row r="7" spans="1:6" ht="34.200000000000003">
      <c r="A7" s="127" t="s">
        <v>3362</v>
      </c>
      <c r="B7" s="127" t="s">
        <v>3362</v>
      </c>
      <c r="C7" s="128" t="s">
        <v>3363</v>
      </c>
      <c r="D7" s="129">
        <v>2000</v>
      </c>
      <c r="E7" s="133" t="s">
        <v>3361</v>
      </c>
      <c r="F7" s="134">
        <v>13.5</v>
      </c>
    </row>
    <row r="8" spans="1:6" ht="34.200000000000003">
      <c r="A8" s="127" t="s">
        <v>3364</v>
      </c>
      <c r="B8" s="127" t="s">
        <v>3364</v>
      </c>
      <c r="C8" s="128" t="s">
        <v>3365</v>
      </c>
      <c r="D8" s="129">
        <v>2060</v>
      </c>
      <c r="E8" s="133" t="s">
        <v>3361</v>
      </c>
      <c r="F8" s="134">
        <v>20.23</v>
      </c>
    </row>
    <row r="9" spans="1:6" ht="34.200000000000003">
      <c r="A9" s="135" t="s">
        <v>3366</v>
      </c>
      <c r="B9" s="135" t="s">
        <v>3366</v>
      </c>
      <c r="C9" s="136" t="s">
        <v>3367</v>
      </c>
      <c r="D9" s="129">
        <v>2010</v>
      </c>
      <c r="E9" s="133" t="s">
        <v>3353</v>
      </c>
      <c r="F9" s="134">
        <v>23.63</v>
      </c>
    </row>
    <row r="10" spans="1:6" ht="34.200000000000003">
      <c r="A10" s="127" t="s">
        <v>6232</v>
      </c>
      <c r="B10" s="127" t="s">
        <v>3368</v>
      </c>
      <c r="C10" s="128" t="s">
        <v>3369</v>
      </c>
      <c r="D10" s="129">
        <v>3500</v>
      </c>
      <c r="E10" s="133" t="s">
        <v>3361</v>
      </c>
      <c r="F10" s="137">
        <v>7.36</v>
      </c>
    </row>
    <row r="11" spans="1:6" ht="34.200000000000003">
      <c r="A11" s="135" t="s">
        <v>3370</v>
      </c>
      <c r="B11" s="135" t="s">
        <v>3370</v>
      </c>
      <c r="C11" s="136" t="s">
        <v>3371</v>
      </c>
      <c r="D11" s="129">
        <v>3500</v>
      </c>
      <c r="E11" s="133" t="s">
        <v>3361</v>
      </c>
      <c r="F11" s="134">
        <v>7.7</v>
      </c>
    </row>
    <row r="12" spans="1:6" ht="34.200000000000003">
      <c r="A12" s="127" t="s">
        <v>3372</v>
      </c>
      <c r="B12" s="127" t="s">
        <v>3372</v>
      </c>
      <c r="C12" s="128" t="s">
        <v>3373</v>
      </c>
      <c r="D12" s="129">
        <v>3000</v>
      </c>
      <c r="E12" s="133" t="s">
        <v>3361</v>
      </c>
      <c r="F12" s="134">
        <v>33.119999999999997</v>
      </c>
    </row>
    <row r="13" spans="1:6" ht="34.200000000000003">
      <c r="A13" s="127" t="s">
        <v>3374</v>
      </c>
      <c r="B13" s="127" t="s">
        <v>3374</v>
      </c>
      <c r="C13" s="128" t="s">
        <v>3375</v>
      </c>
      <c r="D13" s="129" t="s">
        <v>3376</v>
      </c>
      <c r="E13" s="133" t="s">
        <v>3361</v>
      </c>
      <c r="F13" s="134" t="s">
        <v>3376</v>
      </c>
    </row>
    <row r="14" spans="1:6" ht="34.200000000000003">
      <c r="A14" s="127" t="s">
        <v>3377</v>
      </c>
      <c r="B14" s="127" t="s">
        <v>3377</v>
      </c>
      <c r="C14" s="128" t="s">
        <v>3378</v>
      </c>
      <c r="D14" s="129">
        <v>3300</v>
      </c>
      <c r="E14" s="133" t="s">
        <v>3361</v>
      </c>
      <c r="F14" s="134">
        <v>4.6900000000000004</v>
      </c>
    </row>
    <row r="15" spans="1:6" ht="34.200000000000003">
      <c r="A15" s="127" t="s">
        <v>3379</v>
      </c>
      <c r="B15" s="127" t="s">
        <v>3379</v>
      </c>
      <c r="C15" s="128" t="s">
        <v>3380</v>
      </c>
      <c r="D15" s="129">
        <v>3500</v>
      </c>
      <c r="E15" s="133" t="s">
        <v>3361</v>
      </c>
      <c r="F15" s="134">
        <v>5.0999999999999996</v>
      </c>
    </row>
    <row r="16" spans="1:6" ht="34.200000000000003">
      <c r="A16" s="127" t="s">
        <v>3381</v>
      </c>
      <c r="B16" s="127" t="s">
        <v>3381</v>
      </c>
      <c r="C16" s="128" t="s">
        <v>3382</v>
      </c>
      <c r="D16" s="129">
        <v>3000</v>
      </c>
      <c r="E16" s="133" t="s">
        <v>3361</v>
      </c>
      <c r="F16" s="134">
        <v>11.2</v>
      </c>
    </row>
    <row r="17" spans="1:6" ht="34.200000000000003">
      <c r="A17" s="127" t="s">
        <v>3383</v>
      </c>
      <c r="B17" s="127" t="s">
        <v>3383</v>
      </c>
      <c r="C17" s="128" t="s">
        <v>3384</v>
      </c>
      <c r="D17" s="129">
        <v>3000</v>
      </c>
      <c r="E17" s="133" t="s">
        <v>3361</v>
      </c>
      <c r="F17" s="134">
        <v>1.76</v>
      </c>
    </row>
    <row r="18" spans="1:6" ht="34.200000000000003">
      <c r="A18" s="127" t="s">
        <v>3385</v>
      </c>
      <c r="B18" s="127" t="s">
        <v>3385</v>
      </c>
      <c r="C18" s="128" t="s">
        <v>3386</v>
      </c>
      <c r="D18" s="129">
        <v>3000</v>
      </c>
      <c r="E18" s="133" t="s">
        <v>3361</v>
      </c>
      <c r="F18" s="134">
        <v>2.1</v>
      </c>
    </row>
    <row r="19" spans="1:6" ht="34.200000000000003">
      <c r="A19" s="127" t="s">
        <v>3387</v>
      </c>
      <c r="B19" s="127" t="s">
        <v>3387</v>
      </c>
      <c r="C19" s="128" t="s">
        <v>3388</v>
      </c>
      <c r="D19" s="129">
        <v>4000</v>
      </c>
      <c r="E19" s="133" t="s">
        <v>3389</v>
      </c>
      <c r="F19" s="134">
        <v>4.46</v>
      </c>
    </row>
    <row r="20" spans="1:6" ht="34.200000000000003">
      <c r="A20" s="127" t="s">
        <v>3390</v>
      </c>
      <c r="B20" s="127" t="s">
        <v>3390</v>
      </c>
      <c r="C20" s="128" t="s">
        <v>3391</v>
      </c>
      <c r="D20" s="129">
        <v>3000</v>
      </c>
      <c r="E20" s="133" t="s">
        <v>3361</v>
      </c>
      <c r="F20" s="138">
        <v>25.9</v>
      </c>
    </row>
    <row r="21" spans="1:6" ht="34.200000000000003">
      <c r="A21" s="139" t="s">
        <v>3392</v>
      </c>
      <c r="B21" s="139" t="s">
        <v>3392</v>
      </c>
      <c r="C21" s="128" t="s">
        <v>3393</v>
      </c>
      <c r="D21" s="129">
        <v>1000</v>
      </c>
      <c r="E21" s="133" t="s">
        <v>3361</v>
      </c>
      <c r="F21" s="134">
        <v>24.78</v>
      </c>
    </row>
    <row r="22" spans="1:6" ht="34.200000000000003">
      <c r="A22" s="140" t="s">
        <v>3394</v>
      </c>
      <c r="B22" s="140" t="s">
        <v>3394</v>
      </c>
      <c r="C22" s="128" t="s">
        <v>3395</v>
      </c>
      <c r="D22" s="129">
        <v>2000</v>
      </c>
      <c r="E22" s="133" t="s">
        <v>3361</v>
      </c>
      <c r="F22" s="141">
        <v>34</v>
      </c>
    </row>
    <row r="23" spans="1:6" ht="34.200000000000003">
      <c r="A23" s="140" t="s">
        <v>3396</v>
      </c>
      <c r="B23" s="140" t="s">
        <v>3396</v>
      </c>
      <c r="C23" s="142" t="s">
        <v>3397</v>
      </c>
      <c r="D23" s="129">
        <v>2000</v>
      </c>
      <c r="E23" s="133" t="s">
        <v>3361</v>
      </c>
      <c r="F23" s="134">
        <v>31.6</v>
      </c>
    </row>
    <row r="24" spans="1:6" ht="34.200000000000003">
      <c r="A24" s="127" t="s">
        <v>3398</v>
      </c>
      <c r="B24" s="127" t="s">
        <v>3398</v>
      </c>
      <c r="C24" s="128" t="s">
        <v>4555</v>
      </c>
      <c r="D24" s="129">
        <v>1000</v>
      </c>
      <c r="E24" s="133" t="s">
        <v>3361</v>
      </c>
      <c r="F24" s="138">
        <v>19.84</v>
      </c>
    </row>
    <row r="25" spans="1:6" ht="34.200000000000003">
      <c r="A25" s="127" t="s">
        <v>3399</v>
      </c>
      <c r="B25" s="127" t="s">
        <v>3399</v>
      </c>
      <c r="C25" s="128" t="s">
        <v>3400</v>
      </c>
      <c r="D25" s="129">
        <v>3510</v>
      </c>
      <c r="E25" s="133" t="s">
        <v>3353</v>
      </c>
      <c r="F25" s="134">
        <v>16.059999999999999</v>
      </c>
    </row>
    <row r="26" spans="1:6" ht="34.200000000000003">
      <c r="A26" s="127" t="s">
        <v>3401</v>
      </c>
      <c r="B26" s="127" t="s">
        <v>3401</v>
      </c>
      <c r="C26" s="128" t="s">
        <v>3400</v>
      </c>
      <c r="D26" s="129">
        <v>4000</v>
      </c>
      <c r="E26" s="133" t="s">
        <v>3361</v>
      </c>
      <c r="F26" s="134">
        <v>16.04</v>
      </c>
    </row>
    <row r="27" spans="1:6" ht="34.200000000000003">
      <c r="A27" s="127" t="s">
        <v>3402</v>
      </c>
      <c r="B27" s="127" t="s">
        <v>3402</v>
      </c>
      <c r="C27" s="128" t="s">
        <v>3403</v>
      </c>
      <c r="D27" s="129">
        <v>3000</v>
      </c>
      <c r="E27" s="133" t="s">
        <v>3361</v>
      </c>
      <c r="F27" s="134">
        <v>18.7</v>
      </c>
    </row>
    <row r="28" spans="1:6" ht="34.200000000000003">
      <c r="A28" s="127" t="s">
        <v>3404</v>
      </c>
      <c r="B28" s="127" t="s">
        <v>3404</v>
      </c>
      <c r="C28" s="128" t="s">
        <v>3405</v>
      </c>
      <c r="D28" s="129">
        <v>3000</v>
      </c>
      <c r="E28" s="133" t="s">
        <v>3361</v>
      </c>
      <c r="F28" s="138">
        <v>23.58</v>
      </c>
    </row>
    <row r="29" spans="1:6" ht="34.200000000000003">
      <c r="A29" s="127" t="s">
        <v>3406</v>
      </c>
      <c r="B29" s="127" t="s">
        <v>3406</v>
      </c>
      <c r="C29" s="128" t="s">
        <v>3407</v>
      </c>
      <c r="D29" s="129">
        <v>2000</v>
      </c>
      <c r="E29" s="133" t="s">
        <v>3361</v>
      </c>
      <c r="F29" s="138">
        <v>21.12</v>
      </c>
    </row>
    <row r="30" spans="1:6" ht="34.200000000000003">
      <c r="A30" s="127" t="s">
        <v>3408</v>
      </c>
      <c r="B30" s="127" t="s">
        <v>3408</v>
      </c>
      <c r="C30" s="128" t="s">
        <v>3409</v>
      </c>
      <c r="D30" s="129">
        <v>3000</v>
      </c>
      <c r="E30" s="133" t="s">
        <v>3361</v>
      </c>
      <c r="F30" s="134">
        <v>8.4</v>
      </c>
    </row>
    <row r="31" spans="1:6" ht="34.200000000000003">
      <c r="A31" s="127" t="s">
        <v>3410</v>
      </c>
      <c r="B31" s="127" t="s">
        <v>3410</v>
      </c>
      <c r="C31" s="128" t="s">
        <v>3411</v>
      </c>
      <c r="D31" s="129">
        <v>3510</v>
      </c>
      <c r="E31" s="133" t="s">
        <v>3361</v>
      </c>
      <c r="F31" s="134">
        <v>11.3</v>
      </c>
    </row>
    <row r="32" spans="1:6" ht="34.200000000000003">
      <c r="A32" s="127" t="s">
        <v>3412</v>
      </c>
      <c r="B32" s="127" t="s">
        <v>3412</v>
      </c>
      <c r="C32" s="128" t="s">
        <v>3413</v>
      </c>
      <c r="D32" s="129">
        <v>3510</v>
      </c>
      <c r="E32" s="133" t="s">
        <v>3361</v>
      </c>
      <c r="F32" s="134">
        <v>19.600000000000001</v>
      </c>
    </row>
    <row r="33" spans="1:6" ht="34.200000000000003">
      <c r="A33" s="127" t="s">
        <v>3414</v>
      </c>
      <c r="B33" s="127" t="s">
        <v>3414</v>
      </c>
      <c r="C33" s="128" t="s">
        <v>3415</v>
      </c>
      <c r="D33" s="129">
        <v>3300</v>
      </c>
      <c r="E33" s="133" t="s">
        <v>3416</v>
      </c>
      <c r="F33" s="134">
        <v>10.54</v>
      </c>
    </row>
    <row r="34" spans="1:6" ht="34.200000000000003">
      <c r="A34" s="127" t="s">
        <v>3417</v>
      </c>
      <c r="B34" s="127" t="s">
        <v>3417</v>
      </c>
      <c r="C34" s="128" t="s">
        <v>3418</v>
      </c>
      <c r="D34" s="129">
        <v>3510</v>
      </c>
      <c r="E34" s="133" t="s">
        <v>3361</v>
      </c>
      <c r="F34" s="134">
        <v>14.61</v>
      </c>
    </row>
    <row r="35" spans="1:6" ht="34.200000000000003">
      <c r="A35" s="127" t="s">
        <v>3419</v>
      </c>
      <c r="B35" s="127" t="s">
        <v>3419</v>
      </c>
      <c r="C35" s="128" t="s">
        <v>3420</v>
      </c>
      <c r="D35" s="129">
        <v>3000</v>
      </c>
      <c r="E35" s="133" t="s">
        <v>3361</v>
      </c>
      <c r="F35" s="134">
        <v>5.35</v>
      </c>
    </row>
    <row r="36" spans="1:6" ht="34.200000000000003">
      <c r="A36" s="127" t="s">
        <v>3421</v>
      </c>
      <c r="B36" s="127" t="s">
        <v>3421</v>
      </c>
      <c r="C36" s="128" t="s">
        <v>3422</v>
      </c>
      <c r="D36" s="129">
        <v>2000</v>
      </c>
      <c r="E36" s="133" t="s">
        <v>3416</v>
      </c>
      <c r="F36" s="137">
        <v>17.190000000000001</v>
      </c>
    </row>
    <row r="37" spans="1:6" ht="34.200000000000003">
      <c r="A37" s="143" t="s">
        <v>3423</v>
      </c>
      <c r="B37" s="143" t="s">
        <v>3423</v>
      </c>
      <c r="C37" s="144" t="s">
        <v>3424</v>
      </c>
      <c r="D37" s="129">
        <v>2000</v>
      </c>
      <c r="E37" s="133" t="s">
        <v>3361</v>
      </c>
      <c r="F37" s="137">
        <v>25</v>
      </c>
    </row>
    <row r="38" spans="1:6" ht="34.200000000000003">
      <c r="A38" s="135" t="s">
        <v>3425</v>
      </c>
      <c r="B38" s="135" t="s">
        <v>3425</v>
      </c>
      <c r="C38" s="136" t="s">
        <v>3426</v>
      </c>
      <c r="D38" s="129">
        <v>2000</v>
      </c>
      <c r="E38" s="133" t="s">
        <v>3361</v>
      </c>
      <c r="F38" s="134">
        <v>28.43</v>
      </c>
    </row>
    <row r="39" spans="1:6" ht="34.200000000000003">
      <c r="A39" s="135" t="s">
        <v>3427</v>
      </c>
      <c r="B39" s="135" t="s">
        <v>3427</v>
      </c>
      <c r="C39" s="136" t="s">
        <v>3428</v>
      </c>
      <c r="D39" s="129">
        <v>2000</v>
      </c>
      <c r="E39" s="133" t="s">
        <v>3361</v>
      </c>
      <c r="F39" s="134">
        <v>31.23</v>
      </c>
    </row>
    <row r="40" spans="1:6" ht="34.200000000000003">
      <c r="A40" s="127" t="s">
        <v>3429</v>
      </c>
      <c r="B40" s="127" t="s">
        <v>3429</v>
      </c>
      <c r="C40" s="128" t="s">
        <v>3430</v>
      </c>
      <c r="D40" s="129">
        <v>2080</v>
      </c>
      <c r="E40" s="133" t="s">
        <v>3356</v>
      </c>
      <c r="F40" s="137">
        <v>20.38</v>
      </c>
    </row>
    <row r="41" spans="1:6" ht="34.200000000000003">
      <c r="A41" s="127" t="s">
        <v>3431</v>
      </c>
      <c r="B41" s="127" t="s">
        <v>3431</v>
      </c>
      <c r="C41" s="128" t="s">
        <v>3432</v>
      </c>
      <c r="D41" s="129">
        <v>2010</v>
      </c>
      <c r="E41" s="133" t="s">
        <v>3356</v>
      </c>
      <c r="F41" s="137">
        <v>19.420000000000002</v>
      </c>
    </row>
    <row r="42" spans="1:6" ht="34.200000000000003">
      <c r="A42" s="135" t="s">
        <v>3433</v>
      </c>
      <c r="B42" s="135" t="s">
        <v>3433</v>
      </c>
      <c r="C42" s="136" t="s">
        <v>3434</v>
      </c>
      <c r="D42" s="129">
        <v>3000</v>
      </c>
      <c r="E42" s="133" t="s">
        <v>3361</v>
      </c>
      <c r="F42" s="134">
        <v>14.89</v>
      </c>
    </row>
    <row r="43" spans="1:6" ht="34.200000000000003">
      <c r="A43" s="143" t="s">
        <v>3435</v>
      </c>
      <c r="B43" s="143" t="s">
        <v>3435</v>
      </c>
      <c r="C43" s="144" t="s">
        <v>3436</v>
      </c>
      <c r="D43" s="129">
        <v>2010</v>
      </c>
      <c r="E43" s="133" t="s">
        <v>3353</v>
      </c>
      <c r="F43" s="134">
        <v>23.74</v>
      </c>
    </row>
    <row r="44" spans="1:6" ht="34.200000000000003">
      <c r="A44" s="127" t="s">
        <v>3437</v>
      </c>
      <c r="B44" s="127" t="s">
        <v>3437</v>
      </c>
      <c r="C44" s="128" t="s">
        <v>3438</v>
      </c>
      <c r="D44" s="129">
        <v>3500</v>
      </c>
      <c r="E44" s="133" t="s">
        <v>3361</v>
      </c>
      <c r="F44" s="134">
        <v>6.62</v>
      </c>
    </row>
    <row r="45" spans="1:6" ht="34.200000000000003">
      <c r="A45" s="127" t="s">
        <v>3439</v>
      </c>
      <c r="B45" s="127" t="s">
        <v>3439</v>
      </c>
      <c r="C45" s="128" t="s">
        <v>3440</v>
      </c>
      <c r="D45" s="129">
        <v>2000</v>
      </c>
      <c r="E45" s="133" t="s">
        <v>3361</v>
      </c>
      <c r="F45" s="134">
        <v>32.76</v>
      </c>
    </row>
    <row r="46" spans="1:6" ht="34.200000000000003">
      <c r="A46" s="145" t="s">
        <v>3441</v>
      </c>
      <c r="B46" s="145" t="s">
        <v>3441</v>
      </c>
      <c r="C46" s="146" t="s">
        <v>3442</v>
      </c>
      <c r="D46" s="129">
        <v>2000</v>
      </c>
      <c r="E46" s="133" t="s">
        <v>3361</v>
      </c>
      <c r="F46" s="137">
        <v>19.45</v>
      </c>
    </row>
    <row r="47" spans="1:6" ht="34.200000000000003">
      <c r="A47" s="145" t="s">
        <v>3443</v>
      </c>
      <c r="B47" s="145" t="s">
        <v>3443</v>
      </c>
      <c r="C47" s="144" t="s">
        <v>3444</v>
      </c>
      <c r="D47" s="129">
        <v>21000</v>
      </c>
      <c r="E47" s="133" t="s">
        <v>3445</v>
      </c>
      <c r="F47" s="137">
        <v>21.95</v>
      </c>
    </row>
    <row r="48" spans="1:6" ht="34.200000000000003">
      <c r="A48" s="127" t="s">
        <v>3446</v>
      </c>
      <c r="B48" s="127" t="s">
        <v>3446</v>
      </c>
      <c r="C48" s="147" t="s">
        <v>3447</v>
      </c>
      <c r="D48" s="129">
        <v>2000</v>
      </c>
      <c r="E48" s="133" t="s">
        <v>3448</v>
      </c>
      <c r="F48" s="134">
        <v>10.09</v>
      </c>
    </row>
    <row r="49" spans="1:6" ht="34.200000000000003">
      <c r="A49" s="127" t="s">
        <v>3449</v>
      </c>
      <c r="B49" s="127" t="s">
        <v>3449</v>
      </c>
      <c r="C49" s="147" t="s">
        <v>3450</v>
      </c>
      <c r="D49" s="129">
        <v>1800</v>
      </c>
      <c r="E49" s="133" t="s">
        <v>3448</v>
      </c>
      <c r="F49" s="134">
        <v>9.4700000000000006</v>
      </c>
    </row>
    <row r="50" spans="1:6" ht="34.200000000000003">
      <c r="A50" s="135" t="s">
        <v>3451</v>
      </c>
      <c r="B50" s="135" t="s">
        <v>3451</v>
      </c>
      <c r="C50" s="148" t="s">
        <v>3452</v>
      </c>
      <c r="D50" s="129">
        <v>2100</v>
      </c>
      <c r="E50" s="133" t="s">
        <v>3361</v>
      </c>
      <c r="F50" s="134">
        <v>1.67</v>
      </c>
    </row>
    <row r="51" spans="1:6" ht="34.200000000000003">
      <c r="A51" s="149" t="s">
        <v>3453</v>
      </c>
      <c r="B51" s="149" t="s">
        <v>3453</v>
      </c>
      <c r="C51" s="150" t="s">
        <v>3454</v>
      </c>
      <c r="D51" s="129">
        <v>2500</v>
      </c>
      <c r="E51" s="133" t="s">
        <v>3361</v>
      </c>
      <c r="F51" s="134">
        <v>5.27</v>
      </c>
    </row>
    <row r="52" spans="1:6" ht="34.200000000000003">
      <c r="A52" s="149" t="s">
        <v>3455</v>
      </c>
      <c r="B52" s="149" t="s">
        <v>3455</v>
      </c>
      <c r="C52" s="128" t="s">
        <v>3456</v>
      </c>
      <c r="D52" s="129">
        <v>3500</v>
      </c>
      <c r="E52" s="133" t="s">
        <v>3361</v>
      </c>
      <c r="F52" s="134">
        <v>11.55</v>
      </c>
    </row>
    <row r="53" spans="1:6" ht="34.200000000000003">
      <c r="A53" s="149" t="s">
        <v>3457</v>
      </c>
      <c r="B53" s="149" t="s">
        <v>3457</v>
      </c>
      <c r="C53" s="128" t="s">
        <v>3458</v>
      </c>
      <c r="D53" s="129">
        <v>2800</v>
      </c>
      <c r="E53" s="133" t="s">
        <v>3361</v>
      </c>
      <c r="F53" s="134">
        <v>9.69</v>
      </c>
    </row>
    <row r="54" spans="1:6" ht="34.200000000000003">
      <c r="A54" s="149" t="s">
        <v>3459</v>
      </c>
      <c r="B54" s="149" t="s">
        <v>3459</v>
      </c>
      <c r="C54" s="128" t="s">
        <v>3460</v>
      </c>
      <c r="D54" s="129">
        <v>1590</v>
      </c>
      <c r="E54" s="133" t="s">
        <v>3361</v>
      </c>
      <c r="F54" s="134">
        <v>10.19</v>
      </c>
    </row>
    <row r="55" spans="1:6" ht="34.200000000000003">
      <c r="A55" s="149" t="s">
        <v>3461</v>
      </c>
      <c r="B55" s="149" t="s">
        <v>3461</v>
      </c>
      <c r="C55" s="128" t="s">
        <v>3462</v>
      </c>
      <c r="D55" s="129">
        <v>2800</v>
      </c>
      <c r="E55" s="133" t="s">
        <v>3361</v>
      </c>
      <c r="F55" s="134">
        <v>10.71</v>
      </c>
    </row>
    <row r="56" spans="1:6" ht="34.200000000000003">
      <c r="A56" s="149" t="s">
        <v>3463</v>
      </c>
      <c r="B56" s="149" t="s">
        <v>3463</v>
      </c>
      <c r="C56" s="128" t="s">
        <v>3464</v>
      </c>
      <c r="D56" s="129">
        <v>3000</v>
      </c>
      <c r="E56" s="133" t="s">
        <v>3361</v>
      </c>
      <c r="F56" s="138">
        <v>0.51</v>
      </c>
    </row>
    <row r="57" spans="1:6" ht="34.200000000000003">
      <c r="A57" s="149" t="s">
        <v>3465</v>
      </c>
      <c r="B57" s="149" t="s">
        <v>3465</v>
      </c>
      <c r="C57" s="128" t="s">
        <v>3466</v>
      </c>
      <c r="D57" s="129" t="s">
        <v>3376</v>
      </c>
      <c r="E57" s="133" t="s">
        <v>3353</v>
      </c>
      <c r="F57" s="134" t="s">
        <v>3376</v>
      </c>
    </row>
    <row r="58" spans="1:6" ht="34.200000000000003">
      <c r="A58" s="149" t="s">
        <v>3467</v>
      </c>
      <c r="B58" s="149" t="s">
        <v>3467</v>
      </c>
      <c r="C58" s="128" t="s">
        <v>3468</v>
      </c>
      <c r="D58" s="129">
        <v>3300</v>
      </c>
      <c r="E58" s="133" t="s">
        <v>3361</v>
      </c>
      <c r="F58" s="134">
        <v>4.92</v>
      </c>
    </row>
    <row r="59" spans="1:6" ht="34.200000000000003">
      <c r="A59" s="149" t="s">
        <v>3469</v>
      </c>
      <c r="B59" s="149" t="s">
        <v>3469</v>
      </c>
      <c r="C59" s="128" t="s">
        <v>3470</v>
      </c>
      <c r="D59" s="129">
        <v>3500</v>
      </c>
      <c r="E59" s="133" t="s">
        <v>3361</v>
      </c>
      <c r="F59" s="134">
        <v>5.05</v>
      </c>
    </row>
    <row r="60" spans="1:6" ht="34.200000000000003">
      <c r="A60" s="151" t="s">
        <v>3471</v>
      </c>
      <c r="B60" s="135" t="s">
        <v>3471</v>
      </c>
      <c r="C60" s="152" t="s">
        <v>3472</v>
      </c>
      <c r="D60" s="129">
        <v>3300</v>
      </c>
      <c r="E60" s="133" t="s">
        <v>3361</v>
      </c>
      <c r="F60" s="134">
        <v>4.71</v>
      </c>
    </row>
    <row r="61" spans="1:6" ht="34.200000000000003">
      <c r="A61" s="135" t="s">
        <v>3473</v>
      </c>
      <c r="B61" s="135" t="s">
        <v>3473</v>
      </c>
      <c r="C61" s="136" t="s">
        <v>3474</v>
      </c>
      <c r="D61" s="129">
        <v>3900</v>
      </c>
      <c r="E61" s="133" t="s">
        <v>3448</v>
      </c>
      <c r="F61" s="134">
        <v>3.72</v>
      </c>
    </row>
    <row r="62" spans="1:6" ht="34.200000000000003">
      <c r="A62" s="135" t="s">
        <v>3475</v>
      </c>
      <c r="B62" s="135" t="s">
        <v>3475</v>
      </c>
      <c r="C62" s="136" t="s">
        <v>3452</v>
      </c>
      <c r="D62" s="129">
        <v>2100</v>
      </c>
      <c r="E62" s="133" t="s">
        <v>3361</v>
      </c>
      <c r="F62" s="153">
        <v>1.6</v>
      </c>
    </row>
    <row r="63" spans="1:6" ht="34.200000000000003">
      <c r="A63" s="135" t="s">
        <v>3476</v>
      </c>
      <c r="B63" s="135" t="s">
        <v>3476</v>
      </c>
      <c r="C63" s="136" t="s">
        <v>3477</v>
      </c>
      <c r="D63" s="129">
        <v>4400</v>
      </c>
      <c r="E63" s="133" t="s">
        <v>3361</v>
      </c>
      <c r="F63" s="134">
        <v>2.2799999999999998</v>
      </c>
    </row>
    <row r="64" spans="1:6" ht="34.200000000000003">
      <c r="A64" s="135" t="s">
        <v>3478</v>
      </c>
      <c r="B64" s="135" t="s">
        <v>3478</v>
      </c>
      <c r="C64" s="136" t="s">
        <v>3479</v>
      </c>
      <c r="D64" s="129">
        <v>3550</v>
      </c>
      <c r="E64" s="133" t="s">
        <v>3361</v>
      </c>
      <c r="F64" s="134">
        <v>2.98</v>
      </c>
    </row>
    <row r="65" spans="1:6" ht="34.200000000000003">
      <c r="A65" s="149" t="s">
        <v>3480</v>
      </c>
      <c r="B65" s="149" t="s">
        <v>3480</v>
      </c>
      <c r="C65" s="154" t="s">
        <v>3481</v>
      </c>
      <c r="D65" s="129">
        <v>2100</v>
      </c>
      <c r="E65" s="133" t="s">
        <v>3361</v>
      </c>
      <c r="F65" s="134">
        <v>9.6</v>
      </c>
    </row>
    <row r="66" spans="1:6" ht="34.200000000000003">
      <c r="A66" s="135" t="s">
        <v>3482</v>
      </c>
      <c r="B66" s="135" t="s">
        <v>3482</v>
      </c>
      <c r="C66" s="155" t="s">
        <v>3483</v>
      </c>
      <c r="D66" s="129">
        <v>3000</v>
      </c>
      <c r="E66" s="133" t="s">
        <v>3361</v>
      </c>
      <c r="F66" s="134">
        <v>1.69</v>
      </c>
    </row>
    <row r="67" spans="1:6" ht="34.200000000000003">
      <c r="A67" s="156" t="s">
        <v>3484</v>
      </c>
      <c r="B67" s="156" t="s">
        <v>3484</v>
      </c>
      <c r="C67" s="128" t="s">
        <v>3485</v>
      </c>
      <c r="D67" s="129">
        <v>3000</v>
      </c>
      <c r="E67" s="133" t="s">
        <v>3448</v>
      </c>
      <c r="F67" s="134">
        <v>2.36</v>
      </c>
    </row>
    <row r="68" spans="1:6" ht="34.200000000000003">
      <c r="A68" s="149" t="s">
        <v>3486</v>
      </c>
      <c r="B68" s="149" t="s">
        <v>3486</v>
      </c>
      <c r="C68" s="128" t="s">
        <v>3487</v>
      </c>
      <c r="D68" s="129">
        <v>2250</v>
      </c>
      <c r="E68" s="133" t="s">
        <v>3448</v>
      </c>
      <c r="F68" s="134">
        <v>2.48</v>
      </c>
    </row>
    <row r="69" spans="1:6" ht="34.200000000000003">
      <c r="A69" s="135" t="s">
        <v>3488</v>
      </c>
      <c r="B69" s="135" t="s">
        <v>3488</v>
      </c>
      <c r="C69" s="155" t="s">
        <v>3489</v>
      </c>
      <c r="D69" s="129">
        <v>3500</v>
      </c>
      <c r="E69" s="133" t="s">
        <v>3361</v>
      </c>
      <c r="F69" s="134">
        <v>9.93</v>
      </c>
    </row>
    <row r="70" spans="1:6" ht="34.200000000000003">
      <c r="A70" s="127" t="s">
        <v>3490</v>
      </c>
      <c r="B70" s="127" t="s">
        <v>3490</v>
      </c>
      <c r="C70" s="147" t="s">
        <v>3491</v>
      </c>
      <c r="D70" s="129">
        <v>2000</v>
      </c>
      <c r="E70" s="133" t="s">
        <v>3361</v>
      </c>
      <c r="F70" s="134">
        <v>10.3</v>
      </c>
    </row>
    <row r="71" spans="1:6" ht="34.200000000000003">
      <c r="A71" s="127" t="s">
        <v>3492</v>
      </c>
      <c r="B71" s="127" t="s">
        <v>3492</v>
      </c>
      <c r="C71" s="147" t="s">
        <v>3493</v>
      </c>
      <c r="D71" s="129">
        <v>2250</v>
      </c>
      <c r="E71" s="133" t="s">
        <v>3361</v>
      </c>
      <c r="F71" s="134">
        <v>2.68</v>
      </c>
    </row>
    <row r="72" spans="1:6" ht="34.200000000000003">
      <c r="A72" s="149" t="s">
        <v>3494</v>
      </c>
      <c r="B72" s="149" t="s">
        <v>3494</v>
      </c>
      <c r="C72" s="128" t="s">
        <v>3495</v>
      </c>
      <c r="D72" s="129">
        <v>5400</v>
      </c>
      <c r="E72" s="133" t="s">
        <v>3361</v>
      </c>
      <c r="F72" s="134">
        <v>10</v>
      </c>
    </row>
    <row r="73" spans="1:6" ht="34.200000000000003">
      <c r="A73" s="127" t="s">
        <v>3496</v>
      </c>
      <c r="B73" s="127" t="s">
        <v>3496</v>
      </c>
      <c r="C73" s="147" t="s">
        <v>3497</v>
      </c>
      <c r="D73" s="129">
        <v>1550</v>
      </c>
      <c r="E73" s="133" t="s">
        <v>3361</v>
      </c>
      <c r="F73" s="134">
        <v>10.220000000000001</v>
      </c>
    </row>
    <row r="74" spans="1:6" ht="34.200000000000003">
      <c r="A74" s="149" t="s">
        <v>3498</v>
      </c>
      <c r="B74" s="149" t="s">
        <v>3498</v>
      </c>
      <c r="C74" s="128" t="s">
        <v>3499</v>
      </c>
      <c r="D74" s="129">
        <v>4000</v>
      </c>
      <c r="E74" s="133" t="s">
        <v>3361</v>
      </c>
      <c r="F74" s="134">
        <v>5.4</v>
      </c>
    </row>
    <row r="75" spans="1:6" ht="34.200000000000003">
      <c r="A75" s="127" t="s">
        <v>3500</v>
      </c>
      <c r="B75" s="127" t="s">
        <v>3500</v>
      </c>
      <c r="C75" s="147" t="s">
        <v>3501</v>
      </c>
      <c r="D75" s="129">
        <v>3600</v>
      </c>
      <c r="E75" s="133" t="s">
        <v>3361</v>
      </c>
      <c r="F75" s="134">
        <v>11.42</v>
      </c>
    </row>
    <row r="76" spans="1:6" ht="34.200000000000003">
      <c r="A76" s="149" t="s">
        <v>3502</v>
      </c>
      <c r="B76" s="149" t="s">
        <v>3502</v>
      </c>
      <c r="C76" s="128" t="s">
        <v>3503</v>
      </c>
      <c r="D76" s="129">
        <v>2310</v>
      </c>
      <c r="E76" s="133" t="s">
        <v>3361</v>
      </c>
      <c r="F76" s="134">
        <v>10.220000000000001</v>
      </c>
    </row>
    <row r="77" spans="1:6" ht="34.200000000000003">
      <c r="A77" s="149" t="s">
        <v>3504</v>
      </c>
      <c r="B77" s="149" t="s">
        <v>3504</v>
      </c>
      <c r="C77" s="128" t="s">
        <v>3505</v>
      </c>
      <c r="D77" s="129">
        <v>1950</v>
      </c>
      <c r="E77" s="133" t="s">
        <v>3361</v>
      </c>
      <c r="F77" s="134">
        <v>10.88</v>
      </c>
    </row>
    <row r="78" spans="1:6" ht="34.200000000000003">
      <c r="A78" s="127" t="s">
        <v>3506</v>
      </c>
      <c r="B78" s="127" t="s">
        <v>3506</v>
      </c>
      <c r="C78" s="147" t="s">
        <v>3507</v>
      </c>
      <c r="D78" s="129">
        <v>3300</v>
      </c>
      <c r="E78" s="133" t="s">
        <v>3361</v>
      </c>
      <c r="F78" s="134">
        <v>4.6900000000000004</v>
      </c>
    </row>
    <row r="79" spans="1:6" ht="34.200000000000003">
      <c r="A79" s="149" t="s">
        <v>3508</v>
      </c>
      <c r="B79" s="149" t="s">
        <v>3508</v>
      </c>
      <c r="C79" s="128" t="s">
        <v>3509</v>
      </c>
      <c r="D79" s="129">
        <v>3250</v>
      </c>
      <c r="E79" s="133" t="s">
        <v>3361</v>
      </c>
      <c r="F79" s="134">
        <v>5.64</v>
      </c>
    </row>
    <row r="80" spans="1:6" ht="34.200000000000003">
      <c r="A80" s="149" t="s">
        <v>3510</v>
      </c>
      <c r="B80" s="149" t="s">
        <v>3510</v>
      </c>
      <c r="C80" s="128" t="s">
        <v>3511</v>
      </c>
      <c r="D80" s="129">
        <v>3500</v>
      </c>
      <c r="E80" s="133" t="s">
        <v>3361</v>
      </c>
      <c r="F80" s="134">
        <v>3.85</v>
      </c>
    </row>
    <row r="81" spans="1:6" ht="34.200000000000003">
      <c r="A81" s="149" t="s">
        <v>3512</v>
      </c>
      <c r="B81" s="149" t="s">
        <v>3512</v>
      </c>
      <c r="C81" s="128" t="s">
        <v>3513</v>
      </c>
      <c r="D81" s="129">
        <v>3000</v>
      </c>
      <c r="E81" s="133" t="s">
        <v>3361</v>
      </c>
      <c r="F81" s="134">
        <v>4.4800000000000004</v>
      </c>
    </row>
    <row r="82" spans="1:6" ht="34.200000000000003">
      <c r="A82" s="149" t="s">
        <v>3514</v>
      </c>
      <c r="B82" s="149" t="s">
        <v>3514</v>
      </c>
      <c r="C82" s="128" t="s">
        <v>3515</v>
      </c>
      <c r="D82" s="129">
        <v>3150</v>
      </c>
      <c r="E82" s="133" t="s">
        <v>3361</v>
      </c>
      <c r="F82" s="137">
        <v>7.71</v>
      </c>
    </row>
    <row r="83" spans="1:6" ht="34.200000000000003">
      <c r="A83" s="149" t="s">
        <v>3516</v>
      </c>
      <c r="B83" s="149" t="s">
        <v>3516</v>
      </c>
      <c r="C83" s="128" t="s">
        <v>3517</v>
      </c>
      <c r="D83" s="129">
        <v>3000</v>
      </c>
      <c r="E83" s="133" t="s">
        <v>3518</v>
      </c>
      <c r="F83" s="134">
        <v>4.0599999999999996</v>
      </c>
    </row>
    <row r="84" spans="1:6" ht="34.200000000000003">
      <c r="A84" s="127" t="s">
        <v>3519</v>
      </c>
      <c r="B84" s="127" t="s">
        <v>3519</v>
      </c>
      <c r="C84" s="157" t="s">
        <v>3520</v>
      </c>
      <c r="D84" s="129">
        <v>3100</v>
      </c>
      <c r="E84" s="133" t="s">
        <v>3361</v>
      </c>
      <c r="F84" s="134">
        <v>10.66</v>
      </c>
    </row>
    <row r="85" spans="1:6" ht="34.200000000000003">
      <c r="A85" s="149" t="s">
        <v>3521</v>
      </c>
      <c r="B85" s="149" t="s">
        <v>3521</v>
      </c>
      <c r="C85" s="128" t="s">
        <v>3522</v>
      </c>
      <c r="D85" s="129">
        <v>2900</v>
      </c>
      <c r="E85" s="133" t="s">
        <v>3448</v>
      </c>
      <c r="F85" s="134">
        <v>10.41</v>
      </c>
    </row>
    <row r="86" spans="1:6" ht="34.200000000000003">
      <c r="A86" s="127" t="s">
        <v>3523</v>
      </c>
      <c r="B86" s="127" t="s">
        <v>3523</v>
      </c>
      <c r="C86" s="147" t="s">
        <v>3524</v>
      </c>
      <c r="D86" s="158">
        <v>2300</v>
      </c>
      <c r="E86" s="133" t="s">
        <v>3361</v>
      </c>
      <c r="F86" s="137">
        <v>11.13</v>
      </c>
    </row>
    <row r="87" spans="1:6" ht="34.200000000000003">
      <c r="A87" s="149" t="s">
        <v>3525</v>
      </c>
      <c r="B87" s="149" t="s">
        <v>3525</v>
      </c>
      <c r="C87" s="128" t="s">
        <v>3526</v>
      </c>
      <c r="D87" s="129">
        <v>950</v>
      </c>
      <c r="E87" s="133" t="s">
        <v>3353</v>
      </c>
      <c r="F87" s="134">
        <v>10.08</v>
      </c>
    </row>
    <row r="88" spans="1:6" ht="34.200000000000003">
      <c r="A88" s="127" t="s">
        <v>3527</v>
      </c>
      <c r="B88" s="127" t="s">
        <v>3527</v>
      </c>
      <c r="C88" s="147" t="s">
        <v>3528</v>
      </c>
      <c r="D88" s="129">
        <v>1500</v>
      </c>
      <c r="E88" s="133" t="s">
        <v>3361</v>
      </c>
      <c r="F88" s="134">
        <v>3.15</v>
      </c>
    </row>
    <row r="89" spans="1:6" ht="34.200000000000003">
      <c r="A89" s="127" t="s">
        <v>3529</v>
      </c>
      <c r="B89" s="127" t="s">
        <v>3529</v>
      </c>
      <c r="C89" s="147" t="s">
        <v>3530</v>
      </c>
      <c r="D89" s="129">
        <v>900</v>
      </c>
      <c r="E89" s="133" t="s">
        <v>3361</v>
      </c>
      <c r="F89" s="134">
        <v>8.6199999999999992</v>
      </c>
    </row>
    <row r="90" spans="1:6" ht="34.200000000000003">
      <c r="A90" s="127" t="s">
        <v>3531</v>
      </c>
      <c r="B90" s="127" t="s">
        <v>3531</v>
      </c>
      <c r="C90" s="147" t="s">
        <v>3532</v>
      </c>
      <c r="D90" s="129">
        <v>1020</v>
      </c>
      <c r="E90" s="133" t="s">
        <v>3353</v>
      </c>
      <c r="F90" s="134">
        <v>9.73</v>
      </c>
    </row>
    <row r="91" spans="1:6" ht="34.200000000000003">
      <c r="A91" s="127" t="s">
        <v>3533</v>
      </c>
      <c r="B91" s="127" t="s">
        <v>3533</v>
      </c>
      <c r="C91" s="147" t="s">
        <v>3534</v>
      </c>
      <c r="D91" s="129">
        <v>3500</v>
      </c>
      <c r="E91" s="133" t="s">
        <v>3448</v>
      </c>
      <c r="F91" s="134">
        <v>2.66</v>
      </c>
    </row>
    <row r="92" spans="1:6" ht="34.200000000000003">
      <c r="A92" s="127" t="s">
        <v>3561</v>
      </c>
      <c r="B92" s="127" t="s">
        <v>3561</v>
      </c>
      <c r="C92" s="147" t="s">
        <v>3535</v>
      </c>
      <c r="D92" s="129">
        <v>2800</v>
      </c>
      <c r="E92" s="133" t="s">
        <v>3361</v>
      </c>
      <c r="F92" s="159">
        <v>22.22</v>
      </c>
    </row>
    <row r="93" spans="1:6" ht="34.200000000000003">
      <c r="A93" s="127" t="s">
        <v>3536</v>
      </c>
      <c r="B93" s="127" t="s">
        <v>3536</v>
      </c>
      <c r="C93" s="147" t="s">
        <v>3537</v>
      </c>
      <c r="D93" s="129">
        <v>1950</v>
      </c>
      <c r="E93" s="133" t="s">
        <v>3361</v>
      </c>
      <c r="F93" s="134">
        <v>10.54</v>
      </c>
    </row>
    <row r="94" spans="1:6" ht="34.200000000000003">
      <c r="A94" s="127" t="s">
        <v>3538</v>
      </c>
      <c r="B94" s="127" t="s">
        <v>3538</v>
      </c>
      <c r="C94" s="147" t="s">
        <v>3539</v>
      </c>
      <c r="D94" s="129">
        <v>3500</v>
      </c>
      <c r="E94" s="133" t="s">
        <v>3361</v>
      </c>
      <c r="F94" s="134" t="s">
        <v>3376</v>
      </c>
    </row>
    <row r="95" spans="1:6" ht="34.200000000000003">
      <c r="A95" s="127" t="s">
        <v>3540</v>
      </c>
      <c r="B95" s="127" t="s">
        <v>3540</v>
      </c>
      <c r="C95" s="147" t="s">
        <v>6562</v>
      </c>
      <c r="D95" s="129">
        <v>2650</v>
      </c>
      <c r="E95" s="133" t="s">
        <v>3361</v>
      </c>
      <c r="F95" s="134">
        <v>11.5</v>
      </c>
    </row>
    <row r="96" spans="1:6" ht="34.200000000000003">
      <c r="A96" s="149" t="s">
        <v>3541</v>
      </c>
      <c r="B96" s="149" t="s">
        <v>3541</v>
      </c>
      <c r="C96" s="128" t="s">
        <v>3542</v>
      </c>
      <c r="D96" s="129">
        <v>2500</v>
      </c>
      <c r="E96" s="133" t="s">
        <v>3448</v>
      </c>
      <c r="F96" s="134">
        <v>8.4600000000000009</v>
      </c>
    </row>
    <row r="97" spans="1:6" ht="34.200000000000003">
      <c r="A97" s="149" t="s">
        <v>3543</v>
      </c>
      <c r="B97" s="149" t="s">
        <v>3543</v>
      </c>
      <c r="C97" s="128" t="s">
        <v>3544</v>
      </c>
      <c r="D97" s="129">
        <v>2500</v>
      </c>
      <c r="E97" s="133" t="s">
        <v>3448</v>
      </c>
      <c r="F97" s="134">
        <v>8.42</v>
      </c>
    </row>
    <row r="98" spans="1:6" ht="34.200000000000003">
      <c r="A98" s="149" t="s">
        <v>3545</v>
      </c>
      <c r="B98" s="149" t="s">
        <v>3545</v>
      </c>
      <c r="C98" s="128" t="s">
        <v>3546</v>
      </c>
      <c r="D98" s="129">
        <v>3300</v>
      </c>
      <c r="E98" s="133" t="s">
        <v>3448</v>
      </c>
      <c r="F98" s="134">
        <v>8.1300000000000008</v>
      </c>
    </row>
    <row r="99" spans="1:6" ht="34.200000000000003">
      <c r="A99" s="149" t="s">
        <v>3547</v>
      </c>
      <c r="B99" s="149" t="s">
        <v>3547</v>
      </c>
      <c r="C99" s="128" t="s">
        <v>3548</v>
      </c>
      <c r="D99" s="129">
        <v>2500</v>
      </c>
      <c r="E99" s="133" t="s">
        <v>3448</v>
      </c>
      <c r="F99" s="134">
        <v>8.61</v>
      </c>
    </row>
    <row r="100" spans="1:6" ht="34.200000000000003">
      <c r="A100" s="149" t="s">
        <v>3549</v>
      </c>
      <c r="B100" s="149" t="s">
        <v>3549</v>
      </c>
      <c r="C100" s="128" t="s">
        <v>3550</v>
      </c>
      <c r="D100" s="129">
        <v>4000</v>
      </c>
      <c r="E100" s="133" t="s">
        <v>3448</v>
      </c>
      <c r="F100" s="134">
        <v>3.51</v>
      </c>
    </row>
    <row r="101" spans="1:6" ht="34.200000000000003">
      <c r="A101" s="149" t="s">
        <v>3551</v>
      </c>
      <c r="B101" s="149" t="s">
        <v>3551</v>
      </c>
      <c r="C101" s="128" t="s">
        <v>3552</v>
      </c>
      <c r="D101" s="129">
        <v>2500</v>
      </c>
      <c r="E101" s="133" t="s">
        <v>3448</v>
      </c>
      <c r="F101" s="134">
        <v>7.91</v>
      </c>
    </row>
    <row r="102" spans="1:6" ht="34.200000000000003">
      <c r="A102" s="149" t="s">
        <v>3553</v>
      </c>
      <c r="B102" s="149" t="s">
        <v>3553</v>
      </c>
      <c r="C102" s="128" t="s">
        <v>3554</v>
      </c>
      <c r="D102" s="129">
        <v>1500</v>
      </c>
      <c r="E102" s="133" t="s">
        <v>3389</v>
      </c>
      <c r="F102" s="134">
        <v>10.33</v>
      </c>
    </row>
    <row r="103" spans="1:6" ht="34.200000000000003">
      <c r="A103" s="149" t="s">
        <v>3555</v>
      </c>
      <c r="B103" s="149" t="s">
        <v>3555</v>
      </c>
      <c r="C103" s="128" t="s">
        <v>3556</v>
      </c>
      <c r="D103" s="129">
        <v>2000</v>
      </c>
      <c r="E103" s="133" t="s">
        <v>3448</v>
      </c>
      <c r="F103" s="134">
        <v>9.94</v>
      </c>
    </row>
    <row r="104" spans="1:6" ht="34.200000000000003">
      <c r="A104" s="127" t="s">
        <v>3557</v>
      </c>
      <c r="B104" s="127" t="s">
        <v>3557</v>
      </c>
      <c r="C104" s="147" t="s">
        <v>3558</v>
      </c>
      <c r="D104" s="129">
        <v>1400</v>
      </c>
      <c r="E104" s="133" t="s">
        <v>3361</v>
      </c>
      <c r="F104" s="134">
        <v>9.4499999999999993</v>
      </c>
    </row>
    <row r="105" spans="1:6" ht="34.200000000000003">
      <c r="A105" s="160" t="s">
        <v>3559</v>
      </c>
      <c r="B105" s="160" t="s">
        <v>3559</v>
      </c>
      <c r="C105" s="161" t="s">
        <v>3560</v>
      </c>
      <c r="D105" s="132">
        <v>3500</v>
      </c>
      <c r="E105" s="162" t="s">
        <v>3448</v>
      </c>
      <c r="F105" s="163">
        <v>2.57</v>
      </c>
    </row>
    <row r="106" spans="1:6" ht="34.200000000000003">
      <c r="A106" s="127" t="s">
        <v>3607</v>
      </c>
      <c r="B106" s="127" t="s">
        <v>3607</v>
      </c>
      <c r="C106" s="147" t="s">
        <v>3608</v>
      </c>
      <c r="D106" s="129">
        <v>1</v>
      </c>
      <c r="E106" s="133" t="s">
        <v>3361</v>
      </c>
      <c r="F106" s="137" t="s">
        <v>3350</v>
      </c>
    </row>
    <row r="107" spans="1:6" ht="34.200000000000003">
      <c r="A107" s="164" t="s">
        <v>3609</v>
      </c>
      <c r="B107" s="164" t="s">
        <v>3609</v>
      </c>
      <c r="C107" s="165" t="s">
        <v>3623</v>
      </c>
      <c r="D107" s="132">
        <v>1</v>
      </c>
      <c r="E107" s="162" t="s">
        <v>3361</v>
      </c>
      <c r="F107" s="166" t="s">
        <v>3350</v>
      </c>
    </row>
    <row r="108" spans="1:6" ht="34.200000000000003">
      <c r="A108" s="164" t="s">
        <v>3622</v>
      </c>
      <c r="B108" s="164" t="s">
        <v>3622</v>
      </c>
      <c r="C108" s="165" t="s">
        <v>3610</v>
      </c>
      <c r="D108" s="132">
        <v>1</v>
      </c>
      <c r="E108" s="162" t="s">
        <v>3361</v>
      </c>
      <c r="F108" s="166" t="s">
        <v>3350</v>
      </c>
    </row>
    <row r="109" spans="1:6" ht="34.200000000000003">
      <c r="A109" s="167" t="s">
        <v>3480</v>
      </c>
      <c r="B109" s="167" t="s">
        <v>3480</v>
      </c>
      <c r="C109" s="168" t="s">
        <v>3698</v>
      </c>
      <c r="D109" s="129">
        <v>2100</v>
      </c>
      <c r="E109" s="162" t="s">
        <v>3361</v>
      </c>
      <c r="F109" s="137">
        <v>9.6</v>
      </c>
    </row>
    <row r="110" spans="1:6" ht="34.200000000000003">
      <c r="A110" s="164" t="s">
        <v>3701</v>
      </c>
      <c r="B110" s="164" t="s">
        <v>3701</v>
      </c>
      <c r="C110" s="147" t="s">
        <v>3724</v>
      </c>
      <c r="D110" s="132">
        <v>1</v>
      </c>
      <c r="E110" s="162" t="s">
        <v>3361</v>
      </c>
      <c r="F110" s="166" t="s">
        <v>3350</v>
      </c>
    </row>
    <row r="111" spans="1:6" ht="34.200000000000003">
      <c r="A111" s="164" t="s">
        <v>3716</v>
      </c>
      <c r="B111" s="164" t="s">
        <v>3716</v>
      </c>
      <c r="C111" s="147" t="s">
        <v>3725</v>
      </c>
      <c r="D111" s="132"/>
      <c r="E111" s="162" t="s">
        <v>3361</v>
      </c>
      <c r="F111" s="166"/>
    </row>
    <row r="112" spans="1:6" ht="34.200000000000003">
      <c r="A112" s="164" t="s">
        <v>3718</v>
      </c>
      <c r="B112" s="164" t="s">
        <v>3718</v>
      </c>
      <c r="C112" s="147" t="s">
        <v>3723</v>
      </c>
      <c r="D112" s="132">
        <v>1</v>
      </c>
      <c r="E112" s="162" t="s">
        <v>3361</v>
      </c>
      <c r="F112" s="166"/>
    </row>
    <row r="113" spans="1:6" ht="34.200000000000003">
      <c r="A113" s="164" t="s">
        <v>3722</v>
      </c>
      <c r="B113" s="164" t="s">
        <v>3722</v>
      </c>
      <c r="C113" s="147" t="s">
        <v>3724</v>
      </c>
      <c r="D113" s="132">
        <v>1</v>
      </c>
      <c r="E113" s="162" t="s">
        <v>3361</v>
      </c>
      <c r="F113" s="166"/>
    </row>
    <row r="114" spans="1:6" ht="34.200000000000003">
      <c r="A114" s="164" t="s">
        <v>3726</v>
      </c>
      <c r="B114" s="164" t="s">
        <v>3726</v>
      </c>
      <c r="C114" s="147" t="s">
        <v>3723</v>
      </c>
      <c r="D114" s="132">
        <v>1</v>
      </c>
      <c r="E114" s="162" t="s">
        <v>3361</v>
      </c>
      <c r="F114" s="166"/>
    </row>
    <row r="115" spans="1:6" ht="34.200000000000003">
      <c r="A115" s="164" t="s">
        <v>3739</v>
      </c>
      <c r="B115" s="164" t="s">
        <v>3739</v>
      </c>
      <c r="C115" s="147" t="s">
        <v>3740</v>
      </c>
      <c r="D115" s="132"/>
      <c r="E115" s="162" t="s">
        <v>3361</v>
      </c>
      <c r="F115" s="166"/>
    </row>
    <row r="116" spans="1:6" ht="34.200000000000003">
      <c r="A116" s="164" t="s">
        <v>4522</v>
      </c>
      <c r="B116" s="164" t="s">
        <v>4522</v>
      </c>
      <c r="C116" s="128" t="s">
        <v>4523</v>
      </c>
      <c r="D116" s="132">
        <v>2000</v>
      </c>
      <c r="E116" s="133" t="s">
        <v>4834</v>
      </c>
      <c r="F116" s="166"/>
    </row>
    <row r="117" spans="1:6" ht="34.200000000000003">
      <c r="A117" s="164" t="s">
        <v>4524</v>
      </c>
      <c r="B117" s="164" t="s">
        <v>4524</v>
      </c>
      <c r="C117" s="128" t="s">
        <v>4525</v>
      </c>
      <c r="D117" s="129">
        <v>2000</v>
      </c>
      <c r="E117" s="133" t="s">
        <v>4834</v>
      </c>
      <c r="F117" s="137"/>
    </row>
    <row r="118" spans="1:6" ht="34.200000000000003">
      <c r="A118" s="127" t="s">
        <v>4528</v>
      </c>
      <c r="B118" s="127" t="s">
        <v>4528</v>
      </c>
      <c r="C118" s="147" t="s">
        <v>4527</v>
      </c>
      <c r="D118" s="129">
        <v>1000</v>
      </c>
      <c r="E118" s="133" t="s">
        <v>4526</v>
      </c>
      <c r="F118" s="137">
        <v>2</v>
      </c>
    </row>
    <row r="119" spans="1:6" ht="34.200000000000003">
      <c r="A119" s="164" t="s">
        <v>4607</v>
      </c>
      <c r="B119" s="164" t="s">
        <v>4607</v>
      </c>
      <c r="C119" s="128" t="s">
        <v>4608</v>
      </c>
      <c r="D119" s="132">
        <v>3000</v>
      </c>
      <c r="E119" s="133" t="s">
        <v>4834</v>
      </c>
      <c r="F119" s="166">
        <v>11.13</v>
      </c>
    </row>
    <row r="120" spans="1:6" ht="34.200000000000003">
      <c r="A120" s="164" t="s">
        <v>4561</v>
      </c>
      <c r="B120" s="164" t="s">
        <v>4561</v>
      </c>
      <c r="C120" s="165" t="s">
        <v>4562</v>
      </c>
      <c r="D120" s="132">
        <v>3000</v>
      </c>
      <c r="E120" s="133" t="s">
        <v>4835</v>
      </c>
      <c r="F120" s="166">
        <v>19.5</v>
      </c>
    </row>
    <row r="121" spans="1:6" ht="34.200000000000003">
      <c r="A121" s="127" t="s">
        <v>4695</v>
      </c>
      <c r="B121" s="127" t="s">
        <v>4695</v>
      </c>
      <c r="C121" s="147" t="s">
        <v>4696</v>
      </c>
      <c r="D121" s="129">
        <v>1830</v>
      </c>
      <c r="E121" s="133" t="s">
        <v>4836</v>
      </c>
      <c r="F121" s="137">
        <v>8.5</v>
      </c>
    </row>
    <row r="122" spans="1:6" ht="34.200000000000003">
      <c r="A122" s="164" t="s">
        <v>3455</v>
      </c>
      <c r="B122" s="164" t="s">
        <v>3455</v>
      </c>
      <c r="C122" s="165" t="s">
        <v>4802</v>
      </c>
      <c r="D122" s="132">
        <v>3500</v>
      </c>
      <c r="E122" s="133" t="s">
        <v>4837</v>
      </c>
      <c r="F122" s="166">
        <v>11.66</v>
      </c>
    </row>
    <row r="123" spans="1:6" ht="34.200000000000003">
      <c r="A123" s="164" t="s">
        <v>4831</v>
      </c>
      <c r="B123" s="164" t="s">
        <v>4831</v>
      </c>
      <c r="C123" s="165" t="s">
        <v>4838</v>
      </c>
      <c r="D123" s="132">
        <v>1000</v>
      </c>
      <c r="E123" s="162" t="s">
        <v>4833</v>
      </c>
      <c r="F123" s="166">
        <v>19</v>
      </c>
    </row>
    <row r="124" spans="1:6" ht="34.200000000000003">
      <c r="A124" s="164" t="s">
        <v>4832</v>
      </c>
      <c r="B124" s="164" t="s">
        <v>4832</v>
      </c>
      <c r="C124" s="165" t="s">
        <v>4839</v>
      </c>
      <c r="D124" s="132">
        <v>1000</v>
      </c>
      <c r="E124" s="162" t="s">
        <v>3361</v>
      </c>
      <c r="F124" s="166">
        <v>15.46</v>
      </c>
    </row>
    <row r="125" spans="1:6" ht="34.200000000000003">
      <c r="A125" s="164" t="s">
        <v>4948</v>
      </c>
      <c r="B125" s="164" t="s">
        <v>4948</v>
      </c>
      <c r="C125" s="165" t="s">
        <v>4949</v>
      </c>
      <c r="D125" s="132">
        <v>2800</v>
      </c>
      <c r="E125" s="162" t="s">
        <v>3361</v>
      </c>
      <c r="F125" s="166">
        <v>11.13</v>
      </c>
    </row>
    <row r="126" spans="1:6" ht="34.200000000000003">
      <c r="A126" s="164" t="s">
        <v>5150</v>
      </c>
      <c r="B126" s="164" t="s">
        <v>5150</v>
      </c>
      <c r="C126" s="165" t="s">
        <v>3413</v>
      </c>
      <c r="D126" s="129">
        <v>1950</v>
      </c>
      <c r="E126" s="162" t="s">
        <v>3361</v>
      </c>
      <c r="F126" s="134">
        <v>10.88</v>
      </c>
    </row>
    <row r="127" spans="1:6" ht="34.200000000000003">
      <c r="A127" s="164" t="s">
        <v>5321</v>
      </c>
      <c r="B127" s="164" t="s">
        <v>5321</v>
      </c>
      <c r="C127" s="165" t="s">
        <v>5322</v>
      </c>
      <c r="D127" s="129">
        <v>3300</v>
      </c>
      <c r="E127" s="133" t="s">
        <v>3361</v>
      </c>
      <c r="F127" s="134">
        <v>4.92</v>
      </c>
    </row>
    <row r="128" spans="1:6" ht="34.200000000000003">
      <c r="A128" s="164" t="s">
        <v>5469</v>
      </c>
      <c r="B128" s="164" t="s">
        <v>5469</v>
      </c>
      <c r="C128" s="165" t="s">
        <v>5468</v>
      </c>
      <c r="D128" s="132">
        <v>2000</v>
      </c>
      <c r="E128" s="162" t="s">
        <v>4834</v>
      </c>
      <c r="F128" s="169"/>
    </row>
    <row r="129" spans="1:6" ht="34.200000000000003">
      <c r="A129" s="164" t="s">
        <v>5627</v>
      </c>
      <c r="B129" s="164" t="s">
        <v>5627</v>
      </c>
      <c r="C129" s="147" t="s">
        <v>5604</v>
      </c>
      <c r="D129" s="132">
        <v>1</v>
      </c>
      <c r="E129" s="162" t="s">
        <v>4834</v>
      </c>
      <c r="F129" s="166"/>
    </row>
    <row r="130" spans="1:6" ht="34.200000000000003">
      <c r="A130" s="164" t="s">
        <v>5608</v>
      </c>
      <c r="B130" s="164" t="s">
        <v>5608</v>
      </c>
      <c r="C130" s="165" t="s">
        <v>5609</v>
      </c>
      <c r="D130" s="132">
        <v>2100</v>
      </c>
      <c r="E130" s="162" t="s">
        <v>4834</v>
      </c>
      <c r="F130" s="166">
        <v>10</v>
      </c>
    </row>
    <row r="131" spans="1:6" ht="34.200000000000003">
      <c r="A131" s="164" t="s">
        <v>5665</v>
      </c>
      <c r="B131" s="164" t="s">
        <v>5665</v>
      </c>
      <c r="C131" s="147" t="s">
        <v>7029</v>
      </c>
      <c r="D131" s="132">
        <v>1</v>
      </c>
      <c r="E131" s="162" t="s">
        <v>4834</v>
      </c>
      <c r="F131" s="166"/>
    </row>
    <row r="132" spans="1:6" ht="34.200000000000003">
      <c r="A132" s="164" t="s">
        <v>5950</v>
      </c>
      <c r="B132" s="164" t="s">
        <v>5950</v>
      </c>
      <c r="C132" s="165" t="s">
        <v>5951</v>
      </c>
      <c r="D132" s="132">
        <v>3000</v>
      </c>
      <c r="E132" s="162" t="s">
        <v>4834</v>
      </c>
      <c r="F132" s="166">
        <v>14.4</v>
      </c>
    </row>
    <row r="133" spans="1:6" ht="34.200000000000003">
      <c r="A133" s="164" t="s">
        <v>5952</v>
      </c>
      <c r="B133" s="164" t="s">
        <v>5952</v>
      </c>
      <c r="C133" s="165" t="s">
        <v>5953</v>
      </c>
      <c r="D133" s="132">
        <v>5950</v>
      </c>
      <c r="E133" s="162" t="s">
        <v>4834</v>
      </c>
      <c r="F133" s="166">
        <v>11.776999999999999</v>
      </c>
    </row>
    <row r="134" spans="1:6" ht="34.200000000000003">
      <c r="A134" s="164" t="s">
        <v>6529</v>
      </c>
      <c r="B134" s="164" t="s">
        <v>6529</v>
      </c>
      <c r="C134" s="147" t="s">
        <v>3501</v>
      </c>
      <c r="D134" s="132">
        <v>3000</v>
      </c>
      <c r="E134" s="133" t="s">
        <v>3361</v>
      </c>
      <c r="F134" s="166">
        <v>9.4</v>
      </c>
    </row>
    <row r="135" spans="1:6" ht="34.200000000000003">
      <c r="A135" s="164" t="s">
        <v>6530</v>
      </c>
      <c r="B135" s="164" t="s">
        <v>6530</v>
      </c>
      <c r="C135" s="128" t="s">
        <v>6531</v>
      </c>
      <c r="D135" s="132">
        <v>2500</v>
      </c>
      <c r="E135" s="133" t="s">
        <v>3361</v>
      </c>
      <c r="F135" s="166">
        <v>11.5</v>
      </c>
    </row>
    <row r="136" spans="1:6" ht="34.200000000000003">
      <c r="A136" s="164" t="s">
        <v>6650</v>
      </c>
      <c r="B136" s="164" t="s">
        <v>6650</v>
      </c>
      <c r="C136" s="128" t="s">
        <v>6651</v>
      </c>
      <c r="D136" s="132">
        <v>2000</v>
      </c>
      <c r="E136" s="133" t="s">
        <v>3361</v>
      </c>
      <c r="F136" s="166">
        <v>21</v>
      </c>
    </row>
    <row r="137" spans="1:6" ht="34.200000000000003">
      <c r="A137" s="164" t="s">
        <v>6699</v>
      </c>
      <c r="B137" s="164" t="s">
        <v>6699</v>
      </c>
      <c r="C137" s="147" t="s">
        <v>6700</v>
      </c>
      <c r="D137" s="132">
        <v>1</v>
      </c>
      <c r="E137" s="133" t="s">
        <v>3361</v>
      </c>
      <c r="F137" s="166"/>
    </row>
    <row r="138" spans="1:6" ht="34.200000000000003">
      <c r="A138" s="164" t="s">
        <v>6703</v>
      </c>
      <c r="B138" s="164" t="s">
        <v>6703</v>
      </c>
      <c r="C138" s="147" t="s">
        <v>7056</v>
      </c>
      <c r="D138" s="132">
        <v>1</v>
      </c>
      <c r="E138" s="133" t="s">
        <v>3361</v>
      </c>
      <c r="F138" s="166"/>
    </row>
    <row r="139" spans="1:6" ht="34.200000000000003">
      <c r="A139" s="164" t="s">
        <v>6728</v>
      </c>
      <c r="B139" s="164" t="s">
        <v>6728</v>
      </c>
      <c r="C139" s="165" t="s">
        <v>6729</v>
      </c>
      <c r="D139" s="132">
        <v>5400</v>
      </c>
      <c r="E139" s="133" t="s">
        <v>3361</v>
      </c>
      <c r="F139" s="166">
        <v>9.4</v>
      </c>
    </row>
    <row r="140" spans="1:6" ht="34.200000000000003">
      <c r="A140" s="164" t="s">
        <v>6846</v>
      </c>
      <c r="B140" s="164" t="s">
        <v>6846</v>
      </c>
      <c r="C140" s="165" t="s">
        <v>6847</v>
      </c>
      <c r="D140" s="132">
        <v>1</v>
      </c>
      <c r="E140" s="162" t="s">
        <v>3361</v>
      </c>
      <c r="F140" s="166" t="s">
        <v>3350</v>
      </c>
    </row>
    <row r="141" spans="1:6" ht="34.200000000000003">
      <c r="A141" s="164" t="s">
        <v>6848</v>
      </c>
      <c r="B141" s="164" t="s">
        <v>6848</v>
      </c>
      <c r="C141" s="128" t="s">
        <v>6849</v>
      </c>
      <c r="D141" s="132">
        <v>2000</v>
      </c>
      <c r="E141" s="133" t="s">
        <v>3361</v>
      </c>
      <c r="F141" s="166">
        <v>38.43</v>
      </c>
    </row>
    <row r="142" spans="1:6" ht="34.200000000000003">
      <c r="A142" s="164" t="s">
        <v>6981</v>
      </c>
      <c r="B142" s="164" t="s">
        <v>6981</v>
      </c>
      <c r="C142" s="165" t="s">
        <v>6982</v>
      </c>
      <c r="D142" s="132">
        <v>4000</v>
      </c>
      <c r="E142" s="133" t="s">
        <v>3361</v>
      </c>
      <c r="F142" s="166">
        <v>19</v>
      </c>
    </row>
    <row r="143" spans="1:6" ht="34.200000000000003">
      <c r="A143" s="164" t="s">
        <v>6987</v>
      </c>
      <c r="B143" s="164" t="s">
        <v>6987</v>
      </c>
      <c r="C143" s="147" t="s">
        <v>6988</v>
      </c>
      <c r="D143" s="132">
        <v>1</v>
      </c>
      <c r="E143" s="133" t="s">
        <v>3361</v>
      </c>
      <c r="F143" s="166" t="s">
        <v>3350</v>
      </c>
    </row>
    <row r="144" spans="1:6" ht="34.200000000000003">
      <c r="A144" s="164" t="s">
        <v>7030</v>
      </c>
      <c r="B144" s="164" t="s">
        <v>7030</v>
      </c>
      <c r="C144" s="165" t="s">
        <v>7031</v>
      </c>
      <c r="D144" s="132">
        <v>3000</v>
      </c>
      <c r="E144" s="133" t="s">
        <v>3361</v>
      </c>
      <c r="F144" s="166">
        <v>11.02</v>
      </c>
    </row>
    <row r="145" spans="1:6" ht="34.200000000000003">
      <c r="A145" s="164" t="s">
        <v>7032</v>
      </c>
      <c r="B145" s="164" t="s">
        <v>7032</v>
      </c>
      <c r="C145" s="165" t="s">
        <v>7033</v>
      </c>
      <c r="D145" s="132">
        <v>3000</v>
      </c>
      <c r="E145" s="133" t="s">
        <v>3361</v>
      </c>
      <c r="F145" s="166">
        <v>18.43</v>
      </c>
    </row>
    <row r="146" spans="1:6" ht="34.200000000000003">
      <c r="A146" s="164" t="s">
        <v>7034</v>
      </c>
      <c r="B146" s="164" t="s">
        <v>7034</v>
      </c>
      <c r="C146" s="165" t="s">
        <v>7035</v>
      </c>
      <c r="D146" s="132">
        <v>3500</v>
      </c>
      <c r="E146" s="133" t="s">
        <v>3361</v>
      </c>
      <c r="F146" s="166">
        <v>2.9</v>
      </c>
    </row>
    <row r="147" spans="1:6" ht="34.200000000000003">
      <c r="A147" s="164" t="s">
        <v>7037</v>
      </c>
      <c r="B147" s="164" t="s">
        <v>7037</v>
      </c>
      <c r="C147" s="147" t="s">
        <v>7038</v>
      </c>
      <c r="D147" s="132">
        <v>2500</v>
      </c>
      <c r="E147" s="133" t="s">
        <v>3361</v>
      </c>
      <c r="F147" s="166">
        <v>7.19</v>
      </c>
    </row>
    <row r="148" spans="1:6" ht="34.200000000000003">
      <c r="A148" s="164" t="s">
        <v>7039</v>
      </c>
      <c r="B148" s="164" t="s">
        <v>7039</v>
      </c>
      <c r="C148" s="165" t="s">
        <v>7040</v>
      </c>
      <c r="D148" s="132">
        <v>3000</v>
      </c>
      <c r="E148" s="133" t="s">
        <v>3361</v>
      </c>
      <c r="F148" s="166">
        <v>14.36</v>
      </c>
    </row>
    <row r="149" spans="1:6" ht="34.200000000000003">
      <c r="A149" s="164"/>
      <c r="B149" s="164"/>
      <c r="C149" s="165"/>
      <c r="D149" s="132"/>
      <c r="E149" s="162"/>
      <c r="F149" s="166"/>
    </row>
    <row r="150" spans="1:6" ht="34.200000000000003">
      <c r="A150" s="164"/>
      <c r="B150" s="164"/>
      <c r="C150" s="165"/>
      <c r="D150" s="132"/>
      <c r="E150" s="162"/>
      <c r="F150" s="166"/>
    </row>
  </sheetData>
  <pageMargins left="0.7" right="0.7" top="0.75" bottom="0.75" header="0.3" footer="0.3"/>
  <pageSetup paperSize="9" scale="40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6EC-9E18-44C0-97E0-3872E0A7DDD4}">
  <dimension ref="A1:B1668"/>
  <sheetViews>
    <sheetView showWhiteSpace="0" view="pageBreakPreview" zoomScale="60" zoomScaleNormal="115" workbookViewId="0">
      <selection activeCell="I37" sqref="I37"/>
    </sheetView>
  </sheetViews>
  <sheetFormatPr defaultRowHeight="14.4"/>
  <cols>
    <col min="1" max="1" width="16" style="4" customWidth="1"/>
    <col min="2" max="2" width="31" style="5" customWidth="1"/>
    <col min="3" max="3" width="38.88671875" customWidth="1"/>
    <col min="4" max="4" width="9.109375" customWidth="1"/>
  </cols>
  <sheetData>
    <row r="1" spans="1:2">
      <c r="A1" s="9" t="s">
        <v>21</v>
      </c>
      <c r="B1" s="72" t="s">
        <v>24</v>
      </c>
    </row>
    <row r="2" spans="1:2">
      <c r="A2" s="171">
        <v>0</v>
      </c>
      <c r="B2" s="172" t="s">
        <v>2956</v>
      </c>
    </row>
    <row r="3" spans="1:2">
      <c r="A3" s="171">
        <v>1</v>
      </c>
      <c r="B3" s="172" t="s">
        <v>2957</v>
      </c>
    </row>
    <row r="4" spans="1:2">
      <c r="A4" s="171">
        <v>5</v>
      </c>
      <c r="B4" s="172" t="s">
        <v>37</v>
      </c>
    </row>
    <row r="5" spans="1:2">
      <c r="A5" s="171" t="s">
        <v>27</v>
      </c>
      <c r="B5" s="172" t="s">
        <v>34</v>
      </c>
    </row>
    <row r="6" spans="1:2">
      <c r="A6" s="171" t="s">
        <v>28</v>
      </c>
      <c r="B6" s="172" t="s">
        <v>35</v>
      </c>
    </row>
    <row r="7" spans="1:2">
      <c r="A7" s="171" t="s">
        <v>29</v>
      </c>
      <c r="B7" s="172" t="s">
        <v>36</v>
      </c>
    </row>
    <row r="8" spans="1:2">
      <c r="A8" s="171" t="s">
        <v>30</v>
      </c>
      <c r="B8" s="172" t="s">
        <v>38</v>
      </c>
    </row>
    <row r="9" spans="1:2">
      <c r="A9" s="171" t="s">
        <v>26</v>
      </c>
      <c r="B9" s="172" t="s">
        <v>39</v>
      </c>
    </row>
    <row r="10" spans="1:2">
      <c r="A10" s="171" t="s">
        <v>31</v>
      </c>
      <c r="B10" s="172" t="s">
        <v>40</v>
      </c>
    </row>
    <row r="11" spans="1:2">
      <c r="A11" s="171" t="s">
        <v>32</v>
      </c>
      <c r="B11" s="172" t="s">
        <v>17</v>
      </c>
    </row>
    <row r="12" spans="1:2">
      <c r="A12" s="171" t="s">
        <v>22</v>
      </c>
      <c r="B12" s="172" t="s">
        <v>42</v>
      </c>
    </row>
    <row r="13" spans="1:2">
      <c r="A13" s="171" t="s">
        <v>33</v>
      </c>
      <c r="B13" s="172" t="s">
        <v>43</v>
      </c>
    </row>
    <row r="14" spans="1:2">
      <c r="A14" s="171" t="s">
        <v>3113</v>
      </c>
      <c r="B14" s="172" t="s">
        <v>3114</v>
      </c>
    </row>
    <row r="15" spans="1:2">
      <c r="A15" s="171" t="s">
        <v>23</v>
      </c>
      <c r="B15" s="172" t="s">
        <v>41</v>
      </c>
    </row>
    <row r="16" spans="1:2">
      <c r="A16" s="171" t="s">
        <v>4345</v>
      </c>
      <c r="B16" s="172" t="s">
        <v>4647</v>
      </c>
    </row>
    <row r="17" spans="1:2">
      <c r="A17" s="171" t="s">
        <v>4648</v>
      </c>
      <c r="B17" s="172" t="s">
        <v>4649</v>
      </c>
    </row>
    <row r="18" spans="1:2">
      <c r="A18" s="171" t="s">
        <v>4650</v>
      </c>
      <c r="B18" s="172" t="s">
        <v>4651</v>
      </c>
    </row>
    <row r="19" spans="1:2">
      <c r="A19" s="171" t="s">
        <v>4652</v>
      </c>
      <c r="B19" s="172" t="s">
        <v>4653</v>
      </c>
    </row>
    <row r="20" spans="1:2">
      <c r="A20" s="171" t="s">
        <v>4654</v>
      </c>
      <c r="B20" s="172" t="s">
        <v>4655</v>
      </c>
    </row>
    <row r="21" spans="1:2">
      <c r="A21" s="171" t="s">
        <v>5592</v>
      </c>
      <c r="B21" s="172" t="s">
        <v>5593</v>
      </c>
    </row>
    <row r="22" spans="1:2">
      <c r="A22" s="171" t="s">
        <v>6479</v>
      </c>
      <c r="B22" s="172" t="s">
        <v>6480</v>
      </c>
    </row>
    <row r="1668" spans="1:1">
      <c r="A1668" s="6" t="s">
        <v>4376</v>
      </c>
    </row>
  </sheetData>
  <pageMargins left="0.65" right="0.42" top="0.75" bottom="0.75" header="0.19" footer="0.3"/>
  <pageSetup paperSize="9" orientation="portrait" r:id="rId1"/>
  <rowBreaks count="1" manualBreakCount="1">
    <brk id="22" max="16383" man="1"/>
  </rowBreaks>
  <ignoredErrors>
    <ignoredError sqref="A5:A11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2B6B-33F8-4977-8B41-5883EF647415}">
  <dimension ref="A1:T40"/>
  <sheetViews>
    <sheetView workbookViewId="0">
      <selection activeCell="H32" sqref="H32"/>
    </sheetView>
  </sheetViews>
  <sheetFormatPr defaultRowHeight="14.4"/>
  <cols>
    <col min="1" max="1" width="26.44140625" bestFit="1" customWidth="1"/>
    <col min="2" max="2" width="13.33203125" bestFit="1" customWidth="1"/>
    <col min="3" max="7" width="9.6640625" bestFit="1" customWidth="1"/>
    <col min="8" max="8" width="8.33203125" bestFit="1" customWidth="1"/>
    <col min="9" max="14" width="9.33203125" bestFit="1" customWidth="1"/>
    <col min="15" max="16" width="9" bestFit="1" customWidth="1"/>
    <col min="17" max="21" width="10" bestFit="1" customWidth="1"/>
    <col min="22" max="22" width="8.6640625" bestFit="1" customWidth="1"/>
    <col min="23" max="26" width="9.6640625" bestFit="1" customWidth="1"/>
    <col min="27" max="29" width="9.33203125" bestFit="1" customWidth="1"/>
    <col min="30" max="32" width="8.33203125" bestFit="1" customWidth="1"/>
    <col min="33" max="35" width="9.33203125" bestFit="1" customWidth="1"/>
    <col min="36" max="37" width="8.33203125" bestFit="1" customWidth="1"/>
    <col min="38" max="39" width="9.33203125" bestFit="1" customWidth="1"/>
    <col min="40" max="40" width="8.33203125" bestFit="1" customWidth="1"/>
    <col min="41" max="41" width="9.33203125" bestFit="1" customWidth="1"/>
    <col min="42" max="42" width="8.33203125" bestFit="1" customWidth="1"/>
    <col min="43" max="46" width="9.33203125" bestFit="1" customWidth="1"/>
    <col min="47" max="50" width="9.6640625" bestFit="1" customWidth="1"/>
    <col min="51" max="52" width="8.109375" bestFit="1" customWidth="1"/>
    <col min="53" max="57" width="9.109375" bestFit="1" customWidth="1"/>
    <col min="58" max="59" width="8.33203125" bestFit="1" customWidth="1"/>
    <col min="60" max="62" width="9.33203125" bestFit="1" customWidth="1"/>
    <col min="63" max="64" width="8.6640625" bestFit="1" customWidth="1"/>
    <col min="65" max="70" width="9.6640625" bestFit="1" customWidth="1"/>
    <col min="71" max="71" width="10.109375" bestFit="1" customWidth="1"/>
  </cols>
  <sheetData>
    <row r="1" spans="1:2">
      <c r="A1" s="40" t="s">
        <v>3767</v>
      </c>
      <c r="B1" t="s">
        <v>5844</v>
      </c>
    </row>
    <row r="3" spans="1:2">
      <c r="A3" s="40" t="s">
        <v>5842</v>
      </c>
      <c r="B3" t="s">
        <v>4147</v>
      </c>
    </row>
    <row r="4" spans="1:2">
      <c r="A4" s="29" t="s">
        <v>4027</v>
      </c>
      <c r="B4">
        <v>8</v>
      </c>
    </row>
    <row r="5" spans="1:2">
      <c r="A5" s="58" t="s">
        <v>4681</v>
      </c>
      <c r="B5">
        <v>1</v>
      </c>
    </row>
    <row r="6" spans="1:2">
      <c r="A6" s="58" t="s">
        <v>6731</v>
      </c>
      <c r="B6">
        <v>1</v>
      </c>
    </row>
    <row r="7" spans="1:2">
      <c r="A7" s="58" t="s">
        <v>6734</v>
      </c>
      <c r="B7">
        <v>1</v>
      </c>
    </row>
    <row r="8" spans="1:2">
      <c r="A8" s="58" t="s">
        <v>6765</v>
      </c>
      <c r="B8">
        <v>1</v>
      </c>
    </row>
    <row r="9" spans="1:2">
      <c r="A9" s="58" t="s">
        <v>6742</v>
      </c>
      <c r="B9">
        <v>1</v>
      </c>
    </row>
    <row r="10" spans="1:2">
      <c r="A10" s="58" t="s">
        <v>6745</v>
      </c>
      <c r="B10">
        <v>1</v>
      </c>
    </row>
    <row r="11" spans="1:2">
      <c r="A11" s="58" t="s">
        <v>6758</v>
      </c>
      <c r="B11">
        <v>1</v>
      </c>
    </row>
    <row r="12" spans="1:2">
      <c r="A12" s="58" t="s">
        <v>6772</v>
      </c>
      <c r="B12">
        <v>1</v>
      </c>
    </row>
    <row r="13" spans="1:2">
      <c r="A13" s="29" t="s">
        <v>3779</v>
      </c>
      <c r="B13">
        <v>22</v>
      </c>
    </row>
    <row r="14" spans="1:2">
      <c r="A14" s="58" t="s">
        <v>6192</v>
      </c>
      <c r="B14">
        <v>1</v>
      </c>
    </row>
    <row r="15" spans="1:2">
      <c r="A15" s="58" t="s">
        <v>6194</v>
      </c>
      <c r="B15">
        <v>1</v>
      </c>
    </row>
    <row r="16" spans="1:2">
      <c r="A16" s="58" t="s">
        <v>6765</v>
      </c>
      <c r="B16">
        <v>1</v>
      </c>
    </row>
    <row r="17" spans="1:20">
      <c r="A17" s="58" t="s">
        <v>6746</v>
      </c>
      <c r="B17">
        <v>2</v>
      </c>
    </row>
    <row r="18" spans="1:20">
      <c r="A18" s="58" t="s">
        <v>6749</v>
      </c>
      <c r="B18">
        <v>2</v>
      </c>
    </row>
    <row r="19" spans="1:20">
      <c r="A19" s="58" t="s">
        <v>6752</v>
      </c>
      <c r="B19">
        <v>1</v>
      </c>
    </row>
    <row r="20" spans="1:20">
      <c r="A20" s="58" t="s">
        <v>6772</v>
      </c>
      <c r="B20">
        <v>9</v>
      </c>
    </row>
    <row r="21" spans="1:20">
      <c r="A21" s="58" t="s">
        <v>6777</v>
      </c>
      <c r="B21">
        <v>1</v>
      </c>
    </row>
    <row r="22" spans="1:20">
      <c r="A22" s="58" t="s">
        <v>6779</v>
      </c>
      <c r="B22">
        <v>1</v>
      </c>
    </row>
    <row r="23" spans="1:20">
      <c r="A23" s="58" t="s">
        <v>6392</v>
      </c>
      <c r="B23">
        <v>1</v>
      </c>
    </row>
    <row r="24" spans="1:20">
      <c r="A24" s="58" t="s">
        <v>6781</v>
      </c>
      <c r="B24">
        <v>1</v>
      </c>
    </row>
    <row r="25" spans="1:20">
      <c r="A25" s="58" t="s">
        <v>6783</v>
      </c>
      <c r="B25">
        <v>1</v>
      </c>
    </row>
    <row r="26" spans="1:20">
      <c r="A26" s="29" t="s">
        <v>3772</v>
      </c>
      <c r="B26">
        <v>8</v>
      </c>
    </row>
    <row r="27" spans="1:20">
      <c r="A27" s="58" t="s">
        <v>6765</v>
      </c>
      <c r="B27">
        <v>3</v>
      </c>
    </row>
    <row r="28" spans="1:20">
      <c r="A28" s="58" t="s">
        <v>6789</v>
      </c>
      <c r="B28">
        <v>3</v>
      </c>
    </row>
    <row r="29" spans="1:20">
      <c r="A29" s="58" t="s">
        <v>6811</v>
      </c>
      <c r="B29">
        <v>1</v>
      </c>
    </row>
    <row r="30" spans="1:20">
      <c r="A30" s="58" t="s">
        <v>6815</v>
      </c>
      <c r="B30">
        <v>1</v>
      </c>
      <c r="T30" t="s">
        <v>6903</v>
      </c>
    </row>
    <row r="31" spans="1:20">
      <c r="A31" s="29" t="s">
        <v>4521</v>
      </c>
      <c r="B31">
        <v>8</v>
      </c>
    </row>
    <row r="32" spans="1:20">
      <c r="A32" s="58" t="s">
        <v>6737</v>
      </c>
      <c r="B32">
        <v>1</v>
      </c>
    </row>
    <row r="33" spans="1:2">
      <c r="A33" s="58" t="s">
        <v>6756</v>
      </c>
      <c r="B33">
        <v>1</v>
      </c>
    </row>
    <row r="34" spans="1:2">
      <c r="A34" s="58" t="s">
        <v>6787</v>
      </c>
      <c r="B34">
        <v>1</v>
      </c>
    </row>
    <row r="35" spans="1:2">
      <c r="A35" s="58" t="s">
        <v>6799</v>
      </c>
      <c r="B35">
        <v>1</v>
      </c>
    </row>
    <row r="36" spans="1:2">
      <c r="A36" s="58" t="s">
        <v>6802</v>
      </c>
      <c r="B36">
        <v>1</v>
      </c>
    </row>
    <row r="37" spans="1:2">
      <c r="A37" s="58" t="s">
        <v>6807</v>
      </c>
      <c r="B37">
        <v>1</v>
      </c>
    </row>
    <row r="38" spans="1:2">
      <c r="A38" s="58" t="s">
        <v>6819</v>
      </c>
      <c r="B38">
        <v>1</v>
      </c>
    </row>
    <row r="39" spans="1:2">
      <c r="A39" s="58" t="s">
        <v>6823</v>
      </c>
      <c r="B39">
        <v>1</v>
      </c>
    </row>
    <row r="40" spans="1:2">
      <c r="A40" s="29" t="s">
        <v>5843</v>
      </c>
      <c r="B40">
        <v>46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F854-66C7-4ABC-A006-E221CEED97EE}">
  <dimension ref="A1:D16"/>
  <sheetViews>
    <sheetView view="pageBreakPreview" zoomScale="85" zoomScaleNormal="100" zoomScaleSheetLayoutView="85" workbookViewId="0">
      <selection activeCell="K10" sqref="K10"/>
    </sheetView>
  </sheetViews>
  <sheetFormatPr defaultRowHeight="14.4"/>
  <cols>
    <col min="1" max="1" width="17.6640625" style="1" customWidth="1"/>
    <col min="2" max="2" width="43" customWidth="1"/>
    <col min="3" max="3" width="35" customWidth="1"/>
    <col min="4" max="4" width="83.6640625" customWidth="1"/>
  </cols>
  <sheetData>
    <row r="1" spans="1:4" ht="84.75" customHeight="1">
      <c r="A1" s="270" t="s">
        <v>6764</v>
      </c>
      <c r="B1" s="270"/>
      <c r="C1" s="270"/>
      <c r="D1" s="270"/>
    </row>
    <row r="2" spans="1:4" ht="27.9" customHeight="1">
      <c r="A2" s="230">
        <v>45593</v>
      </c>
      <c r="B2" s="227" t="s">
        <v>6597</v>
      </c>
      <c r="C2" s="228" t="s">
        <v>6598</v>
      </c>
      <c r="D2" s="222" t="s">
        <v>6475</v>
      </c>
    </row>
    <row r="3" spans="1:4" ht="27.9" customHeight="1">
      <c r="A3" s="230">
        <v>45593</v>
      </c>
      <c r="B3" s="227" t="s">
        <v>6614</v>
      </c>
      <c r="C3" s="228" t="s">
        <v>6615</v>
      </c>
      <c r="D3" s="222" t="s">
        <v>6616</v>
      </c>
    </row>
    <row r="4" spans="1:4" ht="27.9" customHeight="1">
      <c r="A4" s="230">
        <v>45593</v>
      </c>
      <c r="B4" s="227" t="s">
        <v>6701</v>
      </c>
      <c r="C4" s="228" t="s">
        <v>6702</v>
      </c>
      <c r="D4" s="222" t="s">
        <v>3817</v>
      </c>
    </row>
    <row r="5" spans="1:4" ht="27.9" customHeight="1">
      <c r="A5" s="230">
        <v>45593</v>
      </c>
      <c r="B5" s="223" t="s">
        <v>6077</v>
      </c>
      <c r="C5" s="229" t="s">
        <v>6078</v>
      </c>
      <c r="D5" s="225" t="s">
        <v>5477</v>
      </c>
    </row>
    <row r="6" spans="1:4" ht="27.9" customHeight="1">
      <c r="A6" s="230">
        <v>45593</v>
      </c>
      <c r="B6" s="227" t="s">
        <v>3320</v>
      </c>
      <c r="C6" s="228" t="s">
        <v>1742</v>
      </c>
      <c r="D6" s="222" t="s">
        <v>3914</v>
      </c>
    </row>
    <row r="7" spans="1:4" ht="27.9" customHeight="1">
      <c r="A7" s="230">
        <v>45593</v>
      </c>
      <c r="B7" s="224" t="s">
        <v>6119</v>
      </c>
      <c r="C7" s="229" t="s">
        <v>6118</v>
      </c>
      <c r="D7" s="225" t="s">
        <v>2692</v>
      </c>
    </row>
    <row r="8" spans="1:4" ht="27.9" customHeight="1">
      <c r="A8" s="230">
        <v>45593</v>
      </c>
      <c r="B8" s="226" t="s">
        <v>4382</v>
      </c>
      <c r="C8" s="228" t="s">
        <v>2079</v>
      </c>
      <c r="D8" s="260" t="s">
        <v>4803</v>
      </c>
    </row>
    <row r="9" spans="1:4" ht="27.9" customHeight="1">
      <c r="A9" s="230">
        <v>45740</v>
      </c>
      <c r="B9" s="261" t="s">
        <v>6986</v>
      </c>
      <c r="C9" s="261" t="s">
        <v>5316</v>
      </c>
      <c r="D9" s="262" t="s">
        <v>3191</v>
      </c>
    </row>
    <row r="10" spans="1:4" ht="27.9" customHeight="1">
      <c r="A10" s="263">
        <v>45754</v>
      </c>
      <c r="B10" s="227" t="s">
        <v>6182</v>
      </c>
      <c r="C10" s="264" t="s">
        <v>6183</v>
      </c>
      <c r="D10" s="265" t="s">
        <v>2503</v>
      </c>
    </row>
    <row r="11" spans="1:4" ht="27.9" customHeight="1">
      <c r="A11" s="263">
        <v>45754</v>
      </c>
      <c r="B11" s="261" t="s">
        <v>5164</v>
      </c>
      <c r="C11" s="261" t="s">
        <v>5165</v>
      </c>
      <c r="D11" s="262" t="s">
        <v>2504</v>
      </c>
    </row>
    <row r="12" spans="1:4" ht="27.9" customHeight="1">
      <c r="A12" s="230">
        <v>45787</v>
      </c>
      <c r="B12" s="226" t="s">
        <v>3644</v>
      </c>
      <c r="C12" s="226" t="s">
        <v>980</v>
      </c>
      <c r="D12" s="262" t="s">
        <v>981</v>
      </c>
    </row>
    <row r="13" spans="1:4" ht="27.9" customHeight="1"/>
    <row r="14" spans="1:4" ht="27.9" customHeight="1"/>
    <row r="15" spans="1:4" ht="27.9" customHeight="1"/>
    <row r="16" spans="1:4" ht="27.9" customHeight="1"/>
  </sheetData>
  <mergeCells count="1">
    <mergeCell ref="A1:D1"/>
  </mergeCells>
  <conditionalFormatting sqref="B5">
    <cfRule type="duplicateValues" dxfId="21" priority="14"/>
    <cfRule type="duplicateValues" dxfId="20" priority="16"/>
    <cfRule type="duplicateValues" dxfId="19" priority="18"/>
  </conditionalFormatting>
  <conditionalFormatting sqref="B6">
    <cfRule type="duplicateValues" dxfId="18" priority="12"/>
  </conditionalFormatting>
  <conditionalFormatting sqref="B7">
    <cfRule type="duplicateValues" dxfId="17" priority="9"/>
  </conditionalFormatting>
  <conditionalFormatting sqref="B8">
    <cfRule type="duplicateValues" dxfId="16" priority="6"/>
  </conditionalFormatting>
  <conditionalFormatting sqref="B10">
    <cfRule type="duplicateValues" dxfId="15" priority="4"/>
  </conditionalFormatting>
  <conditionalFormatting sqref="B12">
    <cfRule type="duplicateValues" dxfId="14" priority="2"/>
  </conditionalFormatting>
  <conditionalFormatting sqref="B2:C2">
    <cfRule type="duplicateValues" dxfId="13" priority="22"/>
  </conditionalFormatting>
  <conditionalFormatting sqref="B3:C3">
    <cfRule type="duplicateValues" dxfId="12" priority="21"/>
  </conditionalFormatting>
  <conditionalFormatting sqref="B4:C4">
    <cfRule type="duplicateValues" dxfId="11" priority="20"/>
  </conditionalFormatting>
  <conditionalFormatting sqref="B5:C5">
    <cfRule type="duplicateValues" dxfId="10" priority="19"/>
  </conditionalFormatting>
  <conditionalFormatting sqref="B6:C6">
    <cfRule type="duplicateValues" dxfId="9" priority="13"/>
  </conditionalFormatting>
  <conditionalFormatting sqref="B7:C7">
    <cfRule type="duplicateValues" dxfId="8" priority="10"/>
  </conditionalFormatting>
  <conditionalFormatting sqref="B8:C8">
    <cfRule type="duplicateValues" dxfId="7" priority="7"/>
  </conditionalFormatting>
  <conditionalFormatting sqref="C5">
    <cfRule type="duplicateValues" dxfId="6" priority="15"/>
    <cfRule type="duplicateValues" dxfId="5" priority="17"/>
  </conditionalFormatting>
  <conditionalFormatting sqref="C6">
    <cfRule type="duplicateValues" dxfId="4" priority="11"/>
  </conditionalFormatting>
  <conditionalFormatting sqref="C7">
    <cfRule type="duplicateValues" dxfId="3" priority="8"/>
  </conditionalFormatting>
  <conditionalFormatting sqref="C8">
    <cfRule type="duplicateValues" dxfId="2" priority="5"/>
  </conditionalFormatting>
  <conditionalFormatting sqref="C10">
    <cfRule type="duplicateValues" dxfId="1" priority="3"/>
  </conditionalFormatting>
  <conditionalFormatting sqref="C12">
    <cfRule type="duplicateValues" dxfId="0" priority="1"/>
  </conditionalFormatting>
  <pageMargins left="0.7" right="0.7" top="0.75" bottom="0.75" header="0.3" footer="0.3"/>
  <pageSetup paperSize="9" scale="7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35D0C-0A22-40D4-82B8-7D992AB3A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Product Info Database</vt:lpstr>
      <vt:lpstr>บันทึกนำเข้าDrawing</vt:lpstr>
      <vt:lpstr>Material Code</vt:lpstr>
      <vt:lpstr>Color Code</vt:lpstr>
      <vt:lpstr>Sheet3</vt:lpstr>
      <vt:lpstr>ECR</vt:lpstr>
      <vt:lpstr>'Color Code'!Print_Area</vt:lpstr>
      <vt:lpstr>ECR!Print_Area</vt:lpstr>
      <vt:lpstr>'Material Code'!Print_Area</vt:lpstr>
      <vt:lpstr>'Product Info Database'!Print_Area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Pakorn Anekpornpiboon</dc:creator>
  <cp:lastModifiedBy>Poramate Vorasingha</cp:lastModifiedBy>
  <cp:lastPrinted>2025-04-07T02:50:33Z</cp:lastPrinted>
  <dcterms:created xsi:type="dcterms:W3CDTF">2021-02-14T14:10:35Z</dcterms:created>
  <dcterms:modified xsi:type="dcterms:W3CDTF">2025-09-15T14:51:51Z</dcterms:modified>
</cp:coreProperties>
</file>